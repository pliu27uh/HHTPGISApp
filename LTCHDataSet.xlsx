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liu27\"/>
    </mc:Choice>
  </mc:AlternateContent>
  <xr:revisionPtr revIDLastSave="0" documentId="13_ncr:1_{48540A2A-681D-42E0-ACF1-92BFD8E6C95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3" i="1" l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C208" i="1"/>
  <c r="CC209" i="1"/>
  <c r="CC210" i="1"/>
  <c r="CC211" i="1"/>
  <c r="CC212" i="1"/>
  <c r="CC213" i="1"/>
  <c r="CC214" i="1"/>
  <c r="CC215" i="1"/>
  <c r="CC216" i="1"/>
  <c r="CC217" i="1"/>
  <c r="CC218" i="1"/>
  <c r="CC219" i="1"/>
  <c r="CC220" i="1"/>
  <c r="CC221" i="1"/>
  <c r="CC222" i="1"/>
  <c r="CC223" i="1"/>
  <c r="CC224" i="1"/>
  <c r="CC225" i="1"/>
  <c r="CC226" i="1"/>
  <c r="CC227" i="1"/>
  <c r="CC228" i="1"/>
  <c r="CC229" i="1"/>
  <c r="CC230" i="1"/>
  <c r="CC231" i="1"/>
  <c r="CC232" i="1"/>
  <c r="CC233" i="1"/>
  <c r="CC234" i="1"/>
  <c r="CC235" i="1"/>
  <c r="CC236" i="1"/>
  <c r="CC237" i="1"/>
  <c r="CC238" i="1"/>
  <c r="CC239" i="1"/>
  <c r="CC240" i="1"/>
  <c r="CC241" i="1"/>
  <c r="CC242" i="1"/>
  <c r="CC243" i="1"/>
  <c r="CC244" i="1"/>
  <c r="CC245" i="1"/>
  <c r="CC246" i="1"/>
  <c r="CC247" i="1"/>
  <c r="CC248" i="1"/>
  <c r="CC249" i="1"/>
  <c r="CC250" i="1"/>
  <c r="CC251" i="1"/>
  <c r="CC252" i="1"/>
  <c r="CC253" i="1"/>
  <c r="CC254" i="1"/>
  <c r="CC255" i="1"/>
  <c r="CC256" i="1"/>
  <c r="CC257" i="1"/>
  <c r="CC258" i="1"/>
  <c r="CC259" i="1"/>
  <c r="CC260" i="1"/>
  <c r="CC261" i="1"/>
  <c r="CC262" i="1"/>
  <c r="CC263" i="1"/>
  <c r="CC264" i="1"/>
  <c r="CC265" i="1"/>
  <c r="CC266" i="1"/>
  <c r="CC267" i="1"/>
  <c r="CC268" i="1"/>
  <c r="CC269" i="1"/>
  <c r="CC270" i="1"/>
  <c r="CC271" i="1"/>
  <c r="CC272" i="1"/>
  <c r="CC273" i="1"/>
  <c r="CC274" i="1"/>
  <c r="CC275" i="1"/>
  <c r="CC276" i="1"/>
  <c r="CC277" i="1"/>
  <c r="CC278" i="1"/>
  <c r="CC279" i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C293" i="1"/>
  <c r="CC294" i="1"/>
  <c r="CC295" i="1"/>
  <c r="CC296" i="1"/>
  <c r="CC297" i="1"/>
  <c r="CC298" i="1"/>
  <c r="CC299" i="1"/>
  <c r="CC300" i="1"/>
  <c r="CC301" i="1"/>
  <c r="CC302" i="1"/>
  <c r="CC303" i="1"/>
  <c r="CC304" i="1"/>
  <c r="CC305" i="1"/>
  <c r="CC306" i="1"/>
  <c r="CC307" i="1"/>
  <c r="CC308" i="1"/>
  <c r="CC309" i="1"/>
  <c r="CC310" i="1"/>
  <c r="CC311" i="1"/>
  <c r="CC312" i="1"/>
  <c r="CC313" i="1"/>
  <c r="CC314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CC328" i="1"/>
  <c r="CC329" i="1"/>
  <c r="CC330" i="1"/>
  <c r="CC331" i="1"/>
  <c r="CC332" i="1"/>
  <c r="CC333" i="1"/>
  <c r="CC334" i="1"/>
  <c r="CC335" i="1"/>
  <c r="CC336" i="1"/>
  <c r="CC337" i="1"/>
  <c r="CC338" i="1"/>
  <c r="CC339" i="1"/>
  <c r="CC340" i="1"/>
  <c r="CC341" i="1"/>
  <c r="CC342" i="1"/>
  <c r="CC343" i="1"/>
  <c r="CC344" i="1"/>
  <c r="CC345" i="1"/>
  <c r="CC346" i="1"/>
  <c r="CC347" i="1"/>
  <c r="CC348" i="1"/>
  <c r="CC349" i="1"/>
  <c r="CC350" i="1"/>
  <c r="CC351" i="1"/>
  <c r="CC352" i="1"/>
  <c r="CC353" i="1"/>
  <c r="CC354" i="1"/>
  <c r="CC355" i="1"/>
  <c r="CC356" i="1"/>
  <c r="CC357" i="1"/>
  <c r="CC358" i="1"/>
  <c r="CC359" i="1"/>
  <c r="CC360" i="1"/>
  <c r="CC361" i="1"/>
  <c r="CC362" i="1"/>
  <c r="CC363" i="1"/>
  <c r="CC364" i="1"/>
  <c r="CC365" i="1"/>
  <c r="CC366" i="1"/>
  <c r="CC367" i="1"/>
  <c r="CC368" i="1"/>
  <c r="CC369" i="1"/>
  <c r="CC370" i="1"/>
  <c r="CC371" i="1"/>
  <c r="CC372" i="1"/>
  <c r="CC373" i="1"/>
  <c r="CC374" i="1"/>
  <c r="CC375" i="1"/>
  <c r="CC376" i="1"/>
  <c r="CC377" i="1"/>
  <c r="CC378" i="1"/>
  <c r="CC379" i="1"/>
  <c r="CC380" i="1"/>
  <c r="CC381" i="1"/>
  <c r="CC382" i="1"/>
  <c r="CC383" i="1"/>
  <c r="CC384" i="1"/>
  <c r="CC385" i="1"/>
  <c r="CC386" i="1"/>
  <c r="CC387" i="1"/>
  <c r="CC388" i="1"/>
  <c r="CC389" i="1"/>
  <c r="CC390" i="1"/>
  <c r="CC391" i="1"/>
  <c r="CC392" i="1"/>
  <c r="CC393" i="1"/>
  <c r="CC394" i="1"/>
  <c r="CC395" i="1"/>
  <c r="CC396" i="1"/>
  <c r="CC2" i="1"/>
  <c r="EH396" i="1"/>
  <c r="EH395" i="1"/>
  <c r="EH394" i="1"/>
  <c r="EH393" i="1"/>
  <c r="EH392" i="1"/>
  <c r="EH391" i="1"/>
  <c r="EH390" i="1"/>
  <c r="EH389" i="1"/>
  <c r="EH388" i="1"/>
  <c r="EH387" i="1"/>
  <c r="EH386" i="1"/>
  <c r="EH385" i="1"/>
  <c r="EH384" i="1"/>
  <c r="EH383" i="1"/>
  <c r="EH382" i="1"/>
  <c r="EH381" i="1"/>
  <c r="EH380" i="1"/>
  <c r="EH379" i="1"/>
  <c r="EH378" i="1"/>
  <c r="EH377" i="1"/>
  <c r="EH376" i="1"/>
  <c r="EH375" i="1"/>
  <c r="EH374" i="1"/>
  <c r="EH373" i="1"/>
  <c r="EH372" i="1"/>
  <c r="EH371" i="1"/>
  <c r="EH370" i="1"/>
  <c r="EH369" i="1"/>
  <c r="EH368" i="1"/>
  <c r="EH367" i="1"/>
  <c r="EH366" i="1"/>
  <c r="EH365" i="1"/>
  <c r="EH364" i="1"/>
  <c r="EH363" i="1"/>
  <c r="EH362" i="1"/>
  <c r="EH361" i="1"/>
  <c r="EH360" i="1"/>
  <c r="EH359" i="1"/>
  <c r="EH358" i="1"/>
  <c r="EH357" i="1"/>
  <c r="EH356" i="1"/>
  <c r="EH355" i="1"/>
  <c r="EH354" i="1"/>
  <c r="EH353" i="1"/>
  <c r="EH352" i="1"/>
  <c r="EH351" i="1"/>
  <c r="EH350" i="1"/>
  <c r="EH349" i="1"/>
  <c r="EH348" i="1"/>
  <c r="EH347" i="1"/>
  <c r="EH346" i="1"/>
  <c r="EH345" i="1"/>
  <c r="EH344" i="1"/>
  <c r="EH343" i="1"/>
  <c r="EH342" i="1"/>
  <c r="EH341" i="1"/>
  <c r="EH340" i="1"/>
  <c r="EH339" i="1"/>
  <c r="EH338" i="1"/>
  <c r="EH337" i="1"/>
  <c r="EH336" i="1"/>
  <c r="EH335" i="1"/>
  <c r="EH334" i="1"/>
  <c r="EH333" i="1"/>
  <c r="EH332" i="1"/>
  <c r="EH331" i="1"/>
  <c r="EH330" i="1"/>
  <c r="EH329" i="1"/>
  <c r="EH328" i="1"/>
  <c r="EH327" i="1"/>
  <c r="EH326" i="1"/>
  <c r="EH325" i="1"/>
  <c r="EH324" i="1"/>
  <c r="EH323" i="1"/>
  <c r="EH322" i="1"/>
  <c r="EH321" i="1"/>
  <c r="EH320" i="1"/>
  <c r="EH319" i="1"/>
  <c r="EH318" i="1"/>
  <c r="EH317" i="1"/>
  <c r="EH316" i="1"/>
  <c r="EH315" i="1"/>
  <c r="EH314" i="1"/>
  <c r="EH313" i="1"/>
  <c r="EH312" i="1"/>
  <c r="EH311" i="1"/>
  <c r="EH310" i="1"/>
  <c r="EH309" i="1"/>
  <c r="EH308" i="1"/>
  <c r="EH307" i="1"/>
  <c r="EH306" i="1"/>
  <c r="EH305" i="1"/>
  <c r="EH304" i="1"/>
  <c r="EH303" i="1"/>
  <c r="EH302" i="1"/>
  <c r="EH301" i="1"/>
  <c r="EH300" i="1"/>
  <c r="EH299" i="1"/>
  <c r="EH298" i="1"/>
  <c r="EH297" i="1"/>
  <c r="EH296" i="1"/>
  <c r="EH295" i="1"/>
  <c r="EH294" i="1"/>
  <c r="EH293" i="1"/>
  <c r="EH292" i="1"/>
  <c r="EH291" i="1"/>
  <c r="EH290" i="1"/>
  <c r="EH289" i="1"/>
  <c r="EH288" i="1"/>
  <c r="EH287" i="1"/>
  <c r="EH286" i="1"/>
  <c r="EH285" i="1"/>
  <c r="EH284" i="1"/>
  <c r="EH283" i="1"/>
  <c r="EH282" i="1"/>
  <c r="EH281" i="1"/>
  <c r="EH280" i="1"/>
  <c r="EH279" i="1"/>
  <c r="EH278" i="1"/>
  <c r="EH277" i="1"/>
  <c r="EH276" i="1"/>
  <c r="EH275" i="1"/>
  <c r="EH274" i="1"/>
  <c r="EH273" i="1"/>
  <c r="EH272" i="1"/>
  <c r="EH271" i="1"/>
  <c r="EH270" i="1"/>
  <c r="EH269" i="1"/>
  <c r="EH268" i="1"/>
  <c r="EH267" i="1"/>
  <c r="EH266" i="1"/>
  <c r="EH265" i="1"/>
  <c r="EH264" i="1"/>
  <c r="EH263" i="1"/>
  <c r="EH262" i="1"/>
  <c r="EH261" i="1"/>
  <c r="EH260" i="1"/>
  <c r="EH259" i="1"/>
  <c r="EH258" i="1"/>
  <c r="EH257" i="1"/>
  <c r="EH256" i="1"/>
  <c r="EH255" i="1"/>
  <c r="EH254" i="1"/>
  <c r="EH253" i="1"/>
  <c r="EH252" i="1"/>
  <c r="EH251" i="1"/>
  <c r="EH250" i="1"/>
  <c r="EH249" i="1"/>
  <c r="EH248" i="1"/>
  <c r="EH247" i="1"/>
  <c r="EH246" i="1"/>
  <c r="EH245" i="1"/>
  <c r="EH244" i="1"/>
  <c r="EH243" i="1"/>
  <c r="EH242" i="1"/>
  <c r="EH241" i="1"/>
  <c r="EH240" i="1"/>
  <c r="EH239" i="1"/>
  <c r="EH238" i="1"/>
  <c r="EH237" i="1"/>
  <c r="EH236" i="1"/>
  <c r="EH235" i="1"/>
  <c r="EH234" i="1"/>
  <c r="EH233" i="1"/>
  <c r="EH232" i="1"/>
  <c r="EH231" i="1"/>
  <c r="EH230" i="1"/>
  <c r="EH229" i="1"/>
  <c r="EH228" i="1"/>
  <c r="EH227" i="1"/>
  <c r="EH226" i="1"/>
  <c r="EH225" i="1"/>
  <c r="EH224" i="1"/>
  <c r="EH223" i="1"/>
  <c r="EH222" i="1"/>
  <c r="EH221" i="1"/>
  <c r="EH220" i="1"/>
  <c r="EH219" i="1"/>
  <c r="EH218" i="1"/>
  <c r="EH217" i="1"/>
  <c r="EH216" i="1"/>
  <c r="EH215" i="1"/>
  <c r="EH214" i="1"/>
  <c r="EH213" i="1"/>
  <c r="EH212" i="1"/>
  <c r="EH211" i="1"/>
  <c r="EH210" i="1"/>
  <c r="EH209" i="1"/>
  <c r="EH208" i="1"/>
  <c r="EH207" i="1"/>
  <c r="EH206" i="1"/>
  <c r="EH205" i="1"/>
  <c r="EH204" i="1"/>
  <c r="EH203" i="1"/>
  <c r="EH202" i="1"/>
  <c r="EH201" i="1"/>
  <c r="EH200" i="1"/>
  <c r="EH199" i="1"/>
  <c r="EH198" i="1"/>
  <c r="EH197" i="1"/>
  <c r="EH196" i="1"/>
  <c r="EH195" i="1"/>
  <c r="EH194" i="1"/>
  <c r="EH193" i="1"/>
  <c r="EH192" i="1"/>
  <c r="EH191" i="1"/>
  <c r="EH190" i="1"/>
  <c r="EH189" i="1"/>
  <c r="EH188" i="1"/>
  <c r="EH187" i="1"/>
  <c r="EH186" i="1"/>
  <c r="EH185" i="1"/>
  <c r="EH184" i="1"/>
  <c r="EH183" i="1"/>
  <c r="EH182" i="1"/>
  <c r="EH181" i="1"/>
  <c r="EH180" i="1"/>
  <c r="EH179" i="1"/>
  <c r="EH178" i="1"/>
  <c r="EH177" i="1"/>
  <c r="EH176" i="1"/>
  <c r="EH175" i="1"/>
  <c r="EH174" i="1"/>
  <c r="EH173" i="1"/>
  <c r="EH172" i="1"/>
  <c r="EH171" i="1"/>
  <c r="EH170" i="1"/>
  <c r="EH169" i="1"/>
  <c r="EH168" i="1"/>
  <c r="EH167" i="1"/>
  <c r="EH166" i="1"/>
  <c r="EH165" i="1"/>
  <c r="EH164" i="1"/>
  <c r="EH163" i="1"/>
  <c r="EH162" i="1"/>
  <c r="EH161" i="1"/>
  <c r="EH160" i="1"/>
  <c r="EH159" i="1"/>
  <c r="EH158" i="1"/>
  <c r="EH157" i="1"/>
  <c r="EH156" i="1"/>
  <c r="EH155" i="1"/>
  <c r="EH154" i="1"/>
  <c r="EH153" i="1"/>
  <c r="EH152" i="1"/>
  <c r="EH151" i="1"/>
  <c r="EH150" i="1"/>
  <c r="EH149" i="1"/>
  <c r="EH148" i="1"/>
  <c r="EH147" i="1"/>
  <c r="EH146" i="1"/>
  <c r="EH145" i="1"/>
  <c r="EH144" i="1"/>
  <c r="EH143" i="1"/>
  <c r="EH142" i="1"/>
  <c r="EH141" i="1"/>
  <c r="EH140" i="1"/>
  <c r="EH139" i="1"/>
  <c r="EH138" i="1"/>
  <c r="EH137" i="1"/>
  <c r="EH136" i="1"/>
  <c r="EH135" i="1"/>
  <c r="EH134" i="1"/>
  <c r="EH133" i="1"/>
  <c r="EH132" i="1"/>
  <c r="EH131" i="1"/>
  <c r="EH130" i="1"/>
  <c r="EH129" i="1"/>
  <c r="EH128" i="1"/>
  <c r="EH127" i="1"/>
  <c r="EH126" i="1"/>
  <c r="EH125" i="1"/>
  <c r="EH124" i="1"/>
  <c r="EH123" i="1"/>
  <c r="EH122" i="1"/>
  <c r="EH121" i="1"/>
  <c r="EH120" i="1"/>
  <c r="EH119" i="1"/>
  <c r="EH118" i="1"/>
  <c r="EH117" i="1"/>
  <c r="EH116" i="1"/>
  <c r="EH115" i="1"/>
  <c r="EH114" i="1"/>
  <c r="EH113" i="1"/>
  <c r="EH112" i="1"/>
  <c r="EH111" i="1"/>
  <c r="EH110" i="1"/>
  <c r="EH109" i="1"/>
  <c r="EH108" i="1"/>
  <c r="EH107" i="1"/>
  <c r="EH106" i="1"/>
  <c r="EH105" i="1"/>
  <c r="EH104" i="1"/>
  <c r="EH103" i="1"/>
  <c r="EH102" i="1"/>
  <c r="EH101" i="1"/>
  <c r="EH100" i="1"/>
  <c r="EH99" i="1"/>
  <c r="EH98" i="1"/>
  <c r="EH97" i="1"/>
  <c r="EH96" i="1"/>
  <c r="EH95" i="1"/>
  <c r="EH94" i="1"/>
  <c r="EH93" i="1"/>
  <c r="EH92" i="1"/>
  <c r="EH91" i="1"/>
  <c r="EH90" i="1"/>
  <c r="EH89" i="1"/>
  <c r="EH88" i="1"/>
  <c r="EH87" i="1"/>
  <c r="EH86" i="1"/>
  <c r="EH85" i="1"/>
  <c r="EH84" i="1"/>
  <c r="EH83" i="1"/>
  <c r="EH82" i="1"/>
  <c r="EH81" i="1"/>
  <c r="EH80" i="1"/>
  <c r="EH79" i="1"/>
  <c r="EH78" i="1"/>
  <c r="EH77" i="1"/>
  <c r="EH76" i="1"/>
  <c r="EH75" i="1"/>
  <c r="EH74" i="1"/>
  <c r="EH73" i="1"/>
  <c r="EH72" i="1"/>
  <c r="EH71" i="1"/>
  <c r="EH70" i="1"/>
  <c r="EH69" i="1"/>
  <c r="EH68" i="1"/>
  <c r="EH67" i="1"/>
  <c r="EH66" i="1"/>
  <c r="EH65" i="1"/>
  <c r="EH64" i="1"/>
  <c r="EH63" i="1"/>
  <c r="EH62" i="1"/>
  <c r="EH61" i="1"/>
  <c r="EH60" i="1"/>
  <c r="EH59" i="1"/>
  <c r="EH58" i="1"/>
  <c r="EH57" i="1"/>
  <c r="EH56" i="1"/>
  <c r="EH55" i="1"/>
  <c r="EH54" i="1"/>
  <c r="EH53" i="1"/>
  <c r="EH52" i="1"/>
  <c r="EH51" i="1"/>
  <c r="EH50" i="1"/>
  <c r="EH49" i="1"/>
  <c r="EH48" i="1"/>
  <c r="EH47" i="1"/>
  <c r="EH46" i="1"/>
  <c r="EH45" i="1"/>
  <c r="EH44" i="1"/>
  <c r="EH43" i="1"/>
  <c r="EH42" i="1"/>
  <c r="EH41" i="1"/>
  <c r="EH40" i="1"/>
  <c r="EH39" i="1"/>
  <c r="EH38" i="1"/>
  <c r="EH37" i="1"/>
  <c r="EH36" i="1"/>
  <c r="EH35" i="1"/>
  <c r="EH34" i="1"/>
  <c r="EH33" i="1"/>
  <c r="EH32" i="1"/>
  <c r="EH31" i="1"/>
  <c r="EH30" i="1"/>
  <c r="EH29" i="1"/>
  <c r="EH28" i="1"/>
  <c r="EH27" i="1"/>
  <c r="EH26" i="1"/>
  <c r="EH25" i="1"/>
  <c r="EH24" i="1"/>
  <c r="EH23" i="1"/>
  <c r="EH22" i="1"/>
  <c r="EH21" i="1"/>
  <c r="EH20" i="1"/>
  <c r="EH19" i="1"/>
  <c r="EH18" i="1"/>
  <c r="EH17" i="1"/>
  <c r="EH16" i="1"/>
  <c r="EH15" i="1"/>
  <c r="EH14" i="1"/>
  <c r="EH13" i="1"/>
  <c r="EH12" i="1"/>
  <c r="EH11" i="1"/>
  <c r="EH10" i="1"/>
  <c r="EH9" i="1"/>
  <c r="EH8" i="1"/>
  <c r="EH7" i="1"/>
  <c r="EH6" i="1"/>
  <c r="EH5" i="1"/>
  <c r="EH4" i="1"/>
  <c r="EH3" i="1"/>
  <c r="EH2" i="1"/>
</calcChain>
</file>

<file path=xl/sharedStrings.xml><?xml version="1.0" encoding="utf-8"?>
<sst xmlns="http://schemas.openxmlformats.org/spreadsheetml/2006/main" count="11956" uniqueCount="1815">
  <si>
    <t>Longitude</t>
  </si>
  <si>
    <t>Latitude</t>
  </si>
  <si>
    <t>geometry</t>
  </si>
  <si>
    <t>CO2 Transport Costs ($/kg)</t>
  </si>
  <si>
    <t>Saline Aquifer Location</t>
  </si>
  <si>
    <t>CO2 Storage Costs ($/kg)</t>
  </si>
  <si>
    <t>Hydrogen Generation Pathway</t>
  </si>
  <si>
    <t>lon</t>
  </si>
  <si>
    <t>lat</t>
  </si>
  <si>
    <t>NAME_1</t>
  </si>
  <si>
    <t>County Name</t>
  </si>
  <si>
    <t>id</t>
  </si>
  <si>
    <t>comment</t>
  </si>
  <si>
    <t>REGION</t>
  </si>
  <si>
    <t>DIVISION</t>
  </si>
  <si>
    <t>STATE</t>
  </si>
  <si>
    <t>COUNTY</t>
  </si>
  <si>
    <t>Population of County</t>
  </si>
  <si>
    <t>States</t>
  </si>
  <si>
    <t>Natural Gas Prices ($/mmBTU)</t>
  </si>
  <si>
    <t>Electricity Price ($/kWh)</t>
  </si>
  <si>
    <t>FCEV CO2 Emissions (lbs CO2/kg H2)</t>
  </si>
  <si>
    <t>ICEV Trucks CO2 Emissions (lbs CO2/gal)</t>
  </si>
  <si>
    <t>ICEV CO2 Emissions (lbs CO2/gal)</t>
  </si>
  <si>
    <t>ICEV Trucks Average Mileage (miles per gal)</t>
  </si>
  <si>
    <t>ICEV Average Mileage (miles per gal)</t>
  </si>
  <si>
    <t>BEV CO2 Emissions (lb CO2/kWh)</t>
  </si>
  <si>
    <t>FCEV Average Mileage (miles per gal)</t>
  </si>
  <si>
    <t>CO2EmissionBEV</t>
  </si>
  <si>
    <t>BEV Average Mileage (miles per gal)</t>
  </si>
  <si>
    <t>States_y</t>
  </si>
  <si>
    <t>State_y</t>
  </si>
  <si>
    <t>$/month</t>
  </si>
  <si>
    <t>Water Price ($/gallon)</t>
  </si>
  <si>
    <t>$/1000 gal</t>
  </si>
  <si>
    <t>NAME</t>
  </si>
  <si>
    <t>Nearest City Distance</t>
  </si>
  <si>
    <t>LCOH SMR ($/kg H2)</t>
  </si>
  <si>
    <t>SMR LOM ($/kg H2)</t>
  </si>
  <si>
    <t>SMR LCC ($/kg H2)</t>
  </si>
  <si>
    <t>SMR LFC ($/kg H2)</t>
  </si>
  <si>
    <t>SMR LFCCH4 ($/kg H2)</t>
  </si>
  <si>
    <t>SMR LFCH2O ($/kg H2)</t>
  </si>
  <si>
    <t>SMR LFCkWh ($/kg H2)</t>
  </si>
  <si>
    <t>SMR LCOV ($/kg H2)</t>
  </si>
  <si>
    <t>LCOH SMRCC ($/kg H2)</t>
  </si>
  <si>
    <t>SMRCC LFC ($/kg H2)</t>
  </si>
  <si>
    <t>SMRCC LOM ($/kg H2)</t>
  </si>
  <si>
    <t>SMRCC LCC ($/kg H2)</t>
  </si>
  <si>
    <t>SMRCC LCCO2 ($/kg H2)</t>
  </si>
  <si>
    <t>SMRCC LFCCH4 ($/kg H2)</t>
  </si>
  <si>
    <t>SMRCC LFCH2O ($/kg H2)</t>
  </si>
  <si>
    <t>SMRCC LFCkWh ($/kg H2)</t>
  </si>
  <si>
    <t>SMRCC LCOV ($/kg H2)</t>
  </si>
  <si>
    <t>LCOH Electrolysis ($/kg H2)</t>
  </si>
  <si>
    <t>Electrolysis LFC ($/kg H2)</t>
  </si>
  <si>
    <t>Electrolysis LOM ($/kg H2)</t>
  </si>
  <si>
    <t>Electrolysis LCC ($/kg H2)</t>
  </si>
  <si>
    <t>Electrolysis LFCCH4 ($/kg H2)</t>
  </si>
  <si>
    <t>Electrolysis LFCH2O ($/kg H2)</t>
  </si>
  <si>
    <t>Electrolysis LFCkWh ($/kg H2)</t>
  </si>
  <si>
    <t>Electrolysis LCOV ($/kg H2)</t>
  </si>
  <si>
    <t>LCOH Onsite SMR ($/kg H2)</t>
  </si>
  <si>
    <t>Onsite SMR LOM ($/kg H2)</t>
  </si>
  <si>
    <t>Onsite SMR LCC ($/kg H2)</t>
  </si>
  <si>
    <t>Onsite SMR LFC ($/kg H2)</t>
  </si>
  <si>
    <t>Onsite SMR LFCCH4 ($/kg H2)</t>
  </si>
  <si>
    <t>Onsite SMR LFCH2O ($/kg H2)</t>
  </si>
  <si>
    <t>Onsite SMR LFCkWh ($/kg H2)</t>
  </si>
  <si>
    <t>Onsite SMR LCOV ($/kg H2)</t>
  </si>
  <si>
    <t>LCOH Onsite Electrolysis ($/kg H2)</t>
  </si>
  <si>
    <t>Onsite Electrolysis LFC ($/kg H2)</t>
  </si>
  <si>
    <t>Onsite Electrolysis LOM ($/kg H2)</t>
  </si>
  <si>
    <t>Onsite Electrolysis LCC ($/kg H2)</t>
  </si>
  <si>
    <t>Onsite Electrolysis LFCCH4 ($/kg H2)</t>
  </si>
  <si>
    <t>Onsite Electrolysis LFCH2O ($/kg H2)</t>
  </si>
  <si>
    <t>Onsite Electrolysis LFCkWh ($/kg H2)</t>
  </si>
  <si>
    <t>Onsite Electrolysis LCOV ($/kg H2)</t>
  </si>
  <si>
    <t>Levelized Cost of Transport (LCT) ($/kg H2)</t>
  </si>
  <si>
    <t>Levelized Cost of Refueling Stations (LCRS) ($/kg H2)</t>
  </si>
  <si>
    <t>ICEV CO2 Emissions per mile (kg/mile)</t>
  </si>
  <si>
    <t>ICEV Trucks CO2 Emissions per mile (kg/mile)</t>
  </si>
  <si>
    <t>FCEV CO2 Emissions per mile (kg/mile)</t>
  </si>
  <si>
    <t>BEV CO2 Emissions per mile (kg/mile)</t>
  </si>
  <si>
    <t>HubExists</t>
  </si>
  <si>
    <t>FID</t>
  </si>
  <si>
    <t>TYPEPIPE</t>
  </si>
  <si>
    <t>Operator</t>
  </si>
  <si>
    <t>Status</t>
  </si>
  <si>
    <t>Shape_Leng</t>
  </si>
  <si>
    <t>Pipeline_Distances (mi)</t>
  </si>
  <si>
    <t>HubID</t>
  </si>
  <si>
    <t>resource_name</t>
  </si>
  <si>
    <t>Formation Number</t>
  </si>
  <si>
    <t>Formation Identifier</t>
  </si>
  <si>
    <t>Formation Name</t>
  </si>
  <si>
    <t>State</t>
  </si>
  <si>
    <t>Local Region</t>
  </si>
  <si>
    <t>Basin</t>
  </si>
  <si>
    <t>State-Basin</t>
  </si>
  <si>
    <t>Large Region</t>
  </si>
  <si>
    <t>RCSP</t>
  </si>
  <si>
    <t>Reservoir Type</t>
  </si>
  <si>
    <t>Lithology</t>
  </si>
  <si>
    <t>Depositional Environment</t>
  </si>
  <si>
    <t>Geologic Age</t>
  </si>
  <si>
    <t>Area</t>
  </si>
  <si>
    <t>Area Centroid Longitude</t>
  </si>
  <si>
    <t>Area Centroid Latitude</t>
  </si>
  <si>
    <t>Depth - top</t>
  </si>
  <si>
    <t>Thickness</t>
  </si>
  <si>
    <t>Formation Pressure</t>
  </si>
  <si>
    <t xml:space="preserve">Formation Temp </t>
  </si>
  <si>
    <t>Porosity: Best Estimate</t>
  </si>
  <si>
    <t>Porosity: Minimum</t>
  </si>
  <si>
    <t>Porosity: Maximum</t>
  </si>
  <si>
    <t>Permeability: Best Estimate</t>
  </si>
  <si>
    <t>Permeability: Minimum</t>
  </si>
  <si>
    <t>Permeability: Maximum</t>
  </si>
  <si>
    <t>Salinity</t>
  </si>
  <si>
    <t>Main Source Reference</t>
  </si>
  <si>
    <t>Perc. Anticline Structure</t>
  </si>
  <si>
    <t>Perc. Dome Structure</t>
  </si>
  <si>
    <t>Perc. 10 deg Incline Structure</t>
  </si>
  <si>
    <t>Perc. 5 deg Incline Structure</t>
  </si>
  <si>
    <t>Perc. Flat Structure</t>
  </si>
  <si>
    <t>Saline_Aquifer_Distances</t>
  </si>
  <si>
    <t>Regular</t>
  </si>
  <si>
    <t>Mid-Grade</t>
  </si>
  <si>
    <t>Premium</t>
  </si>
  <si>
    <t>Diesel</t>
  </si>
  <si>
    <t>index_right</t>
  </si>
  <si>
    <t>NAME_right</t>
  </si>
  <si>
    <t>City_Distance</t>
  </si>
  <si>
    <t>POLYGON ((-81.64321391729871 26.14420225601923, -81.64321391729871 24.520411810581415, -83.43984448553775 24.520411810581415, -83.43984448553775 26.14420225601923, -81.64321391729871 26.14420225601923))</t>
  </si>
  <si>
    <t>&gt; 0 to &lt; 100 miles</t>
  </si>
  <si>
    <t>Electrolysis</t>
  </si>
  <si>
    <t>Florida</t>
  </si>
  <si>
    <t>Monroe</t>
  </si>
  <si>
    <t>FL</t>
  </si>
  <si>
    <t>Key West, FL</t>
  </si>
  <si>
    <t>Interstate</t>
  </si>
  <si>
    <t>Florida Gas Trans Co</t>
  </si>
  <si>
    <t>Operating</t>
  </si>
  <si>
    <t>Cedar Keys Lawson</t>
  </si>
  <si>
    <t>Cedar Keys-Lawson3</t>
  </si>
  <si>
    <t>Cedar Keys-Lawson</t>
  </si>
  <si>
    <t>S-Thin-Deep</t>
  </si>
  <si>
    <t>South Florida</t>
  </si>
  <si>
    <t>FL-South Florida</t>
  </si>
  <si>
    <t>GC-South Florida</t>
  </si>
  <si>
    <t>SECARB</t>
  </si>
  <si>
    <t>Saline</t>
  </si>
  <si>
    <t>Carbonate</t>
  </si>
  <si>
    <t>Reef</t>
  </si>
  <si>
    <t>Cretaceous</t>
  </si>
  <si>
    <t>a,14,45</t>
  </si>
  <si>
    <t>$4.3240</t>
  </si>
  <si>
    <t>$4.6570</t>
  </si>
  <si>
    <t>POLYGON ((-79.84658334905967 26.14420225601923, -79.84658334905967 24.520411810581415, -81.64321391729872 24.520411810581415, -81.64321391729872 26.14420225601923, -79.84658334905967 26.14420225601923))</t>
  </si>
  <si>
    <t>Below</t>
  </si>
  <si>
    <t>SMR or SMRCC</t>
  </si>
  <si>
    <t>Miami-Dade</t>
  </si>
  <si>
    <t>Miami-Fort Lauderdale-West Palm Beach, FL</t>
  </si>
  <si>
    <t>POLYGON ((-97.81288903145011 27.745715546143103, -97.81288903145011 26.144202256019234, -99.60951959968915 26.144202256019234, -99.60951959968915 27.745715546143103, -97.81288903145011 27.745715546143103))</t>
  </si>
  <si>
    <t>Texas</t>
  </si>
  <si>
    <t>Jim Hogg</t>
  </si>
  <si>
    <t>TX</t>
  </si>
  <si>
    <t>Rio Grande City, TX</t>
  </si>
  <si>
    <t>Intrastate</t>
  </si>
  <si>
    <t>El Paso Texas Pipeline Co</t>
  </si>
  <si>
    <t>Oligocene</t>
  </si>
  <si>
    <t>Frio13c</t>
  </si>
  <si>
    <t>Frio</t>
  </si>
  <si>
    <t>Rio Grande Embayment</t>
  </si>
  <si>
    <t>Gulf Coast Onshore</t>
  </si>
  <si>
    <t>TX-GC Tertiary</t>
  </si>
  <si>
    <t>GC-TX Tertiary</t>
  </si>
  <si>
    <t>Clastic</t>
  </si>
  <si>
    <t>Delta</t>
  </si>
  <si>
    <t>Tertiary</t>
  </si>
  <si>
    <t>14,48,72,73</t>
  </si>
  <si>
    <t>$3.9680</t>
  </si>
  <si>
    <t>$4.3330</t>
  </si>
  <si>
    <t>POLYGON ((-96.01625846321107 27.745715546143103, -96.01625846321107 26.144202256019234, -97.81288903145011 26.144202256019234, -97.81288903145011 27.745715546143103, -96.01625846321107 27.745715546143103))</t>
  </si>
  <si>
    <t>Kenedy</t>
  </si>
  <si>
    <t>Kingsville, TX</t>
  </si>
  <si>
    <t>Transcontinental Gas PL</t>
  </si>
  <si>
    <t>Miocene</t>
  </si>
  <si>
    <t>POLYGON ((-81.64321391729871 27.745715546143103, -81.64321391729871 26.144202256019234, -83.43984448553775 26.144202256019234, -83.43984448553775 27.745715546143103, -81.64321391729871 27.745715546143103))</t>
  </si>
  <si>
    <t>Sarasota</t>
  </si>
  <si>
    <t>North Port-Sarasota-Bradenton, FL</t>
  </si>
  <si>
    <t>POLYGON ((-79.84658334905967 27.745715546143103, -79.84658334905967 26.144202256019234, -81.64321391729872 26.144202256019234, -81.64321391729872 27.745715546143103, -79.84658334905967 27.745715546143103))</t>
  </si>
  <si>
    <t>Palm Beach</t>
  </si>
  <si>
    <t>Gulfstream Pipeline Co</t>
  </si>
  <si>
    <t>POLYGON ((-103.20278073616724 29.324023793711028, -103.20278073616724 27.745715546143103, -104.99941130440628 27.745715546143103, -104.99941130440628 29.324023793711028, -103.20278073616724 29.324023793711028))</t>
  </si>
  <si>
    <t>Brewster</t>
  </si>
  <si>
    <t>El Paso, TX</t>
  </si>
  <si>
    <t>Trans Pecos Pipeline</t>
  </si>
  <si>
    <t>Seven Rivers</t>
  </si>
  <si>
    <t>Cisco3</t>
  </si>
  <si>
    <t>Cisco</t>
  </si>
  <si>
    <t>TX-W</t>
  </si>
  <si>
    <t>Permian</t>
  </si>
  <si>
    <t>TX-Permian</t>
  </si>
  <si>
    <t>W Tx - NM</t>
  </si>
  <si>
    <t>SWP</t>
  </si>
  <si>
    <t>Shallow Shelf</t>
  </si>
  <si>
    <t>Pennsylvanian</t>
  </si>
  <si>
    <t>51,60,62</t>
  </si>
  <si>
    <t>POLYGON ((-99.60951959968915 29.324023793711028, -99.60951959968915 27.745715546143103, -101.40615016792819 27.745715546143103, -101.40615016792819 29.324023793711028, -99.60951959968915 29.324023793711028))</t>
  </si>
  <si>
    <t>Maverick</t>
  </si>
  <si>
    <t>Eagle Pass, TX</t>
  </si>
  <si>
    <t>Eocene Sand</t>
  </si>
  <si>
    <t>Lower Tuscaloosa10</t>
  </si>
  <si>
    <t>Lower Tuscaloosa</t>
  </si>
  <si>
    <t>MS</t>
  </si>
  <si>
    <t>MS-SE</t>
  </si>
  <si>
    <t>MS-GC Cretaceous</t>
  </si>
  <si>
    <t>GC-MS Cretaceous</t>
  </si>
  <si>
    <t>POLYGON ((-97.81288903145011 29.324023793711028, -97.81288903145011 27.745715546143103, -99.60951959968915 27.745715546143103, -99.60951959968915 29.324023793711028, -97.81288903145011 29.324023793711028))</t>
  </si>
  <si>
    <t>McMullen</t>
  </si>
  <si>
    <t>San Antonio-New Braunfels, TX</t>
  </si>
  <si>
    <t>POLYGON ((-96.01625846321107 29.324023793711028, -96.01625846321107 27.745715546143103, -97.81288903145011 27.745715546143103, -97.81288903145011 29.324023793711028, -96.01625846321107 29.324023793711028))</t>
  </si>
  <si>
    <t>Victoria</t>
  </si>
  <si>
    <t>Victoria, TX</t>
  </si>
  <si>
    <t>POLYGON ((-94.21962789497202 29.324023793711028, -94.21962789497202 27.745715546143103, -96.01625846321107 27.745715546143103, -96.01625846321107 29.324023793711028, -94.21962789497202 29.324023793711028))</t>
  </si>
  <si>
    <t>Brazoria</t>
  </si>
  <si>
    <t>Houston-The Woodlands-Sugar Land, TX</t>
  </si>
  <si>
    <t>POLYGON ((-90.62636675849392 29.324023793711028, -90.62636675849392 27.745715546143103, -92.42299732673295 27.745715546143103, -92.42299732673295 29.324023793711028, -90.62636675849392 29.324023793711028))</t>
  </si>
  <si>
    <t>Louisiana</t>
  </si>
  <si>
    <t>Terrebonne</t>
  </si>
  <si>
    <t>LA</t>
  </si>
  <si>
    <t>Houma-Thibodaux, LA</t>
  </si>
  <si>
    <t>Sea Robin Pipeline</t>
  </si>
  <si>
    <t>$3.9500</t>
  </si>
  <si>
    <t>$4.3410</t>
  </si>
  <si>
    <t>POLYGON ((-88.82973619025488 29.324023793711028, -88.82973619025488 27.745715546143103, -90.62636675849392 27.745715546143103, -90.62636675849392 29.324023793711028, -88.82973619025488 29.324023793711028))</t>
  </si>
  <si>
    <t>Plaquemines</t>
  </si>
  <si>
    <t>New Orleans-Metairie, LA</t>
  </si>
  <si>
    <t>Southern Natural Gas Co</t>
  </si>
  <si>
    <t>POLYGON ((-81.64321391729871 29.324023793711028, -81.64321391729871 27.745715546143103, -83.43984448553775 27.745715546143103, -83.43984448553775 29.324023793711028, -81.64321391729871 29.324023793711028))</t>
  </si>
  <si>
    <t>Hernando</t>
  </si>
  <si>
    <t>Tampa-St. Petersburg-Clearwater, FL</t>
  </si>
  <si>
    <t>POLYGON ((-79.84658334905967 29.324023793711028, -79.84658334905967 27.745715546143103, -81.64321391729872 27.745715546143103, -81.64321391729872 29.324023793711028, -79.84658334905967 29.324023793711028))</t>
  </si>
  <si>
    <t>Brevard</t>
  </si>
  <si>
    <t>Palm Bay-Melbourne-Titusville, FL</t>
  </si>
  <si>
    <t>POLYGON ((-103.20278073616724 30.878283446579754, -103.20278073616724 29.324023793711028, -104.99941130440628 29.324023793711028, -104.99941130440628 30.878283446579754, -103.20278073616724 30.878283446579754))</t>
  </si>
  <si>
    <t>Presidio</t>
  </si>
  <si>
    <t>Pecos, TX</t>
  </si>
  <si>
    <t>POLYGON ((-101.40615016792819 30.878283446579754, -101.40615016792819 29.324023793711028, -103.20278073616724 29.324023793711028, -103.20278073616724 30.878283446579754, -101.40615016792819 30.878283446579754))</t>
  </si>
  <si>
    <t>Terrell</t>
  </si>
  <si>
    <t>Del Rio, TX</t>
  </si>
  <si>
    <t>POLYGON ((-99.60951959968915 30.878283446579754, -99.60951959968915 29.324023793711028, -101.40615016792819 29.324023793711028, -101.40615016792819 30.878283446579754, -99.60951959968915 30.878283446579754))</t>
  </si>
  <si>
    <t>Edwards</t>
  </si>
  <si>
    <t>POLYGON ((-97.81288903145011 30.878283446579754, -97.81288903145011 29.324023793711028, -99.60951959968915 29.324023793711028, -99.60951959968915 30.878283446579754, -97.81288903145011 30.878283446579754))</t>
  </si>
  <si>
    <t>Kendall</t>
  </si>
  <si>
    <t>Oasis Pipeline</t>
  </si>
  <si>
    <t>POLYGON ((-96.01625846321107 30.878283446579754, -96.01625846321107 29.324023793711028, -97.81288903145011 29.324023793711028, -97.81288903145011 30.878283446579754, -96.01625846321107 30.878283446579754))</t>
  </si>
  <si>
    <t>Lee</t>
  </si>
  <si>
    <t>Austin-Round Rock, TX</t>
  </si>
  <si>
    <t>Energy Transfer</t>
  </si>
  <si>
    <t>POLYGON ((-94.21962789497202 30.878283446579754, -94.21962789497202 29.324023793711028, -96.01625846321107 29.324023793711028, -96.01625846321107 30.878283446579754, -94.21962789497202 30.878283446579754))</t>
  </si>
  <si>
    <t>Harris</t>
  </si>
  <si>
    <t>POLYGON ((-92.42299732673298 30.878283446579754, -92.42299732673298 29.324023793711028, -94.21962789497202 29.324023793711028, -94.21962789497202 30.878283446579754, -92.42299732673298 30.878283446579754))</t>
  </si>
  <si>
    <t>Calcasieu</t>
  </si>
  <si>
    <t>Lake Charles, LA</t>
  </si>
  <si>
    <t>Gulf South Pipeline Co</t>
  </si>
  <si>
    <t>POLYGON ((-90.62636675849392 30.878283446579754, -90.62636675849392 29.324023793711028, -92.42299732673295 29.324023793711028, -92.42299732673295 30.878283446579754, -90.62636675849392 30.878283446579754))</t>
  </si>
  <si>
    <t>Saint Martin</t>
  </si>
  <si>
    <t>Lafayette, LA</t>
  </si>
  <si>
    <t>POLYGON ((-88.82973619025488 30.878283446579754, -88.82973619025488 29.324023793711028, -90.62636675849392 29.324023793711028, -90.62636675849392 30.878283446579754, -88.82973619025488 30.878283446579754))</t>
  </si>
  <si>
    <t>Orleans</t>
  </si>
  <si>
    <t>POLYGON ((-87.03310562201582 30.878283446579754, -87.03310562201582 29.324023793711028, -88.82973619025488 29.324023793711028, -88.82973619025488 30.878283446579754, -87.03310562201582 30.878283446579754))</t>
  </si>
  <si>
    <t>Alabama</t>
  </si>
  <si>
    <t>Baldwin</t>
  </si>
  <si>
    <t>AL</t>
  </si>
  <si>
    <t>Daphne-Fairhope-Foley, AL</t>
  </si>
  <si>
    <t>Dauphin Island Gathering System</t>
  </si>
  <si>
    <t>$3.9890</t>
  </si>
  <si>
    <t>$4.3920</t>
  </si>
  <si>
    <t>POLYGON ((-85.23647505377679 30.878283446579754, -85.23647505377679 29.324023793711028, -87.03310562201582 29.324023793711028, -87.03310562201582 30.878283446579754, -85.23647505377679 30.878283446579754))</t>
  </si>
  <si>
    <t>Walton</t>
  </si>
  <si>
    <t>Crestview-Fort Walton Beach-Destin, FL</t>
  </si>
  <si>
    <t>Washita-Fredericksburg Formation (FL)</t>
  </si>
  <si>
    <t>Washita-Fredericksburg2</t>
  </si>
  <si>
    <t>Washita-Fredericksburg</t>
  </si>
  <si>
    <t>FL-Panhandle</t>
  </si>
  <si>
    <t>FL-GC Cretaceous</t>
  </si>
  <si>
    <t>GC-FL Cretaceous</t>
  </si>
  <si>
    <t>59,60</t>
  </si>
  <si>
    <t>POLYGON ((-83.43984448553775 30.878283446579754, -83.43984448553775 29.324023793711028, -85.23647505377679 29.324023793711028, -85.23647505377679 30.878283446579754, -83.43984448553775 30.878283446579754))</t>
  </si>
  <si>
    <t>Wakulla</t>
  </si>
  <si>
    <t>Tallahassee, FL</t>
  </si>
  <si>
    <t>Eutaw Formation (FL)</t>
  </si>
  <si>
    <t>Lower Tuscaloosa4</t>
  </si>
  <si>
    <t>FL-N</t>
  </si>
  <si>
    <t>POLYGON ((-81.64321391729871 30.878283446579754, -81.64321391729871 29.324023793711028, -83.43984448553775 29.324023793711028, -83.43984448553775 30.878283446579754, -81.64321391729871 30.878283446579754))</t>
  </si>
  <si>
    <t>Columbia</t>
  </si>
  <si>
    <t>Lake City, FL</t>
  </si>
  <si>
    <t>South Georgia Gas Pipeline Co</t>
  </si>
  <si>
    <t>Eutaw Formation (GA)</t>
  </si>
  <si>
    <t>POLYGON ((-79.84658334905967 30.878283446579754, -79.84658334905967 29.324023793711028, -81.64321391729872 29.324023793711028, -81.64321391729872 30.878283446579754, -79.84658334905967 30.878283446579754))</t>
  </si>
  <si>
    <t>Saint Johns</t>
  </si>
  <si>
    <t>Jacksonville, FL</t>
  </si>
  <si>
    <t>POLYGON ((-112.18593357736243 32.40773508280422, -112.18593357736243 30.878283446579736, -113.98256414560147 30.878283446579736, -113.98256414560147 32.40773508280422, -112.18593357736243 32.40773508280422))</t>
  </si>
  <si>
    <t>&gt; 100 to &lt; 200 miles</t>
  </si>
  <si>
    <t>Arizona</t>
  </si>
  <si>
    <t>Pima</t>
  </si>
  <si>
    <t>AZ</t>
  </si>
  <si>
    <t>Tucson, AZ</t>
  </si>
  <si>
    <t>El Paso Natural Gas Co</t>
  </si>
  <si>
    <t>Salton Trough</t>
  </si>
  <si>
    <t>Repetto Sst1</t>
  </si>
  <si>
    <t>Repetto Sst</t>
  </si>
  <si>
    <t>CA</t>
  </si>
  <si>
    <t>Rep-Shallow</t>
  </si>
  <si>
    <t>Los Angeles</t>
  </si>
  <si>
    <t>CA-LA Tertiary</t>
  </si>
  <si>
    <t>WESTCARB</t>
  </si>
  <si>
    <t>Slope Basin</t>
  </si>
  <si>
    <t>&gt;20,000</t>
  </si>
  <si>
    <t>3,14,16</t>
  </si>
  <si>
    <t>$4.2690</t>
  </si>
  <si>
    <t>$4.5870</t>
  </si>
  <si>
    <t>POLYGON ((-110.3893030091234 32.40773508280422, -110.3893030091234 30.878283446579736, -112.18593357736243 30.878283446579736, -112.18593357736243 32.40773508280422, -110.3893030091234 32.40773508280422))</t>
  </si>
  <si>
    <t>&gt; 200 to &lt; 300 miles</t>
  </si>
  <si>
    <t>POLYGON ((-108.59267244088436 32.40773508280422, -108.59267244088436 30.878283446579736, -110.38930300912341 30.878283446579736, -110.38930300912341 32.40773508280422, -108.59267244088436 32.40773508280422))</t>
  </si>
  <si>
    <t>Cochise</t>
  </si>
  <si>
    <t>Sierra Vista-Douglas, AZ</t>
  </si>
  <si>
    <t>Yeso</t>
  </si>
  <si>
    <t>Canyon4</t>
  </si>
  <si>
    <t>Canyon</t>
  </si>
  <si>
    <t>NM</t>
  </si>
  <si>
    <t>NM-SE</t>
  </si>
  <si>
    <t>NM-Permian</t>
  </si>
  <si>
    <t>POLYGON ((-106.79604187264532 32.40773508280422, -106.79604187264532 30.878283446579736, -108.59267244088436 30.878283446579736, -108.59267244088436 32.40773508280422, -106.79604187264532 32.40773508280422))</t>
  </si>
  <si>
    <t>New Mexico</t>
  </si>
  <si>
    <t>Luna</t>
  </si>
  <si>
    <t>Deming, NM</t>
  </si>
  <si>
    <t>$4.4560</t>
  </si>
  <si>
    <t>$4.7590</t>
  </si>
  <si>
    <t>POLYGON ((-104.99941130440628 32.40773508280422, -104.99941130440628 30.878283446579736, -106.79604187264532 30.878283446579736, -106.79604187264532 32.40773508280422, -104.99941130440628 32.40773508280422))</t>
  </si>
  <si>
    <t>Hudspeth</t>
  </si>
  <si>
    <t>Roadrunner Eastbound</t>
  </si>
  <si>
    <t>POLYGON ((-103.20278073616724 32.40773508280422, -103.20278073616724 30.878283446579736, -104.99941130440628 30.878283446579736, -104.99941130440628 32.40773508280422, -103.20278073616724 32.40773508280422))</t>
  </si>
  <si>
    <t>Culberson</t>
  </si>
  <si>
    <t>ONEOK Westex Pipeline</t>
  </si>
  <si>
    <t>POLYGON ((-101.40615016792819 32.40773508280422, -101.40615016792819 30.878283446579736, -103.20278073616724 30.878283446579736, -103.20278073616724 32.40773508280422, -101.40615016792819 32.40773508280422))</t>
  </si>
  <si>
    <t>Upton</t>
  </si>
  <si>
    <t>Odessa, TX</t>
  </si>
  <si>
    <t>POLYGON ((-99.60951959968915 32.40773508280422, -99.60951959968915 30.878283446579736, -101.40615016792819 30.878283446579736, -101.40615016792819 32.40773508280422, -99.60951959968915 32.40773508280422))</t>
  </si>
  <si>
    <t>Tom Green</t>
  </si>
  <si>
    <t>San Angelo, TX</t>
  </si>
  <si>
    <t>Atmos Pipeline - Texas</t>
  </si>
  <si>
    <t>POLYGON ((-97.81288903145011 32.40773508280422, -97.81288903145011 30.878283446579736, -99.60951959968915 30.878283446579736, -99.60951959968915 32.40773508280422, -97.81288903145011 32.40773508280422))</t>
  </si>
  <si>
    <t>Mills</t>
  </si>
  <si>
    <t>Brownwood, TX</t>
  </si>
  <si>
    <t>Woodbine &amp; Paluxy</t>
  </si>
  <si>
    <t>Woodbine1</t>
  </si>
  <si>
    <t>Woodbine</t>
  </si>
  <si>
    <t>TX-E</t>
  </si>
  <si>
    <t>East Texas</t>
  </si>
  <si>
    <t>TX-East Texas</t>
  </si>
  <si>
    <t>GC-TX East Texas</t>
  </si>
  <si>
    <t>Fluvial</t>
  </si>
  <si>
    <t>11,14</t>
  </si>
  <si>
    <t>POLYGON ((-96.01625846321107 32.40773508280422, -96.01625846321107 30.878283446579736, -97.81288903145011 30.878283446579736, -97.81288903145011 32.40773508280422, -96.01625846321107 32.40773508280422))</t>
  </si>
  <si>
    <t>McLennan</t>
  </si>
  <si>
    <t>Waco, TX</t>
  </si>
  <si>
    <t>POLYGON ((-94.21962789497202 32.40773508280422, -94.21962789497202 30.878283446579736, -96.01625846321107 30.878283446579736, -96.01625846321107 32.40773508280422, -94.21962789497202 32.40773508280422))</t>
  </si>
  <si>
    <t>Cherokee</t>
  </si>
  <si>
    <t>Jacksonville, TX</t>
  </si>
  <si>
    <t>Enbridge Pipelines (East Texas)</t>
  </si>
  <si>
    <t>POLYGON ((-92.42299732673298 32.40773508280422, -92.42299732673298 30.878283446579736, -94.21962789497202 30.878283446579736, -94.21962789497202 32.40773508280422, -92.42299732673298 32.40773508280422))</t>
  </si>
  <si>
    <t>Natchitoches</t>
  </si>
  <si>
    <t>Natchitoches, LA</t>
  </si>
  <si>
    <t>Tennessee Gas Pipeline</t>
  </si>
  <si>
    <t>Tertiary Undivided</t>
  </si>
  <si>
    <t>Lower Tuscaloosa9</t>
  </si>
  <si>
    <t>MS-S</t>
  </si>
  <si>
    <t>POLYGON ((-90.62636675849392 32.40773508280422, -90.62636675849392 30.878283446579736, -92.42299732673295 30.878283446579736, -92.42299732673295 32.40773508280422, -90.62636675849392 32.40773508280422))</t>
  </si>
  <si>
    <t>Concordia</t>
  </si>
  <si>
    <t>Natchez, MS-LA</t>
  </si>
  <si>
    <t>Midla-Natchez Pipeline</t>
  </si>
  <si>
    <t>POLYGON ((-88.82973619025488 32.40773508280422, -88.82973619025488 30.878283446579736, -90.62636675849392 30.878283446579736, -90.62636675849392 32.40773508280422, -88.82973619025488 32.40773508280422))</t>
  </si>
  <si>
    <t>Mississippi</t>
  </si>
  <si>
    <t>Covington</t>
  </si>
  <si>
    <t>Jackson, MS</t>
  </si>
  <si>
    <t>Crosstex Mississippi Pipeline</t>
  </si>
  <si>
    <t>Washita-Fredericksburg Formation (MS)</t>
  </si>
  <si>
    <t>$3.9040</t>
  </si>
  <si>
    <t>$4.2740</t>
  </si>
  <si>
    <t>POLYGON ((-87.03310562201582 32.40773508280422, -87.03310562201582 30.878283446579736, -88.82973619025488 30.878283446579736, -88.82973619025488 32.40773508280422, -87.03310562201582 32.40773508280422))</t>
  </si>
  <si>
    <t>Clarke</t>
  </si>
  <si>
    <t>Eutaw Formation (AL)</t>
  </si>
  <si>
    <t>Lower Tuscaloosa2</t>
  </si>
  <si>
    <t>AL-SW</t>
  </si>
  <si>
    <t>AL-GC Cretaceous</t>
  </si>
  <si>
    <t>GC-AL Cretaceous</t>
  </si>
  <si>
    <t>StrandPlain</t>
  </si>
  <si>
    <t>POLYGON ((-85.23647505377679 32.40773508280422, -85.23647505377679 30.878283446579736, -87.03310562201582 30.878283446579736, -87.03310562201582 32.40773508280422, -85.23647505377679 32.40773508280422))</t>
  </si>
  <si>
    <t>Pike</t>
  </si>
  <si>
    <t>Troy, AL</t>
  </si>
  <si>
    <t>Paluxy (AL)</t>
  </si>
  <si>
    <t>POLYGON ((-83.43984448553775 32.40773508280422, -83.43984448553775 30.878283446579736, -85.23647505377679 30.878283446579736, -85.23647505377679 32.40773508280422, -83.43984448553775 32.40773508280422))</t>
  </si>
  <si>
    <t>Georgia</t>
  </si>
  <si>
    <t>GA</t>
  </si>
  <si>
    <t>Albany, GA</t>
  </si>
  <si>
    <t>Sabal Trail Pipeline</t>
  </si>
  <si>
    <t>Albany-Arabi Basin</t>
  </si>
  <si>
    <t>Lower Tuscaloosa5</t>
  </si>
  <si>
    <t>GA-S</t>
  </si>
  <si>
    <t>GA-GC Cretaceous</t>
  </si>
  <si>
    <t>GC-GA Cretaceous</t>
  </si>
  <si>
    <t>$4.0690</t>
  </si>
  <si>
    <t>$4.4850</t>
  </si>
  <si>
    <t>POLYGON ((-81.64321391729871 32.40773508280422, -81.64321391729871 30.878283446579736, -83.43984448553775 30.878283446579736, -83.43984448553775 32.40773508280422, -81.64321391729871 32.40773508280422))</t>
  </si>
  <si>
    <t>Bacon</t>
  </si>
  <si>
    <t>Douglas, GA</t>
  </si>
  <si>
    <t>Alamo-Ehrhardt Basin</t>
  </si>
  <si>
    <t>POLYGON ((-79.84658334905967 32.40773508280422, -79.84658334905967 30.878283446579736, -81.64321391729872 30.878283446579736, -81.64321391729872 32.40773508280422, -79.84658334905967 32.40773508280422))</t>
  </si>
  <si>
    <t>Chatham</t>
  </si>
  <si>
    <t>Savannah, GA</t>
  </si>
  <si>
    <t>South Carolina PL Corp</t>
  </si>
  <si>
    <t>Triassic, Tuscaloosa</t>
  </si>
  <si>
    <t>POLYGON ((-119.37245585031862 33.91170263173191, -119.37245585031862 32.40773508280423, -121.16908641855765 32.40773508280423, -121.16908641855765 33.91170263173191, -119.37245585031862 33.91170263173191))</t>
  </si>
  <si>
    <t>California</t>
  </si>
  <si>
    <t>Ventura</t>
  </si>
  <si>
    <t>Oxnard-Thousand Oaks-Ventura, CA</t>
  </si>
  <si>
    <t>Southern California Gas Co</t>
  </si>
  <si>
    <t>Patton Basin</t>
  </si>
  <si>
    <t>$5.6310</t>
  </si>
  <si>
    <t>$5.8190</t>
  </si>
  <si>
    <t>POLYGON ((-117.57582528207958 33.91170263173191, -117.57582528207958 32.40773508280423, -119.37245585031862 32.40773508280423, -119.37245585031862 33.91170263173191, -117.57582528207958 33.91170263173191))</t>
  </si>
  <si>
    <t>Los Angeles-Long Beach-Anaheim, CA</t>
  </si>
  <si>
    <t>Catalina Basin</t>
  </si>
  <si>
    <t>POLYGON ((-115.77919471384052 33.91170263173191, -115.77919471384052 32.40773508280423, -117.57582528207958 32.40773508280423, -117.57582528207958 33.91170263173191, -115.77919471384052 33.91170263173191))</t>
  </si>
  <si>
    <t>San Diego</t>
  </si>
  <si>
    <t>San Diego-Carlsbad, CA</t>
  </si>
  <si>
    <t>San Diego Gas &amp; Elec Co</t>
  </si>
  <si>
    <t>POLYGON ((-113.98256414560149 33.91170263173191, -113.98256414560149 32.40773508280423, -115.77919471384052 32.40773508280423, -115.77919471384052 33.91170263173191, -113.98256414560149 33.91170263173191))</t>
  </si>
  <si>
    <t>Imperial</t>
  </si>
  <si>
    <t>El Centro, CA</t>
  </si>
  <si>
    <t>North Baja Pipeline Co</t>
  </si>
  <si>
    <t>Unnamed 2</t>
  </si>
  <si>
    <t>POLYGON ((-112.18593357736243 33.91170263173191, -112.18593357736243 32.40773508280423, -113.98256414560147 32.40773508280423, -113.98256414560147 33.91170263173191, -112.18593357736243 33.91170263173191))</t>
  </si>
  <si>
    <t>Maricopa</t>
  </si>
  <si>
    <t>Phoenix-Mesa-Scottsdale, AZ</t>
  </si>
  <si>
    <t>Palo Verde Valley</t>
  </si>
  <si>
    <t>POLYGON ((-110.3893030091234 33.91170263173191, -110.3893030091234 32.40773508280423, -112.18593357736243 32.40773508280423, -112.18593357736243 33.91170263173191, -110.3893030091234 33.91170263173191))</t>
  </si>
  <si>
    <t>Pinal</t>
  </si>
  <si>
    <t>Hermosa1b</t>
  </si>
  <si>
    <t>Hermosa</t>
  </si>
  <si>
    <t>CO</t>
  </si>
  <si>
    <t>Paradox - SE</t>
  </si>
  <si>
    <t>Paradox</t>
  </si>
  <si>
    <t>CO-Paradox</t>
  </si>
  <si>
    <t>RkMt-Paradox</t>
  </si>
  <si>
    <t>Peritidal</t>
  </si>
  <si>
    <t>POLYGON ((-108.59267244088436 33.91170263173191, -108.59267244088436 32.40773508280423, -110.38930300912341 32.40773508280423, -110.38930300912341 33.91170263173191, -108.59267244088436 33.91170263173191))</t>
  </si>
  <si>
    <t>Graham</t>
  </si>
  <si>
    <t>Safford, AZ</t>
  </si>
  <si>
    <t>POLYGON ((-106.79604187264532 33.91170263173191, -106.79604187264532 32.40773508280423, -108.59267244088436 32.40773508280423, -108.59267244088436 33.91170263173191, -106.79604187264532 33.91170263173191))</t>
  </si>
  <si>
    <t>Sierra</t>
  </si>
  <si>
    <t>Silver City, NM</t>
  </si>
  <si>
    <t>POLYGON ((-104.99941130440628 33.91170263173191, -104.99941130440628 32.40773508280423, -106.79604187264532 32.40773508280423, -106.79604187264532 33.91170263173191, -104.99941130440628 33.91170263173191))</t>
  </si>
  <si>
    <t>Otero</t>
  </si>
  <si>
    <t>Alamogordo, NM</t>
  </si>
  <si>
    <t>POLYGON ((-103.20278073616724 33.91170263173191, -103.20278073616724 32.40773508280423, -104.99941130440628 32.40773508280423, -104.99941130440628 33.91170263173191, -103.20278073616724 33.91170263173191))</t>
  </si>
  <si>
    <t>Chaves</t>
  </si>
  <si>
    <t>Roswell, NM</t>
  </si>
  <si>
    <t>POLYGON ((-101.40615016792819 33.91170263173191, -101.40615016792819 32.40773508280423, -103.20278073616724 32.40773508280423, -103.20278073616724 33.91170263173191, -101.40615016792819 33.91170263173191))</t>
  </si>
  <si>
    <t>Terry</t>
  </si>
  <si>
    <t>Lubbock, TX</t>
  </si>
  <si>
    <t>Northern Natural Gas Co</t>
  </si>
  <si>
    <t>Lamesa, TX</t>
  </si>
  <si>
    <t>POLYGON ((-99.60951959968915 33.91170263173191, -99.60951959968915 32.40773508280423, -101.40615016792819 32.40773508280423, -101.40615016792819 33.91170263173191, -99.60951959968915 33.91170263173191))</t>
  </si>
  <si>
    <t>Stonewall</t>
  </si>
  <si>
    <t>Snyder, TX</t>
  </si>
  <si>
    <t>Yates</t>
  </si>
  <si>
    <t>POLYGON ((-97.81288903145011 33.91170263173191, -97.81288903145011 32.40773508280423, -99.60951959968915 32.40773508280423, -99.60951959968915 33.91170263173191, -97.81288903145011 33.91170263173191))</t>
  </si>
  <si>
    <t>Young</t>
  </si>
  <si>
    <t>Wichita Falls, TX</t>
  </si>
  <si>
    <t>Anadarko Basin</t>
  </si>
  <si>
    <t>Arbuckle1</t>
  </si>
  <si>
    <t>Arbuckle</t>
  </si>
  <si>
    <t>OK</t>
  </si>
  <si>
    <t>OK - N</t>
  </si>
  <si>
    <t>Northern Shelf Area</t>
  </si>
  <si>
    <t>OK-N Shelf Area</t>
  </si>
  <si>
    <t>Dolomite</t>
  </si>
  <si>
    <t>Ordovician</t>
  </si>
  <si>
    <t>POLYGON ((-96.01625846321107 33.91170263173191, -96.01625846321107 32.40773508280423, -97.81288903145011 32.40773508280423, -97.81288903145011 33.91170263173191, -96.01625846321107 33.91170263173191))</t>
  </si>
  <si>
    <t>Denton</t>
  </si>
  <si>
    <t>Dallas-Fort Worth-Arlington, TX</t>
  </si>
  <si>
    <t>POLYGON ((-94.21962789497202 33.91170263173191, -94.21962789497202 32.40773508280423, -96.01625846321107 32.40773508280423, -96.01625846321107 33.91170263173191, -94.21962789497202 33.91170263173191))</t>
  </si>
  <si>
    <t>Titus</t>
  </si>
  <si>
    <t>Mount Pleasant, TX</t>
  </si>
  <si>
    <t>Enable Gas Transmission</t>
  </si>
  <si>
    <t>POLYGON ((-92.42299732673298 33.91170263173191, -92.42299732673298 32.40773508280423, -94.21962789497202 32.40773508280423, -94.21962789497202 33.91170263173191, -92.42299732673298 33.91170263173191))</t>
  </si>
  <si>
    <t>Arkansas</t>
  </si>
  <si>
    <t>AR</t>
  </si>
  <si>
    <t>Magnolia, AR</t>
  </si>
  <si>
    <t>$3.9670</t>
  </si>
  <si>
    <t>$4.3210</t>
  </si>
  <si>
    <t>POLYGON ((-90.62636675849392 33.91170263173191, -90.62636675849392 32.40773508280423, -92.42299732673295 32.40773508280423, -92.42299732673295 33.91170263173191, -90.62636675849392 33.91170263173191))</t>
  </si>
  <si>
    <t>Ashley</t>
  </si>
  <si>
    <t>Bastrop, LA</t>
  </si>
  <si>
    <t>Texas Gas Transmission Co</t>
  </si>
  <si>
    <t>POLYGON ((-88.82973619025488 33.91170263173191, -88.82973619025488 32.40773508280423, -90.62636675849392 32.40773508280423, -90.62636675849392 33.91170263173191, -88.82973619025488 33.91170263173191))</t>
  </si>
  <si>
    <t>Attala</t>
  </si>
  <si>
    <t>Greenwood, MS</t>
  </si>
  <si>
    <t>Tuscaloosa Group (MS)</t>
  </si>
  <si>
    <t>POLYGON ((-87.03310562201582 33.91170263173191, -87.03310562201582 32.40773508280423, -88.82973619025488 32.40773508280423, -88.82973619025488 33.91170263173191, -87.03310562201582 33.91170263173191))</t>
  </si>
  <si>
    <t>Pickens</t>
  </si>
  <si>
    <t>Tuscaloosa, AL</t>
  </si>
  <si>
    <t>Crosstex Alabama System</t>
  </si>
  <si>
    <t>Lower Boyles Sandstone</t>
  </si>
  <si>
    <t>Paluxy4</t>
  </si>
  <si>
    <t>Paluxy</t>
  </si>
  <si>
    <t>59,60,64</t>
  </si>
  <si>
    <t>POLYGON ((-85.23647505377679 33.91170263173191, -85.23647505377679 32.40773508280423, -87.03310562201582 32.40773508280423, -87.03310562201582 33.91170263173191, -85.23647505377679 33.91170263173191))</t>
  </si>
  <si>
    <t>Clay</t>
  </si>
  <si>
    <t>Talladega-Sylacauga, AL</t>
  </si>
  <si>
    <t>POLYGON ((-83.43984448553775 33.91170263173191, -83.43984448553775 32.40773508280423, -85.23647505377679 32.40773508280423, -85.23647505377679 33.91170263173191, -83.43984448553775 33.91170263173191))</t>
  </si>
  <si>
    <t>Atlanta-Sandy Springs-Roswell, GA</t>
  </si>
  <si>
    <t>Riddleville Dunbarton Basin</t>
  </si>
  <si>
    <t>POLYGON ((-81.64321391729871 33.91170263173191, -81.64321391729871 32.40773508280423, -83.43984448553775 32.40773508280423, -83.43984448553775 33.91170263173191, -81.64321391729871 33.91170263173191))</t>
  </si>
  <si>
    <t>Jefferson</t>
  </si>
  <si>
    <t>Augusta-Richmond County, GA-SC</t>
  </si>
  <si>
    <t>POLYGON ((-79.84658334905967 33.91170263173191, -79.84658334905967 32.40773508280423, -81.64321391729872 32.40773508280423, -81.64321391729872 33.91170263173191, -79.84658334905967 33.91170263173191))</t>
  </si>
  <si>
    <t>South Carolina</t>
  </si>
  <si>
    <t>Colleton</t>
  </si>
  <si>
    <t>SC</t>
  </si>
  <si>
    <t>Charleston-North Charleston, SC</t>
  </si>
  <si>
    <t>Jedburg Basin</t>
  </si>
  <si>
    <t>$4.1010</t>
  </si>
  <si>
    <t>$4.4970</t>
  </si>
  <si>
    <t>POLYGON ((-78.04995278082063 33.91170263173191, -78.04995278082063 32.40773508280423, -79.84658334905967 32.40773508280423, -79.84658334905967 33.91170263173191, -78.04995278082063 33.91170263173191))</t>
  </si>
  <si>
    <t>Georgetown</t>
  </si>
  <si>
    <t>Georgetown, SC</t>
  </si>
  <si>
    <t>POLYGON ((-119.37245585031862 35.38959207013895, -119.37245585031862 33.91170263173191, -121.16908641855765 33.91170263173191, -121.16908641855765 35.38959207013895, -119.37245585031862 35.38959207013895))</t>
  </si>
  <si>
    <t>Santa Barbara</t>
  </si>
  <si>
    <t>Santa Maria-Santa Barbara, CA</t>
  </si>
  <si>
    <t>Santa Maria Basin</t>
  </si>
  <si>
    <t>Stevens1</t>
  </si>
  <si>
    <t>Stevens</t>
  </si>
  <si>
    <t>San Joaquin - S</t>
  </si>
  <si>
    <t>San Joaquin</t>
  </si>
  <si>
    <t>CA-SJ Tertiary</t>
  </si>
  <si>
    <t>CA - Central</t>
  </si>
  <si>
    <t>POLYGON ((-117.57582528207958 35.38959207013895, -117.57582528207958 33.91170263173191, -119.37245585031862 33.91170263173191, -119.37245585031862 35.38959207013895, -117.57582528207958 35.38959207013895))</t>
  </si>
  <si>
    <t>Ventura Basin</t>
  </si>
  <si>
    <t>POLYGON ((-115.77919471384052 35.38959207013895, -115.77919471384052 33.91170263173191, -117.57582528207958 33.91170263173191, -117.57582528207958 35.38959207013895, -115.77919471384052 35.38959207013895))</t>
  </si>
  <si>
    <t>San Bernardino</t>
  </si>
  <si>
    <t>Riverside-San Bernardino-Ontario, CA</t>
  </si>
  <si>
    <t>Unnamed 5</t>
  </si>
  <si>
    <t>POLYGON ((-113.98256414560149 35.38959207013895, -113.98256414560149 33.91170263173191, -115.77919471384052 33.91170263173191, -115.77919471384052 35.38959207013895, -113.98256414560149 35.38959207013895))</t>
  </si>
  <si>
    <t>Mojave Pipeline Co</t>
  </si>
  <si>
    <t>Ward Valley</t>
  </si>
  <si>
    <t>POLYGON ((-112.18593357736243 35.38959207013895, -112.18593357736243 33.91170263173191, -113.98256414560147 33.91170263173191, -113.98256414560147 35.38959207013895, -112.18593357736243 35.38959207013895))</t>
  </si>
  <si>
    <t>Yavapai</t>
  </si>
  <si>
    <t>Prescott, AZ</t>
  </si>
  <si>
    <t>Transwestern Gas Co</t>
  </si>
  <si>
    <t>Lanfair Valley</t>
  </si>
  <si>
    <t>POLYGON ((-110.3893030091234 35.38959207013895, -110.3893030091234 33.91170263173191, -112.18593357736243 33.91170263173191, -112.18593357736243 35.38959207013895, -110.3893030091234 35.38959207013895))</t>
  </si>
  <si>
    <t>Coconino</t>
  </si>
  <si>
    <t>Flagstaff, AZ</t>
  </si>
  <si>
    <t>POLYGON ((-108.59267244088436 35.38959207013895, -108.59267244088436 33.91170263173191, -110.38930300912341 33.91170263173191, -110.38930300912341 35.38959207013895, -108.59267244088436 35.38959207013895))</t>
  </si>
  <si>
    <t>Apache</t>
  </si>
  <si>
    <t>Show Low, AZ</t>
  </si>
  <si>
    <t>POLYGON ((-106.79604187264532 35.38959207013895, -106.79604187264532 33.91170263173191, -108.59267244088436 33.91170263173191, -108.59267244088436 35.38959207013895, -106.79604187264532 35.38959207013895))</t>
  </si>
  <si>
    <t>Cibola</t>
  </si>
  <si>
    <t>Grants, NM</t>
  </si>
  <si>
    <t>Dakota</t>
  </si>
  <si>
    <t>Morrison2</t>
  </si>
  <si>
    <t>Morrison</t>
  </si>
  <si>
    <t>San Juan - S</t>
  </si>
  <si>
    <t>San Juan</t>
  </si>
  <si>
    <t>NM-San Juan</t>
  </si>
  <si>
    <t>RkMt-San Juan</t>
  </si>
  <si>
    <t>Jurassic</t>
  </si>
  <si>
    <t>42,b</t>
  </si>
  <si>
    <t>POLYGON ((-104.99941130440628 35.38959207013895, -104.99941130440628 33.91170263173191, -106.79604187264532 33.91170263173191, -106.79604187264532 35.38959207013895, -104.99941130440628 35.38959207013895))</t>
  </si>
  <si>
    <t>Torrance</t>
  </si>
  <si>
    <t>Albuquerque, NM</t>
  </si>
  <si>
    <t>Glorietta</t>
  </si>
  <si>
    <t>Glorieta1</t>
  </si>
  <si>
    <t>Glorieta</t>
  </si>
  <si>
    <t>NM-Central</t>
  </si>
  <si>
    <t>Albuquerque</t>
  </si>
  <si>
    <t>NM-Albuquerque</t>
  </si>
  <si>
    <t>POLYGON ((-103.20278073616724 35.38959207013895, -103.20278073616724 33.91170263173191, -104.99941130440628 33.91170263173191, -104.99941130440628 35.38959207013895, -103.20278073616724 35.38959207013895))</t>
  </si>
  <si>
    <t>Quay</t>
  </si>
  <si>
    <t>Portales, NM</t>
  </si>
  <si>
    <t>Canyon1</t>
  </si>
  <si>
    <t>TX-NW</t>
  </si>
  <si>
    <t>Palo Duro</t>
  </si>
  <si>
    <t>TX-Palo Duro</t>
  </si>
  <si>
    <t>POLYGON ((-101.40615016792819 35.38959207013895, -101.40615016792819 33.91170263173191, -103.20278073616724 33.91170263173191, -103.20278073616724 35.38959207013895, -101.40615016792819 35.38959207013895))</t>
  </si>
  <si>
    <t>Castro</t>
  </si>
  <si>
    <t>Hereford, TX</t>
  </si>
  <si>
    <t>POLYGON ((-99.60951959968915 35.38959207013895, -99.60951959968915 33.91170263173191, -101.40615016792819 33.91170263173191, -101.40615016792819 35.38959207013895, -99.60951959968915 35.38959207013895))</t>
  </si>
  <si>
    <t>Hall</t>
  </si>
  <si>
    <t>Amarillo, TX</t>
  </si>
  <si>
    <t>Pampa, TX</t>
  </si>
  <si>
    <t>POLYGON ((-97.81288903145011 35.38959207013895, -97.81288903145011 33.91170263173191, -99.60951959968915 33.91170263173191, -99.60951959968915 35.38959207013895, -97.81288903145011 35.38959207013895))</t>
  </si>
  <si>
    <t>Oklahoma</t>
  </si>
  <si>
    <t>Comanche</t>
  </si>
  <si>
    <t>Lawton, OK</t>
  </si>
  <si>
    <t>$3.8690</t>
  </si>
  <si>
    <t>$4.1790</t>
  </si>
  <si>
    <t>POLYGON ((-96.01625846321107 35.38959207013895, -96.01625846321107 33.91170263173191, -97.81288903145011 33.91170263173191, -97.81288903145011 35.38959207013895, -96.01625846321107 35.38959207013895))</t>
  </si>
  <si>
    <t>Pontotoc</t>
  </si>
  <si>
    <t>Ada, OK</t>
  </si>
  <si>
    <t>TransOk Pipeline Co</t>
  </si>
  <si>
    <t>Arkoma Basin</t>
  </si>
  <si>
    <t>Paluxy1</t>
  </si>
  <si>
    <t>Deep</t>
  </si>
  <si>
    <t>POLYGON ((-94.21962789497202 35.38959207013895, -94.21962789497202 33.91170263173191, -96.01625846321107 33.91170263173191, -96.01625846321107 35.38959207013895, -94.21962789497202 35.38959207013895))</t>
  </si>
  <si>
    <t>Pushmataha</t>
  </si>
  <si>
    <t>Fort Smith, AR-OK</t>
  </si>
  <si>
    <t>ONEOK Gas Transportation LLC</t>
  </si>
  <si>
    <t>POLYGON ((-92.42299732673298 35.38959207013895, -92.42299732673298 33.91170263173191, -94.21962789497202 33.91170263173191, -94.21962789497202 35.38959207013895, -92.42299732673298 35.38959207013895))</t>
  </si>
  <si>
    <t>Garland</t>
  </si>
  <si>
    <t>Hot Springs, AR</t>
  </si>
  <si>
    <t>POLYGON ((-90.62636675849392 35.38959207013895, -90.62636675849392 33.91170263173191, -92.42299732673295 33.91170263173191, -92.42299732673295 35.38959207013895, -90.62636675849392 35.38959207013895))</t>
  </si>
  <si>
    <t>Prairie</t>
  </si>
  <si>
    <t>Little Rock-North Little Rock-Conway, AR</t>
  </si>
  <si>
    <t>POLYGON ((-88.82973619025488 35.38959207013895, -88.82973619025488 33.91170263173191, -90.62636675849392 33.91170263173191, -90.62636675849392 35.38959207013895, -88.82973619025488 35.38959207013895))</t>
  </si>
  <si>
    <t>Tate</t>
  </si>
  <si>
    <t>Memphis, TN-MS-AR</t>
  </si>
  <si>
    <t>POLYGON ((-87.03310562201582 35.38959207013895, -87.03310562201582 33.91170263173191, -88.82973619025488 33.91170263173191, -88.82973619025488 35.38959207013895, -87.03310562201582 35.38959207013895))</t>
  </si>
  <si>
    <t>Colbert</t>
  </si>
  <si>
    <t>Florence-Muscle Shoals, AL</t>
  </si>
  <si>
    <t>Texas Eastern Trans Co</t>
  </si>
  <si>
    <t>Basal Sandstone, Zone 1</t>
  </si>
  <si>
    <t>Knox5</t>
  </si>
  <si>
    <t>Knox</t>
  </si>
  <si>
    <t>KY</t>
  </si>
  <si>
    <t>KY - 3000-6000</t>
  </si>
  <si>
    <t>Illinois</t>
  </si>
  <si>
    <t>KY-Illinois</t>
  </si>
  <si>
    <t>AIM-KY Illinois</t>
  </si>
  <si>
    <t>MGSC</t>
  </si>
  <si>
    <t>POLYGON ((-85.23647505377679 35.38959207013895, -85.23647505377679 33.91170263173191, -87.03310562201582 33.91170263173191, -87.03310562201582 35.38959207013895, -85.23647505377679 35.38959207013895))</t>
  </si>
  <si>
    <t>Jackson</t>
  </si>
  <si>
    <t>Scottsboro, AL</t>
  </si>
  <si>
    <t>Basal Sandstone, Zone 2</t>
  </si>
  <si>
    <t>Mount Simon11</t>
  </si>
  <si>
    <t>Mount Simon</t>
  </si>
  <si>
    <t>Mt Simon KY 3-6</t>
  </si>
  <si>
    <t>Arch-Cincinnati</t>
  </si>
  <si>
    <t>KY-Cincinnati Arch</t>
  </si>
  <si>
    <t>AIM-Arch-Cincinnati</t>
  </si>
  <si>
    <t>Strandplain</t>
  </si>
  <si>
    <t>Cambrian</t>
  </si>
  <si>
    <t>a, 10,13, 21,b,74,75</t>
  </si>
  <si>
    <t>POLYGON ((-83.43984448553775 35.38959207013895, -83.43984448553775 33.91170263173191, -85.23647505377679 33.91170263173191, -85.23647505377679 35.38959207013895, -83.43984448553775 35.38959207013895))</t>
  </si>
  <si>
    <t>Gilmer</t>
  </si>
  <si>
    <t>East Tennessee Gas Co</t>
  </si>
  <si>
    <t>POLYGON ((-81.64321391729871 35.38959207013895, -81.64321391729871 33.91170263173191, -83.43984448553775 33.91170263173191, -83.43984448553775 35.38959207013895, -81.64321391729871 35.38959207013895))</t>
  </si>
  <si>
    <t>Anderson</t>
  </si>
  <si>
    <t>Greenville-Anderson-Mauldin, SC</t>
  </si>
  <si>
    <t>POLYGON ((-79.84658334905967 35.38959207013895, -79.84658334905967 33.91170263173191, -81.64321391729872 33.91170263173191, -81.64321391729872 35.38959207013895, -79.84658334905967 35.38959207013895))</t>
  </si>
  <si>
    <t>Lancaster</t>
  </si>
  <si>
    <t>Charlotte-Concord-Gastonia, NC-SC</t>
  </si>
  <si>
    <t>Orangeburg-Florence Basin</t>
  </si>
  <si>
    <t>POLYGON ((-78.04995278082063 35.38959207013895, -78.04995278082063 33.91170263173191, -79.84658334905967 33.91170263173191, -79.84658334905967 35.38959207013895, -78.04995278082063 35.38959207013895))</t>
  </si>
  <si>
    <t>North Carolina</t>
  </si>
  <si>
    <t>Robeson</t>
  </si>
  <si>
    <t>NC</t>
  </si>
  <si>
    <t>Lumberton, NC</t>
  </si>
  <si>
    <t>$4.0900</t>
  </si>
  <si>
    <t>$4.4860</t>
  </si>
  <si>
    <t>POLYGON ((-76.2533222125816 35.38959207013895, -76.2533222125816 33.91170263173191, -78.04995278082063 33.91170263173191, -78.04995278082063 35.38959207013895, -76.2533222125816 35.38959207013895))</t>
  </si>
  <si>
    <t>Onslow</t>
  </si>
  <si>
    <t>Jacksonville, NC</t>
  </si>
  <si>
    <t>Public Service Co of NC</t>
  </si>
  <si>
    <t>Potomac Group</t>
  </si>
  <si>
    <t>Waste Gate1</t>
  </si>
  <si>
    <t>Waste Gate</t>
  </si>
  <si>
    <t>MD</t>
  </si>
  <si>
    <t>Coastal Plain</t>
  </si>
  <si>
    <t>MD-Coastal Plain</t>
  </si>
  <si>
    <t>MRCSP</t>
  </si>
  <si>
    <t>a, 15, 44</t>
  </si>
  <si>
    <t>POLYGON ((-74.45669164434254 35.38959207013895, -74.45669164434254 33.91170263173191, -76.2533222125816 33.91170263173191, -76.2533222125816 35.38959207013895, -74.45669164434254 35.38959207013895))</t>
  </si>
  <si>
    <t>Dare</t>
  </si>
  <si>
    <t>Kill Devil Hills, NC</t>
  </si>
  <si>
    <t>Unit 120</t>
  </si>
  <si>
    <t>Cedar Keys-Lawson1</t>
  </si>
  <si>
    <t>NE-Thin-Shallow</t>
  </si>
  <si>
    <t>POLYGON ((-121.16908641855765 36.840889645703434, -121.16908641855765 35.38959207013895, -122.96571698679669 35.38959207013895, -122.96571698679669 36.840889645703434, -121.16908641855765 36.840889645703434))</t>
  </si>
  <si>
    <t>Monterey</t>
  </si>
  <si>
    <t>Salinas, CA</t>
  </si>
  <si>
    <t>California Gas Transmission Co</t>
  </si>
  <si>
    <t>Partington Basin</t>
  </si>
  <si>
    <t>POLYGON ((-119.37245585031862 36.840889645703434, -119.37245585031862 35.38959207013895, -121.16908641855765 35.38959207013895, -121.16908641855765 36.840889645703434, -119.37245585031862 36.840889645703434))</t>
  </si>
  <si>
    <t>Fresno</t>
  </si>
  <si>
    <t>Fresno, CA</t>
  </si>
  <si>
    <t>Central Valley</t>
  </si>
  <si>
    <t>POLYGON ((-117.57582528207958 36.840889645703434, -117.57582528207958 35.38959207013895, -119.37245585031862 35.38959207013895, -119.37245585031862 36.840889645703434, -117.57582528207958 36.840889645703434))</t>
  </si>
  <si>
    <t>Tulare</t>
  </si>
  <si>
    <t>Visalia-Porterville, CA</t>
  </si>
  <si>
    <t>Owens Valley</t>
  </si>
  <si>
    <t>POLYGON ((-115.77919471384052 36.840889645703434, -115.77919471384052 35.38959207013895, -117.57582528207958 35.38959207013895, -117.57582528207958 36.840889645703434, -115.77919471384052 36.840889645703434))</t>
  </si>
  <si>
    <t>Inyo</t>
  </si>
  <si>
    <t>Kern River Gas Trans Co</t>
  </si>
  <si>
    <t>Death Valley</t>
  </si>
  <si>
    <t>POLYGON ((-113.98256414560149 36.840889645703434, -113.98256414560149 35.38959207013895, -115.77919471384052 35.38959207013895, -115.77919471384052 36.840889645703434, -113.98256414560149 36.840889645703434))</t>
  </si>
  <si>
    <t>Nevada</t>
  </si>
  <si>
    <t>Clark</t>
  </si>
  <si>
    <t>NV</t>
  </si>
  <si>
    <t>Las Vegas-Henderson-Paradise, NV</t>
  </si>
  <si>
    <t>Southwest Gas Corp</t>
  </si>
  <si>
    <t>Winters1a</t>
  </si>
  <si>
    <t>Winters</t>
  </si>
  <si>
    <t>Sacramento - S</t>
  </si>
  <si>
    <t>Sacramento</t>
  </si>
  <si>
    <t>CA-Sac Cretaceous</t>
  </si>
  <si>
    <t>$4.9040</t>
  </si>
  <si>
    <t>$5.2120</t>
  </si>
  <si>
    <t>POLYGON ((-112.18593357736243 36.840889645703434, -112.18593357736243 35.38959207013895, -113.98256414560147 35.38959207013895, -113.98256414560147 36.840889645703434, -112.18593357736243 36.840889645703434))</t>
  </si>
  <si>
    <t>POLYGON ((-110.3893030091234 36.840889645703434, -110.3893030091234 35.38959207013895, -112.18593357736243 35.38959207013895, -112.18593357736243 36.840889645703434, -110.3893030091234 36.840889645703434))</t>
  </si>
  <si>
    <t>Questar Southern Trails Line</t>
  </si>
  <si>
    <t>POLYGON ((-108.59267244088436 36.840889645703434, -108.59267244088436 35.38959207013895, -110.38930300912341 35.38959207013895, -110.38930300912341 36.840889645703434, -108.59267244088436 36.840889645703434))</t>
  </si>
  <si>
    <t>Farmington, NM</t>
  </si>
  <si>
    <t>POLYGON ((-106.79604187264532 36.840889645703434, -106.79604187264532 35.38959207013895, -108.59267244088436 35.38959207013895, -108.59267244088436 36.840889645703434, -106.79604187264532 36.840889645703434))</t>
  </si>
  <si>
    <t>Public Service Co of NM</t>
  </si>
  <si>
    <t>Point Lookout</t>
  </si>
  <si>
    <t>POLYGON ((-104.99941130440628 36.840889645703434, -104.99941130440628 35.38959207013895, -106.79604187264532 35.38959207013895, -106.79604187264532 36.840889645703434, -104.99941130440628 36.840889645703434))</t>
  </si>
  <si>
    <t>Rio Arriba</t>
  </si>
  <si>
    <t>Española, NM</t>
  </si>
  <si>
    <t>POLYGON ((-103.20278073616724 36.840889645703434, -103.20278073616724 35.38959207013895, -104.99941130440628 35.38959207013895, -104.99941130440628 36.840889645703434, -103.20278073616724 36.840889645703434))</t>
  </si>
  <si>
    <t>Harding</t>
  </si>
  <si>
    <t>Las Vegas, NM</t>
  </si>
  <si>
    <t>Colorado Interstate Gas Co</t>
  </si>
  <si>
    <t>Codell</t>
  </si>
  <si>
    <t>Morrison3</t>
  </si>
  <si>
    <t>Denver - CO</t>
  </si>
  <si>
    <t>Denver</t>
  </si>
  <si>
    <t>CO-Denver</t>
  </si>
  <si>
    <t>POLYGON ((-101.40615016792819 36.840889645703434, -101.40615016792819 35.38959207013895, -103.20278073616724 35.38959207013895, -103.20278073616724 36.840889645703434, -101.40615016792819 36.840889645703434))</t>
  </si>
  <si>
    <t>Dallam</t>
  </si>
  <si>
    <t>Dumas, TX</t>
  </si>
  <si>
    <t>POLYGON ((-99.60951959968915 36.840889645703434, -99.60951959968915 35.38959207013895, -101.40615016792819 35.38959207013895, -101.40615016792819 36.840889645703434, -99.60951959968915 36.840889645703434))</t>
  </si>
  <si>
    <t>Lipscomb</t>
  </si>
  <si>
    <t>Borger, TX</t>
  </si>
  <si>
    <t>POLYGON ((-97.81288903145011 36.840889645703434, -97.81288903145011 35.38959207013895, -99.60951959968915 35.38959207013895, -99.60951959968915 36.840889645703434, -97.81288903145011 36.840889645703434))</t>
  </si>
  <si>
    <t>Dewey</t>
  </si>
  <si>
    <t>Woodward, OK</t>
  </si>
  <si>
    <t>ONEOK Gas Transmission LLC</t>
  </si>
  <si>
    <t>POLYGON ((-96.01625846321107 36.840889645703434, -96.01625846321107 35.38959207013895, -97.81288903145011 35.38959207013895, -97.81288903145011 36.840889645703434, -96.01625846321107 36.840889645703434))</t>
  </si>
  <si>
    <t>Payne</t>
  </si>
  <si>
    <t>Stillwater, OK</t>
  </si>
  <si>
    <t>Pony Express Pipeline</t>
  </si>
  <si>
    <t>Cherokee Platform</t>
  </si>
  <si>
    <t>POLYGON ((-94.21962789497202 36.840889645703434, -94.21962789497202 35.38959207013895, -96.01625846321107 35.38959207013895, -96.01625846321107 36.840889645703434, -94.21962789497202 36.840889645703434))</t>
  </si>
  <si>
    <t>Tahlequah, OK</t>
  </si>
  <si>
    <t>POLYGON ((-92.42299732673298 36.840889645703434, -92.42299732673298 35.38959207013895, -94.21962789497202 35.38959207013895, -94.21962789497202 36.840889645703434, -92.42299732673298 36.840889645703434))</t>
  </si>
  <si>
    <t>Newton</t>
  </si>
  <si>
    <t>Harrison, AR</t>
  </si>
  <si>
    <t>Arkansas Western LLC</t>
  </si>
  <si>
    <t>POLYGON ((-90.62636675849392 36.840889645703434, -90.62636675849392 35.38959207013895, -92.42299732673295 35.38959207013895, -92.42299732673295 36.840889645703434, -90.62636675849392 36.840889645703434))</t>
  </si>
  <si>
    <t>Sharp</t>
  </si>
  <si>
    <t>Batesville, AR</t>
  </si>
  <si>
    <t>Ozark Gas Transmission, LLC</t>
  </si>
  <si>
    <t>POLYGON ((-88.82973619025488 36.840889645703434, -88.82973619025488 35.38959207013895, -90.62636675849392 35.38959207013895, -90.62636675849392 36.840889645703434, -88.82973619025488 36.840889645703434))</t>
  </si>
  <si>
    <t>Missouri</t>
  </si>
  <si>
    <t>Pemiscot</t>
  </si>
  <si>
    <t>MO</t>
  </si>
  <si>
    <t>Dyersburg, TN</t>
  </si>
  <si>
    <t>Mt. Simon Sandstone</t>
  </si>
  <si>
    <t>Knox2</t>
  </si>
  <si>
    <t>IL</t>
  </si>
  <si>
    <t>IL - 6000-9000</t>
  </si>
  <si>
    <t>IL-Illinois</t>
  </si>
  <si>
    <t>AIM-Illinois</t>
  </si>
  <si>
    <t>$3.8830</t>
  </si>
  <si>
    <t>$4.2240</t>
  </si>
  <si>
    <t>POLYGON ((-87.03310562201582 36.840889645703434, -87.03310562201582 35.38959207013895, -88.82973619025488 35.38959207013895, -88.82973619025488 36.840889645703434, -87.03310562201582 36.840889645703434))</t>
  </si>
  <si>
    <t>Tennessee</t>
  </si>
  <si>
    <t>Benton</t>
  </si>
  <si>
    <t>TN</t>
  </si>
  <si>
    <t>Paris, TN</t>
  </si>
  <si>
    <t>$3.9940</t>
  </si>
  <si>
    <t>$4.3970</t>
  </si>
  <si>
    <t>POLYGON ((-85.23647505377679 36.840889645703434, -85.23647505377679 35.38959207013895, -87.03310562201582 35.38959207013895, -87.03310562201582 36.840889645703434, -85.23647505377679 36.840889645703434))</t>
  </si>
  <si>
    <t>Wilson</t>
  </si>
  <si>
    <t>Nashville-Davidson--Murfreesboro--Franklin, TN</t>
  </si>
  <si>
    <t>Gulf Xpress</t>
  </si>
  <si>
    <t>POLYGON ((-83.43984448553775 36.840889645703434, -83.43984448553775 35.38959207013895, -85.23647505377679 35.38959207013895, -85.23647505377679 36.840889645703434, -83.43984448553775 36.840889645703434))</t>
  </si>
  <si>
    <t>Knoxville, TN</t>
  </si>
  <si>
    <t>POLYGON ((-81.64321391729871 36.840889645703434, -81.64321391729871 35.38959207013895, -83.43984448553775 35.38959207013895, -83.43984448553775 36.840889645703434, -81.64321391729871 36.840889645703434))</t>
  </si>
  <si>
    <t>Unicoi</t>
  </si>
  <si>
    <t>Johnson City, TN</t>
  </si>
  <si>
    <t>Lockport Dolomite</t>
  </si>
  <si>
    <t>Mount Simon10</t>
  </si>
  <si>
    <t>OH</t>
  </si>
  <si>
    <t>Mt Simon OH 3-6</t>
  </si>
  <si>
    <t>Arch-Findlay</t>
  </si>
  <si>
    <t>OH-Findlay Arch</t>
  </si>
  <si>
    <t>AIM-Arch-Findley</t>
  </si>
  <si>
    <t>POLYGON ((-79.84658334905967 36.840889645703434, -79.84658334905967 35.38959207013895, -81.64321391729872 35.38959207013895, -81.64321391729872 36.840889645703434, -79.84658334905967 36.840889645703434))</t>
  </si>
  <si>
    <t>Yadkin</t>
  </si>
  <si>
    <t>Winston-Salem, NC</t>
  </si>
  <si>
    <t>POLYGON ((-78.04995278082063 36.840889645703434, -78.04995278082063 35.38959207013895, -79.84658334905967 35.38959207013895, -79.84658334905967 36.840889645703434, -78.04995278082063 36.840889645703434))</t>
  </si>
  <si>
    <t>Durham</t>
  </si>
  <si>
    <t>Durham-Chapel Hill, NC</t>
  </si>
  <si>
    <t>POLYGON ((-76.2533222125816 36.840889645703434, -76.2533222125816 35.38959207013895, -78.04995278082063 35.38959207013895, -78.04995278082063 36.840889645703434, -76.2533222125816 36.840889645703434))</t>
  </si>
  <si>
    <t>Bertie</t>
  </si>
  <si>
    <t>Roanoke Rapids, NC</t>
  </si>
  <si>
    <t>POLYGON ((-74.45669164434254 36.840889645703434, -74.45669164434254 35.38959207013895, -76.2533222125816 35.38959207013895, -76.2533222125816 36.840889645703434, -74.45669164434254 36.840889645703434))</t>
  </si>
  <si>
    <t>Virginia Natural Gas Co</t>
  </si>
  <si>
    <t>POLYGON ((-122.96571698679669 38.26515968206946, -122.96571698679669 36.84088964570343, -124.76234755503575 36.84088964570343, -124.76234755503575 38.26515968206946, -122.96571698679669 38.26515968206946))</t>
  </si>
  <si>
    <t>San Francisco</t>
  </si>
  <si>
    <t>San Francisco-Oakland-Hayward, CA</t>
  </si>
  <si>
    <t>Ano Nuevo Basin</t>
  </si>
  <si>
    <t>Winters1c</t>
  </si>
  <si>
    <t>POLYGON ((-121.16908641855765 38.26515968206946, -121.16908641855765 36.84088964570343, -122.96571698679669 36.84088964570343, -122.96571698679669 38.26515968206946, -121.16908641855765 38.26515968206946))</t>
  </si>
  <si>
    <t>Alameda</t>
  </si>
  <si>
    <t>Orinda Basin</t>
  </si>
  <si>
    <t>POLYGON ((-119.37245585031862 38.26515968206946, -119.37245585031862 36.84088964570343, -121.16908641855765 36.84088964570343, -121.16908641855765 38.26515968206946, -119.37245585031862 38.26515968206946))</t>
  </si>
  <si>
    <t>Mariposa</t>
  </si>
  <si>
    <t>Merced, CA</t>
  </si>
  <si>
    <t>POLYGON ((-117.57582528207958 38.26515968206946, -117.57582528207958 36.84088964570343, -119.37245585031862 36.84088964570343, -119.37245585031862 38.26515968206946, -117.57582528207958 38.26515968206946))</t>
  </si>
  <si>
    <t>Mono</t>
  </si>
  <si>
    <t>POLYGON ((-115.77919471384052 38.26515968206946, -115.77919471384052 36.84088964570343, -117.57582528207958 36.84088964570343, -117.57582528207958 38.26515968206946, -115.77919471384052 38.26515968206946))</t>
  </si>
  <si>
    <t>Nye</t>
  </si>
  <si>
    <t>Pahrump, NV</t>
  </si>
  <si>
    <t>POLYGON ((-113.98256414560149 38.26515968206946, -113.98256414560149 36.84088964570343, -115.77919471384052 36.84088964570343, -115.77919471384052 38.26515968206946, -113.98256414560149 38.26515968206946))</t>
  </si>
  <si>
    <t>Lincoln</t>
  </si>
  <si>
    <t>POLYGON ((-112.18593357736243 38.26515968206946, -112.18593357736243 36.84088964570343, -113.98256414560147 36.84088964570343, -113.98256414560147 38.26515968206946, -112.18593357736243 38.26515968206946))</t>
  </si>
  <si>
    <t>Utah</t>
  </si>
  <si>
    <t>Iron</t>
  </si>
  <si>
    <t>UT</t>
  </si>
  <si>
    <t>Cedar City, UT</t>
  </si>
  <si>
    <t>$4.2680</t>
  </si>
  <si>
    <t>$4.5170</t>
  </si>
  <si>
    <t>POLYGON ((-110.3893030091234 38.26515968206946, -110.3893030091234 36.84088964570343, -112.18593357736243 36.84088964570343, -112.18593357736243 38.26515968206946, -110.3893030091234 38.26515968206946))</t>
  </si>
  <si>
    <t>Garfield</t>
  </si>
  <si>
    <t>Cutler</t>
  </si>
  <si>
    <t>POLYGON ((-108.59267244088436 38.26515968206946, -108.59267244088436 36.84088964570343, -110.38930300912341 36.84088964570343, -110.38930300912341 38.26515968206946, -108.59267244088436 38.26515968206946))</t>
  </si>
  <si>
    <t>Northwest Pipeline</t>
  </si>
  <si>
    <t>POLYGON ((-106.79604187264532 38.26515968206946, -106.79604187264532 36.84088964570343, -108.59267244088436 36.84088964570343, -108.59267244088436 38.26515968206946, -106.79604187264532 38.26515968206946))</t>
  </si>
  <si>
    <t>Colorado</t>
  </si>
  <si>
    <t>La Plata</t>
  </si>
  <si>
    <t>Durango, CO</t>
  </si>
  <si>
    <t>Cliff House</t>
  </si>
  <si>
    <t>$4.2630</t>
  </si>
  <si>
    <t>$4.5980</t>
  </si>
  <si>
    <t>POLYGON ((-104.99941130440628 38.26515968206946, -104.99941130440628 36.84088964570343, -106.79604187264532 36.84088964570343, -106.79604187264532 38.26515968206946, -104.99941130440628 38.26515968206946))</t>
  </si>
  <si>
    <t>Alamosa</t>
  </si>
  <si>
    <t>Taos, NM</t>
  </si>
  <si>
    <t>POLYGON ((-103.20278073616724 38.26515968206946, -103.20278073616724 36.84088964570343, -104.99941130440628 36.84088964570343, -104.99941130440628 38.26515968206946, -103.20278073616724 38.26515968206946))</t>
  </si>
  <si>
    <t>Las Animas</t>
  </si>
  <si>
    <t>Pueblo, CO</t>
  </si>
  <si>
    <t>Misener</t>
  </si>
  <si>
    <t>Arbuckle4</t>
  </si>
  <si>
    <t>KS</t>
  </si>
  <si>
    <t>KS-S</t>
  </si>
  <si>
    <t>Ozark Plateau</t>
  </si>
  <si>
    <t>KS-Ozark Plateau</t>
  </si>
  <si>
    <t>Mid-Continent</t>
  </si>
  <si>
    <t>&gt;10,000</t>
  </si>
  <si>
    <t>60,63,64</t>
  </si>
  <si>
    <t>POLYGON ((-101.40615016792819 38.26515968206946, -101.40615016792819 36.84088964570343, -103.20278073616724 36.84088964570343, -103.20278073616724 38.26515968206946, -101.40615016792819 38.26515968206946))</t>
  </si>
  <si>
    <t>Baca</t>
  </si>
  <si>
    <t>Guymon, OK</t>
  </si>
  <si>
    <t>POLYGON ((-99.60951959968915 38.26515968206946, -99.60951959968915 36.84088964570343, -101.40615016792819 36.84088964570343, -101.40615016792819 38.26515968206946, -99.60951959968915 38.26515968206946))</t>
  </si>
  <si>
    <t>Kansas</t>
  </si>
  <si>
    <t>Gray</t>
  </si>
  <si>
    <t>Liberal, KS</t>
  </si>
  <si>
    <t>$3.8380</t>
  </si>
  <si>
    <t>$4.1730</t>
  </si>
  <si>
    <t>POLYGON ((-97.81288903145011 38.26515968206946, -97.81288903145011 36.84088964570343, -99.60951959968915 36.84088964570343, -99.60951959968915 38.26515968206946, -97.81288903145011 38.26515968206946))</t>
  </si>
  <si>
    <t>Pratt</t>
  </si>
  <si>
    <t>Wichita, KS</t>
  </si>
  <si>
    <t>Southern Star Central Gas PL Co</t>
  </si>
  <si>
    <t>POLYGON ((-96.01625846321107 38.26515968206946, -96.01625846321107 36.84088964570343, -97.81288903145011 36.84088964570343, -97.81288903145011 38.26515968206946, -96.01625846321107 38.26515968206946))</t>
  </si>
  <si>
    <t>Butler</t>
  </si>
  <si>
    <t>POLYGON ((-94.21962789497202 38.26515968206946, -94.21962789497202 36.84088964570343, -96.01625846321107 36.84088964570343, -96.01625846321107 38.26515968206946, -94.21962789497202 38.26515968206946))</t>
  </si>
  <si>
    <t>Neosho</t>
  </si>
  <si>
    <t>Pittsburg, KS</t>
  </si>
  <si>
    <t>POLYGON ((-92.42299732673298 38.26515968206946, -92.42299732673298 36.84088964570343, -94.21962789497202 36.84088964570343, -94.21962789497202 38.26515968206946, -92.42299732673298 38.26515968206946))</t>
  </si>
  <si>
    <t>Polk</t>
  </si>
  <si>
    <t>Springfield, MO</t>
  </si>
  <si>
    <t>POLYGON ((-90.62636675849392 38.26515968206946, -90.62636675849392 36.84088964570343, -92.42299732673295 36.84088964570343, -92.42299732673295 38.26515968206946, -90.62636675849392 38.26515968206946))</t>
  </si>
  <si>
    <t>Dent</t>
  </si>
  <si>
    <t>Rolla, MO</t>
  </si>
  <si>
    <t>Missouri Gas Co</t>
  </si>
  <si>
    <t>POLYGON ((-88.82973619025488 38.26515968206946, -88.82973619025488 36.84088964570343, -90.62636675849392 36.84088964570343, -90.62636675849392 38.26515968206946, -88.82973619025488 38.26515968206946))</t>
  </si>
  <si>
    <t>Cape Girardeau</t>
  </si>
  <si>
    <t>Cape Girardeau, MO-IL</t>
  </si>
  <si>
    <t>Natural Gas PL Co of Am</t>
  </si>
  <si>
    <t>POLYGON ((-87.03310562201582 38.26515968206946, -87.03310562201582 36.84088964570343, -88.82973619025488 36.84088964570343, -88.82973619025488 38.26515968206946, -87.03310562201582 38.26515968206946))</t>
  </si>
  <si>
    <t>Kentucky</t>
  </si>
  <si>
    <t>Union</t>
  </si>
  <si>
    <t>Evansville, IN-KY</t>
  </si>
  <si>
    <t>Knox Group</t>
  </si>
  <si>
    <t>$4.0950</t>
  </si>
  <si>
    <t>$4.5180</t>
  </si>
  <si>
    <t>POLYGON ((-85.23647505377679 38.26515968206946, -85.23647505377679 36.84088964570343, -87.03310562201582 36.84088964570343, -87.03310562201582 38.26515968206946, -85.23647505377679 38.26515968206946))</t>
  </si>
  <si>
    <t>Grayson</t>
  </si>
  <si>
    <t>Elizabethtown-Fort Knox, KY</t>
  </si>
  <si>
    <t>POLYGON ((-83.43984448553775 38.26515968206946, -83.43984448553775 36.84088964570343, -85.23647505377679 36.84088964570343, -85.23647505377679 38.26515968206946, -83.43984448553775 38.26515968206946))</t>
  </si>
  <si>
    <t>Madison</t>
  </si>
  <si>
    <t>Richmond-Berea, KY</t>
  </si>
  <si>
    <t>Columbia Gulf Pipeline</t>
  </si>
  <si>
    <t>Basal Sands - Rome Trough</t>
  </si>
  <si>
    <t>POLYGON ((-81.64321391729871 38.26515968206946, -81.64321391729871 36.84088964570343, -83.43984448553775 36.84088964570343, -83.43984448553775 38.26515968206946, -81.64321391729871 38.26515968206946))</t>
  </si>
  <si>
    <t>Huntington-Ashland, WV-KY-OH</t>
  </si>
  <si>
    <t>Columbia Gas Trans Co</t>
  </si>
  <si>
    <t>POLYGON ((-79.84658334905967 38.26515968206946, -79.84658334905967 36.84088964570343, -81.64321391729872 36.84088964570343, -81.64321391729872 38.26515968206946, -79.84658334905967 38.26515968206946))</t>
  </si>
  <si>
    <t>West Virginia</t>
  </si>
  <si>
    <t>WV</t>
  </si>
  <si>
    <t>Blacksburg-Christiansburg-Radford, VA</t>
  </si>
  <si>
    <t>$4.1900</t>
  </si>
  <si>
    <t>$4.6410</t>
  </si>
  <si>
    <t>POLYGON ((-78.04995278082063 38.26515968206946, -78.04995278082063 36.84088964570343, -79.84658334905967 36.84088964570343, -79.84658334905967 38.26515968206946, -78.04995278082063 38.26515968206946))</t>
  </si>
  <si>
    <t>Virginia</t>
  </si>
  <si>
    <t>Amherst</t>
  </si>
  <si>
    <t>VA</t>
  </si>
  <si>
    <t>Lynchburg, VA</t>
  </si>
  <si>
    <t>$4.2770</t>
  </si>
  <si>
    <t>$4.6600</t>
  </si>
  <si>
    <t>POLYGON ((-76.2533222125816 38.26515968206946, -76.2533222125816 36.84088964570343, -78.04995278082063 36.84088964570343, -78.04995278082063 38.26515968206946, -76.2533222125816 38.26515968206946))</t>
  </si>
  <si>
    <t>New Kent</t>
  </si>
  <si>
    <t>Richmond, VA</t>
  </si>
  <si>
    <t>Wastegate Formation</t>
  </si>
  <si>
    <t>POLYGON ((-74.45669164434254 38.26515968206946, -74.45669164434254 36.84088964570343, -76.2533222125816 36.84088964570343, -76.2533222125816 38.26515968206946, -74.45669164434254 38.26515968206946))</t>
  </si>
  <si>
    <t>Accomack</t>
  </si>
  <si>
    <t>Salisbury, MD-DE</t>
  </si>
  <si>
    <t>Eastern Shore Nat Gas Co</t>
  </si>
  <si>
    <t>POLYGON ((-122.96571698679669 39.66204202052461, -122.96571698679669 38.26515968206946, -124.76234755503575 38.26515968206946, -124.76234755503575 39.66204202052461, -122.96571698679669 39.66204202052461))</t>
  </si>
  <si>
    <t>Mendocino</t>
  </si>
  <si>
    <t>Ukiah, CA</t>
  </si>
  <si>
    <t>Point Arena Basin</t>
  </si>
  <si>
    <t>POLYGON ((-121.16908641855765 39.66204202052461, -121.16908641855765 38.26515968206946, -122.96571698679669 38.26515968206946, -122.96571698679669 39.66204202052461, -121.16908641855765 39.66204202052461))</t>
  </si>
  <si>
    <t>Colusa</t>
  </si>
  <si>
    <t>Sacramento--Roseville--Arden-Arcade, CA</t>
  </si>
  <si>
    <t>POLYGON ((-119.37245585031862 39.66204202052461, -119.37245585031862 38.26515968206946, -121.16908641855765 38.26515968206946, -121.16908641855765 39.66204202052461, -119.37245585031862 39.66204202052461))</t>
  </si>
  <si>
    <t>El Dorado</t>
  </si>
  <si>
    <t>POLYGON ((-117.57582528207958 39.66204202052461, -117.57582528207958 38.26515968206946, -119.37245585031862 38.26515968206946, -119.37245585031862 39.66204202052461, -117.57582528207958 39.66204202052461))</t>
  </si>
  <si>
    <t>Mineral</t>
  </si>
  <si>
    <t>Fallon, NV</t>
  </si>
  <si>
    <t>Paiute Pipeline Co</t>
  </si>
  <si>
    <t>POLYGON ((-115.77919471384052 39.66204202052461, -115.77919471384052 38.26515968206946, -117.57582528207958 38.26515968206946, -117.57582528207958 39.66204202052461, -115.77919471384052 39.66204202052461))</t>
  </si>
  <si>
    <t>POLYGON ((-113.98256414560149 39.66204202052461, -113.98256414560149 38.26515968206946, -115.77919471384052 38.26515968206946, -115.77919471384052 39.66204202052461, -113.98256414560149 39.66204202052461))</t>
  </si>
  <si>
    <t>White Pine</t>
  </si>
  <si>
    <t>POLYGON ((-112.18593357736243 39.66204202052461, -112.18593357736243 38.26515968206946, -113.98256414560147 38.26515968206946, -113.98256414560147 39.66204202052461, -112.18593357736243 39.66204202052461))</t>
  </si>
  <si>
    <t>Millard</t>
  </si>
  <si>
    <t>Provo-Orem, UT</t>
  </si>
  <si>
    <t>Wingate</t>
  </si>
  <si>
    <t>Entrada2</t>
  </si>
  <si>
    <t>Entrada</t>
  </si>
  <si>
    <t>Uinta</t>
  </si>
  <si>
    <t>UT-Uinta</t>
  </si>
  <si>
    <t>RkMt-UT Uinta</t>
  </si>
  <si>
    <t>Eolian</t>
  </si>
  <si>
    <t>POLYGON ((-110.3893030091234 39.66204202052461, -110.3893030091234 38.26515968206946, -112.18593357736243 38.26515968206946, -112.18593357736243 39.66204202052461, -110.3893030091234 39.66204202052461))</t>
  </si>
  <si>
    <t>Emery</t>
  </si>
  <si>
    <t>Price, UT</t>
  </si>
  <si>
    <t>Questar Pipeline Co</t>
  </si>
  <si>
    <t>POLYGON ((-108.59267244088436 39.66204202052461, -108.59267244088436 38.26515968206946, -110.38930300912341 38.26515968206946, -110.38930300912341 39.66204202052461, -108.59267244088436 39.66204202052461))</t>
  </si>
  <si>
    <t>Grand</t>
  </si>
  <si>
    <t>Grand Junction, CO</t>
  </si>
  <si>
    <t>POLYGON ((-106.79604187264532 39.66204202052461, -106.79604187264532 38.26515968206946, -108.59267244088436 38.26515968206946, -108.59267244088436 39.66204202052461, -106.79604187264532 39.66204202052461))</t>
  </si>
  <si>
    <t>Rocky Mountain Natural Gas Co</t>
  </si>
  <si>
    <t>POLYGON ((-104.99941130440628 39.66204202052461, -104.99941130440628 38.26515968206946, -106.79604187264532 38.26515968206946, -106.79604187264532 39.66204202052461, -104.99941130440628 39.66204202052461))</t>
  </si>
  <si>
    <t>Park</t>
  </si>
  <si>
    <t>Denver-Aurora-Lakewood, CO</t>
  </si>
  <si>
    <t>POLYGON ((-103.20278073616724 39.66204202052461, -103.20278073616724 38.26515968206946, -104.99941130440628 38.26515968206946, -104.99941130440628 39.66204202052461, -103.20278073616724 39.66204202052461))</t>
  </si>
  <si>
    <t>El Paso</t>
  </si>
  <si>
    <t>Colorado Springs, CO</t>
  </si>
  <si>
    <t>POLYGON ((-101.40615016792819 39.66204202052461, -101.40615016792819 38.26515968206946, -103.20278073616724 38.26515968206946, -103.20278073616724 39.66204202052461, -101.40615016792819 39.66204202052461))</t>
  </si>
  <si>
    <t>Cheyenne</t>
  </si>
  <si>
    <t>Garden City, KS</t>
  </si>
  <si>
    <t>Cheyenne Plains Pipeline Co</t>
  </si>
  <si>
    <t>POLYGON ((-99.60951959968915 39.66204202052461, -99.60951959968915 38.26515968206946, -101.40615016792819 38.26515968206946, -101.40615016792819 39.66204202052461, -99.60951959968915 39.66204202052461))</t>
  </si>
  <si>
    <t>Gove</t>
  </si>
  <si>
    <t>POLYGON ((-97.81288903145011 39.66204202052461, -97.81288903145011 38.26515968206946, -99.60951959968915 38.26515968206946, -99.60951959968915 39.66204202052461, -97.81288903145011 39.66204202052461))</t>
  </si>
  <si>
    <t>Russell</t>
  </si>
  <si>
    <t>Hays, KS</t>
  </si>
  <si>
    <t>Great Bend, KS</t>
  </si>
  <si>
    <t>POLYGON ((-96.01625846321107 39.66204202052461, -96.01625846321107 38.26515968206946, -97.81288903145011 38.26515968206946, -97.81288903145011 39.66204202052461, -96.01625846321107 39.66204202052461))</t>
  </si>
  <si>
    <t>Geary</t>
  </si>
  <si>
    <t>Junction City, KS</t>
  </si>
  <si>
    <t>ANR Pipeline Co</t>
  </si>
  <si>
    <t>Reagan</t>
  </si>
  <si>
    <t>POLYGON ((-94.21962789497202 39.66204202052461, -94.21962789497202 38.26515968206946, -96.01625846321107 38.26515968206946, -96.01625846321107 39.66204202052461, -94.21962789497202 39.66204202052461))</t>
  </si>
  <si>
    <t>Douglas</t>
  </si>
  <si>
    <t>Lawrence, KS</t>
  </si>
  <si>
    <t>POLYGON ((-92.42299732673298 39.66204202052461, -92.42299732673298 38.26515968206946, -94.21962789497202 38.26515968206946, -94.21962789497202 39.66204202052461, -92.42299732673298 39.66204202052461))</t>
  </si>
  <si>
    <t>Marshall, MO</t>
  </si>
  <si>
    <t>POLYGON ((-90.62636675849392 39.66204202052461, -90.62636675849392 38.26515968206946, -92.42299732673295 38.26515968206946, -92.42299732673295 39.66204202052461, -90.62636675849392 39.66204202052461))</t>
  </si>
  <si>
    <t>Montgomery</t>
  </si>
  <si>
    <t>Jefferson City, MO</t>
  </si>
  <si>
    <t>Panhandle Eastern PL Co</t>
  </si>
  <si>
    <t>POLYGON ((-88.82973619025488 39.66204202052461, -88.82973619025488 38.26515968206946, -90.62636675849392 38.26515968206946, -90.62636675849392 39.66204202052461, -88.82973619025488 39.66204202052461))</t>
  </si>
  <si>
    <t>St. Louis, MO-IL</t>
  </si>
  <si>
    <t>Mississippi River Trans Corp</t>
  </si>
  <si>
    <t>$4.6890</t>
  </si>
  <si>
    <t>$5.2080</t>
  </si>
  <si>
    <t>POLYGON ((-87.03310562201582 39.66204202052461, -87.03310562201582 38.26515968206946, -88.82973619025488 38.26515968206946, -88.82973619025488 39.66204202052461, -87.03310562201582 39.66204202052461))</t>
  </si>
  <si>
    <t>Crawford</t>
  </si>
  <si>
    <t>Charleston-Mattoon, IL</t>
  </si>
  <si>
    <t>POLYGON ((-85.23647505377679 39.66204202052461, -85.23647505377679 38.26515968206946, -87.03310562201582 38.26515968206946, -87.03310562201582 39.66204202052461, -85.23647505377679 39.66204202052461))</t>
  </si>
  <si>
    <t>Indiana</t>
  </si>
  <si>
    <t>IN</t>
  </si>
  <si>
    <t>Seymour, IN</t>
  </si>
  <si>
    <t>$3.8370</t>
  </si>
  <si>
    <t>$4.3560</t>
  </si>
  <si>
    <t>POLYGON ((-83.43984448553775 39.66204202052461, -83.43984448553775 38.26515968206946, -85.23647505377679 38.26515968206946, -85.23647505377679 39.66204202052461, -83.43984448553775 39.66204202052461))</t>
  </si>
  <si>
    <t>Campbell</t>
  </si>
  <si>
    <t>Cincinnati, OH-KY-IN</t>
  </si>
  <si>
    <t>Basal Sands - Mt. Simon</t>
  </si>
  <si>
    <t>POLYGON ((-81.64321391729871 39.66204202052461, -81.64321391729871 38.26515968206946, -83.43984448553775 38.26515968206946, -83.43984448553775 39.66204202052461, -81.64321391729871 39.66204202052461))</t>
  </si>
  <si>
    <t>Ohio</t>
  </si>
  <si>
    <t>Jackson, OH</t>
  </si>
  <si>
    <t>Medina/Clinton Sandstone</t>
  </si>
  <si>
    <t>$4.9140</t>
  </si>
  <si>
    <t>POLYGON ((-79.84658334905967 39.66204202052461, -79.84658334905967 38.26515968206946, -81.64321391729872 38.26515968206946, -81.64321391729872 39.66204202052461, -79.84658334905967 39.66204202052461))</t>
  </si>
  <si>
    <t>Clarksburg, WV</t>
  </si>
  <si>
    <t>POLYGON ((-78.04995278082063 39.66204202052461, -78.04995278082063 38.26515968206946, -79.84658334905967 38.26515968206946, -79.84658334905967 39.66204202052461, -78.04995278082063 39.66204202052461))</t>
  </si>
  <si>
    <t>Hardy</t>
  </si>
  <si>
    <t>Harrisonburg, VA</t>
  </si>
  <si>
    <t>POLYGON ((-76.2533222125816 39.66204202052461, -76.2533222125816 38.26515968206946, -78.04995278082063 38.26515968206946, -78.04995278082063 39.66204202052461, -76.2533222125816 39.66204202052461))</t>
  </si>
  <si>
    <t>Maryland</t>
  </si>
  <si>
    <t>Washington-Arlington-Alexandria, DC-VA-MD-WV</t>
  </si>
  <si>
    <t>$4.4770</t>
  </si>
  <si>
    <t>$4.7890</t>
  </si>
  <si>
    <t>POLYGON ((-74.45669164434254 39.66204202052461, -74.45669164434254 38.26515968206946, -76.2533222125816 38.26515968206946, -76.2533222125816 39.66204202052461, -74.45669164434254 39.66204202052461))</t>
  </si>
  <si>
    <t>Delaware</t>
  </si>
  <si>
    <t>Kent</t>
  </si>
  <si>
    <t>DE</t>
  </si>
  <si>
    <t>Dover, DE</t>
  </si>
  <si>
    <t>$4.4280</t>
  </si>
  <si>
    <t>$4.7210</t>
  </si>
  <si>
    <t>POLYGON ((-122.96571698679669 41.03124915301105, -122.96571698679669 39.66204202052461, -124.76234755503575 39.66204202052461, -124.76234755503575 41.03124915301105, -122.96571698679669 41.03124915301105))</t>
  </si>
  <si>
    <t>Humboldt</t>
  </si>
  <si>
    <t>Eureka-Arcata-Fortuna, CA</t>
  </si>
  <si>
    <t>Eel River Basin</t>
  </si>
  <si>
    <t>POLYGON ((-121.16908641855765 41.03124915301105, -121.16908641855765 39.66204202052461, -122.96571698679669 39.66204202052461, -122.96571698679669 41.03124915301105, -121.16908641855765 41.03124915301105))</t>
  </si>
  <si>
    <t>Tehama</t>
  </si>
  <si>
    <t>Red Bluff, CA</t>
  </si>
  <si>
    <t>POLYGON ((-119.37245585031862 41.03124915301105, -119.37245585031862 39.66204202052461, -121.16908641855765 39.66204202052461, -121.16908641855765 41.03124915301105, -119.37245585031862 41.03124915301105))</t>
  </si>
  <si>
    <t>Lassen</t>
  </si>
  <si>
    <t>Susanville, CA</t>
  </si>
  <si>
    <t>Tuscarora Pipeline Co</t>
  </si>
  <si>
    <t>Honey Lake Valley</t>
  </si>
  <si>
    <t>POLYGON ((-117.57582528207958 41.03124915301105, -117.57582528207958 39.66204202052461, -119.37245585031862 39.66204202052461, -119.37245585031862 41.03124915301105, -117.57582528207958 41.03124915301105))</t>
  </si>
  <si>
    <t>Pershing</t>
  </si>
  <si>
    <t>POLYGON ((-115.77919471384052 41.03124915301105, -115.77919471384052 39.66204202052461, -117.57582528207958 39.66204202052461, -117.57582528207958 41.03124915301105, -115.77919471384052 41.03124915301105))</t>
  </si>
  <si>
    <t>Lander</t>
  </si>
  <si>
    <t>Elko, NV</t>
  </si>
  <si>
    <t>POLYGON ((-113.98256414560149 41.03124915301105, -113.98256414560149 39.66204202052461, -115.77919471384052 39.66204202052461, -115.77919471384052 41.03124915301105, -113.98256414560149 41.03124915301105))</t>
  </si>
  <si>
    <t>Elko</t>
  </si>
  <si>
    <t>POLYGON ((-112.18593357736243 41.03124915301105, -112.18593357736243 39.66204202052461, -113.98256414560147 39.66204202052461, -113.98256414560147 41.03124915301105, -112.18593357736243 41.03124915301105))</t>
  </si>
  <si>
    <t>Tooele</t>
  </si>
  <si>
    <t>Salt Lake City, UT</t>
  </si>
  <si>
    <t>Tensleep</t>
  </si>
  <si>
    <t>Tensleep5</t>
  </si>
  <si>
    <t>UT-NE</t>
  </si>
  <si>
    <t>Wyoming Thrust Belt</t>
  </si>
  <si>
    <t>UT-WTB</t>
  </si>
  <si>
    <t>RkMt-UT WTB</t>
  </si>
  <si>
    <t>60,68</t>
  </si>
  <si>
    <t>POLYGON ((-110.3893030091234 41.03124915301105, -110.3893030091234 39.66204202052461, -112.18593357736243 39.66204202052461, -112.18593357736243 41.03124915301105, -110.3893030091234 41.03124915301105))</t>
  </si>
  <si>
    <t>Wasatch</t>
  </si>
  <si>
    <t>Heber, UT</t>
  </si>
  <si>
    <t>POLYGON ((-108.59267244088436 41.03124915301105, -108.59267244088436 39.66204202052461, -110.38930300912341 39.66204202052461, -110.38930300912341 41.03124915301105, -108.59267244088436 41.03124915301105))</t>
  </si>
  <si>
    <t>Uintah</t>
  </si>
  <si>
    <t>Vernal, UT</t>
  </si>
  <si>
    <t>POLYGON ((-106.79604187264532 41.03124915301105, -106.79604187264532 39.66204202052461, -108.59267244088436 39.66204202052461, -108.59267244088436 41.03124915301105, -106.79604187264532 41.03124915301105))</t>
  </si>
  <si>
    <t>Moffat</t>
  </si>
  <si>
    <t>Craig, CO</t>
  </si>
  <si>
    <t>Wyoming Interstate PL Co</t>
  </si>
  <si>
    <t>Weber</t>
  </si>
  <si>
    <t>Morrison8</t>
  </si>
  <si>
    <t>CO-NE</t>
  </si>
  <si>
    <t>Piceance</t>
  </si>
  <si>
    <t>CO-Piceance</t>
  </si>
  <si>
    <t>RkMt-Piceance</t>
  </si>
  <si>
    <t>POLYGON ((-104.99941130440628 41.03124915301105, -104.99941130440628 39.66204202052461, -106.79604187264532 39.66204202052461, -106.79604187264532 41.03124915301105, -104.99941130440628 41.03124915301105))</t>
  </si>
  <si>
    <t>Fort Collins, CO</t>
  </si>
  <si>
    <t>POLYGON ((-103.20278073616724 41.03124915301105, -103.20278073616724 39.66204202052461, -104.99941130440628 39.66204202052461, -104.99941130440628 41.03124915301105, -103.20278073616724 41.03124915301105))</t>
  </si>
  <si>
    <t>Morgan</t>
  </si>
  <si>
    <t>Fort Morgan, CO</t>
  </si>
  <si>
    <t>POLYGON ((-101.40615016792819 41.03124915301105, -101.40615016792819 39.66204202052461, -103.20278073616724 39.66204202052461, -103.20278073616724 41.03124915301105, -101.40615016792819 41.03124915301105))</t>
  </si>
  <si>
    <t>Yuma</t>
  </si>
  <si>
    <t>Sterling, CO</t>
  </si>
  <si>
    <t>POLYGON ((-99.60951959968915 41.03124915301105, -99.60951959968915 39.66204202052461, -101.40615016792819 39.66204202052461, -101.40615016792819 41.03124915301105, -99.60951959968915 41.03124915301105))</t>
  </si>
  <si>
    <t>Nebraska</t>
  </si>
  <si>
    <t>Red Willow</t>
  </si>
  <si>
    <t>NE</t>
  </si>
  <si>
    <t>Lexington, NE</t>
  </si>
  <si>
    <t>Trailblazer Pipeline Co</t>
  </si>
  <si>
    <t>$3.8050</t>
  </si>
  <si>
    <t>$4.3060</t>
  </si>
  <si>
    <t>North Platte, NE</t>
  </si>
  <si>
    <t>POLYGON ((-97.81288903145011 41.03124915301105, -97.81288903145011 39.66204202052461, -99.60951959968915 39.66204202052461, -99.60951959968915 41.03124915301105, -97.81288903145011 41.03124915301105))</t>
  </si>
  <si>
    <t>Webster</t>
  </si>
  <si>
    <t>Hastings, NE</t>
  </si>
  <si>
    <t>Rockies Express Pipeline</t>
  </si>
  <si>
    <t>POLYGON ((-96.01625846321107 41.03124915301105, -96.01625846321107 39.66204202052461, -97.81288903145011 39.66204202052461, -97.81288903145011 41.03124915301105, -96.01625846321107 41.03124915301105))</t>
  </si>
  <si>
    <t>Gage</t>
  </si>
  <si>
    <t>Beatrice, NE</t>
  </si>
  <si>
    <t>POLYGON ((-94.21962789497202 41.03124915301105, -94.21962789497202 39.66204202052461, -96.01625846321107 39.66204202052461, -96.01625846321107 41.03124915301105, -94.21962789497202 41.03124915301105))</t>
  </si>
  <si>
    <t>Nodaway</t>
  </si>
  <si>
    <t>Maryville, MO</t>
  </si>
  <si>
    <t>POLYGON ((-92.42299732673298 41.03124915301105, -92.42299732673298 39.66204202052461, -94.21962789497202 39.66204202052461, -94.21962789497202 41.03124915301105, -92.42299732673298 41.03124915301105))</t>
  </si>
  <si>
    <t>Sullivan</t>
  </si>
  <si>
    <t>Kirksville, MO</t>
  </si>
  <si>
    <t>POLYGON ((-90.62636675849392 41.03124915301105, -90.62636675849392 39.66204202052461, -92.42299732673295 39.66204202052461, -92.42299732673295 41.03124915301105, -90.62636675849392 41.03124915301105))</t>
  </si>
  <si>
    <t>Fort Madison-Keokuk, IA-IL-MO</t>
  </si>
  <si>
    <t>POLYGON ((-88.82973619025488 41.03124915301105, -88.82973619025488 39.66204202052461, -90.62636675849392 39.66204202052461, -90.62636675849392 41.03124915301105, -88.82973619025488 41.03124915301105))</t>
  </si>
  <si>
    <t>Mason</t>
  </si>
  <si>
    <t>Peoria, IL</t>
  </si>
  <si>
    <t>POLYGON ((-87.03310562201582 41.03124915301105, -87.03310562201582 39.66204202052461, -88.82973619025488 39.66204202052461, -88.82973619025488 41.03124915301105, -87.03310562201582 41.03124915301105))</t>
  </si>
  <si>
    <t>Vermilion</t>
  </si>
  <si>
    <t>Champaign-Urbana, IL</t>
  </si>
  <si>
    <t>Northern Illinois Gas Co</t>
  </si>
  <si>
    <t>POLYGON ((-85.23647505377679 41.03124915301105, -85.23647505377679 39.66204202052461, -87.03310562201582 39.66204202052461, -87.03310562201582 41.03124915301105, -85.23647505377679 41.03124915301105))</t>
  </si>
  <si>
    <t>Tipton</t>
  </si>
  <si>
    <t>Kokomo, IN</t>
  </si>
  <si>
    <t>POLYGON ((-83.43984448553775 41.03124915301105, -83.43984448553775 39.66204202052461, -85.23647505377679 39.66204202052461, -85.23647505377679 41.03124915301105, -83.43984448553775 41.03124915301105))</t>
  </si>
  <si>
    <t>Shelby</t>
  </si>
  <si>
    <t>Sidney, OH</t>
  </si>
  <si>
    <t>West Ohio Gas Co</t>
  </si>
  <si>
    <t>POLYGON ((-81.64321391729871 41.03124915301105, -81.64321391729871 39.66204202052461, -83.43984448553775 39.66204202052461, -83.43984448553775 41.03124915301105, -81.64321391729871 41.03124915301105))</t>
  </si>
  <si>
    <t>Mount Vernon, OH</t>
  </si>
  <si>
    <t>Basal Sands - Sandusky</t>
  </si>
  <si>
    <t>Mount Simon8</t>
  </si>
  <si>
    <t>MI</t>
  </si>
  <si>
    <t>Mt Simon MI-E 3-6</t>
  </si>
  <si>
    <t>Michigan</t>
  </si>
  <si>
    <t>MI-Michigan</t>
  </si>
  <si>
    <t>AIM-Michigan</t>
  </si>
  <si>
    <t>POLYGON ((-79.84658334905967 41.03124915301105, -79.84658334905967 39.66204202052461, -81.64321391729872 39.66204202052461, -81.64321391729872 41.03124915301105, -79.84658334905967 41.03124915301105))</t>
  </si>
  <si>
    <t>Weirton-Steubenville, WV-OH</t>
  </si>
  <si>
    <t>POLYGON ((-78.04995278082063 41.03124915301105, -78.04995278082063 39.66204202052461, -79.84658334905967 39.66204202052461, -79.84658334905967 41.03124915301105, -78.04995278082063 41.03124915301105))</t>
  </si>
  <si>
    <t>Pennsylvania</t>
  </si>
  <si>
    <t>Cambria</t>
  </si>
  <si>
    <t>PA</t>
  </si>
  <si>
    <t>Johnstown, PA</t>
  </si>
  <si>
    <t>Equitrans Inc</t>
  </si>
  <si>
    <t>Oriskany Sandstone</t>
  </si>
  <si>
    <t>$4.4630</t>
  </si>
  <si>
    <t>$4.8520</t>
  </si>
  <si>
    <t>POLYGON ((-76.2533222125816 41.03124915301105, -76.2533222125816 39.66204202052461, -78.04995278082063 39.66204202052461, -78.04995278082063 41.03124915301105, -76.2533222125816 41.03124915301105))</t>
  </si>
  <si>
    <t>Perry</t>
  </si>
  <si>
    <t>Harrisburg-Carlisle, PA</t>
  </si>
  <si>
    <t>POLYGON ((-74.45669164434254 41.03124915301105, -74.45669164434254 39.66204202052461, -76.2533222125816 39.66204202052461, -76.2533222125816 41.03124915301105, -74.45669164434254 41.03124915301105))</t>
  </si>
  <si>
    <t>Bucks</t>
  </si>
  <si>
    <t>Philadelphia-Camden-Wilmington, PA-NJ-DE-MD</t>
  </si>
  <si>
    <t>POLYGON ((-72.66006107610349 41.03124915301105, -72.66006107610349 39.66204202052461, -74.45669164434254 39.66204202052461, -74.45669164434254 41.03124915301105, -72.66006107610349 41.03124915301105))</t>
  </si>
  <si>
    <t>New York</t>
  </si>
  <si>
    <t>Nassau</t>
  </si>
  <si>
    <t>NY</t>
  </si>
  <si>
    <t>New York-Newark-Jersey City, NY-NJ-PA</t>
  </si>
  <si>
    <t>$4.6290</t>
  </si>
  <si>
    <t>$5.0030</t>
  </si>
  <si>
    <t>POLYGON ((-70.86343050786446 41.03124915301105, -70.86343050786446 39.66204202052461, -72.6600610761035 39.66204202052461, -72.6600610761035 41.03124915301105, -70.86343050786446 41.03124915301105))</t>
  </si>
  <si>
    <t>Suffolk</t>
  </si>
  <si>
    <t>Algonquin Gas Trans Co</t>
  </si>
  <si>
    <t>POLYGON ((-122.96571698679669 42.3725630999539, -122.96571698679669 41.03124915301105, -124.76234755503575 41.03124915301105, -124.76234755503575 42.3725630999539, -122.96571698679669 42.3725630999539))</t>
  </si>
  <si>
    <t>Del Norte</t>
  </si>
  <si>
    <t>Crescent City, CA</t>
  </si>
  <si>
    <t>Eel River Basin - Offshore</t>
  </si>
  <si>
    <t>POLYGON ((-121.16908641855765 42.3725630999539, -121.16908641855765 41.03124915301105, -122.96571698679669 41.03124915301105, -122.96571698679669 42.3725630999539, -121.16908641855765 42.3725630999539))</t>
  </si>
  <si>
    <t>Siskiyou</t>
  </si>
  <si>
    <t>Klamath Falls, OR</t>
  </si>
  <si>
    <t>Hornbrook</t>
  </si>
  <si>
    <t>POLYGON ((-119.37245585031862 42.3725630999539, -119.37245585031862 41.03124915301105, -121.16908641855765 41.03124915301105, -121.16908641855765 42.3725630999539, -119.37245585031862 42.3725630999539))</t>
  </si>
  <si>
    <t>Modoc</t>
  </si>
  <si>
    <t>Reno, NV</t>
  </si>
  <si>
    <t>Ruby Pipeline LLC</t>
  </si>
  <si>
    <t>Surprise Valley</t>
  </si>
  <si>
    <t>POLYGON ((-117.57582528207958 42.3725630999539, -117.57582528207958 41.03124915301105, -119.37245585031862 41.03124915301105, -119.37245585031862 42.3725630999539, -117.57582528207958 42.3725630999539))</t>
  </si>
  <si>
    <t>Winnemucca, NV</t>
  </si>
  <si>
    <t>POLYGON ((-115.77919471384052 42.3725630999539, -115.77919471384052 41.03124915301105, -117.57582528207958 41.03124915301105, -117.57582528207958 42.3725630999539, -115.77919471384052 42.3725630999539))</t>
  </si>
  <si>
    <t>POLYGON ((-113.98256414560149 42.3725630999539, -113.98256414560149 41.03124915301105, -115.77919471384052 41.03124915301105, -115.77919471384052 42.3725630999539, -113.98256414560149 42.3725630999539))</t>
  </si>
  <si>
    <t>POLYGON ((-112.18593357736243 42.3725630999539, -112.18593357736243 41.03124915301105, -113.98256414560147 41.03124915301105, -113.98256414560147 42.3725630999539, -112.18593357736243 42.3725630999539))</t>
  </si>
  <si>
    <t>Box Elder</t>
  </si>
  <si>
    <t>Ogden-Clearfield, UT</t>
  </si>
  <si>
    <t>POLYGON ((-110.3893030091234 42.3725630999539, -110.3893030091234 41.03124915301105, -112.18593357736243 41.03124915301105, -112.18593357736243 42.3725630999539, -110.3893030091234 42.3725630999539))</t>
  </si>
  <si>
    <t>Rich</t>
  </si>
  <si>
    <t>Logan, UT-ID</t>
  </si>
  <si>
    <t>POLYGON ((-108.59267244088436 42.3725630999539, -108.59267244088436 41.03124915301105, -110.38930300912341 41.03124915301105, -110.38930300912341 42.3725630999539, -108.59267244088436 42.3725630999539))</t>
  </si>
  <si>
    <t>Wyoming</t>
  </si>
  <si>
    <t>Sweetwater</t>
  </si>
  <si>
    <t>WY</t>
  </si>
  <si>
    <t>Rock Springs, WY</t>
  </si>
  <si>
    <t>Overland Trails Trans Co</t>
  </si>
  <si>
    <t>Weber1</t>
  </si>
  <si>
    <t>Piceance - S</t>
  </si>
  <si>
    <t>$4.1450</t>
  </si>
  <si>
    <t>$4.4490</t>
  </si>
  <si>
    <t>POLYGON ((-106.79604187264532 42.3725630999539, -106.79604187264532 41.03124915301105, -108.59267244088436 41.03124915301105, -108.59267244088436 42.3725630999539, -106.79604187264532 42.3725630999539))</t>
  </si>
  <si>
    <t>Rockies Express (Entrega)</t>
  </si>
  <si>
    <t>POLYGON ((-104.99941130440628 42.3725630999539, -104.99941130440628 41.03124915301105, -106.79604187264532 41.03124915301105, -106.79604187264532 42.3725630999539, -104.99941130440628 42.3725630999539))</t>
  </si>
  <si>
    <t>Albany</t>
  </si>
  <si>
    <t>Laramie, WY</t>
  </si>
  <si>
    <t>POLYGON ((-103.20278073616724 42.3725630999539, -103.20278073616724 41.03124915301105, -104.99941130440628 41.03124915301105, -104.99941130440628 42.3725630999539, -103.20278073616724 42.3725630999539))</t>
  </si>
  <si>
    <t>Goshen</t>
  </si>
  <si>
    <t>Scottsbluff, NE</t>
  </si>
  <si>
    <t>POLYGON ((-101.40615016792819 42.3725630999539, -101.40615016792819 41.03124915301105, -103.20278073616724 41.03124915301105, -103.20278073616724 42.3725630999539, -101.40615016792819 42.3725630999539))</t>
  </si>
  <si>
    <t>Garden</t>
  </si>
  <si>
    <t>Maha</t>
  </si>
  <si>
    <t>Morrison5</t>
  </si>
  <si>
    <t>Denver - NE</t>
  </si>
  <si>
    <t>NE-Denver</t>
  </si>
  <si>
    <t>POLYGON ((-99.60951959968915 42.3725630999539, -99.60951959968915 41.03124915301105, -101.40615016792819 41.03124915301105, -101.40615016792819 42.3725630999539, -99.60951959968915 42.3725630999539))</t>
  </si>
  <si>
    <t>Logan</t>
  </si>
  <si>
    <t>POLYGON ((-97.81288903145011 42.3725630999539, -97.81288903145011 41.03124915301105, -99.60951959968915 41.03124915301105, -99.60951959968915 42.3725630999539, -97.81288903145011 42.3725630999539))</t>
  </si>
  <si>
    <t>Greeley</t>
  </si>
  <si>
    <t>Grand Island, NE</t>
  </si>
  <si>
    <t>POLYGON ((-96.01625846321107 42.3725630999539, -96.01625846321107 41.03124915301105, -97.81288903145011 41.03124915301105, -97.81288903145011 42.3725630999539, -96.01625846321107 42.3725630999539))</t>
  </si>
  <si>
    <t>Colfax</t>
  </si>
  <si>
    <t>Fremont, NE</t>
  </si>
  <si>
    <t>POLYGON ((-94.21962789497202 42.3725630999539, -94.21962789497202 41.03124915301105, -96.01625846321107 41.03124915301105, -96.01625846321107 42.3725630999539, -94.21962789497202 42.3725630999539))</t>
  </si>
  <si>
    <t>Iowa</t>
  </si>
  <si>
    <t>IA</t>
  </si>
  <si>
    <t>Carroll, IA</t>
  </si>
  <si>
    <t>$3.8290</t>
  </si>
  <si>
    <t>$4.5410</t>
  </si>
  <si>
    <t>POLYGON ((-92.42299732673298 42.3725630999539, -92.42299732673298 41.03124915301105, -94.21962789497202 41.03124915301105, -94.21962789497202 42.3725630999539, -92.42299732673298 42.3725630999539))</t>
  </si>
  <si>
    <t>Jasper</t>
  </si>
  <si>
    <t>Newton, IA</t>
  </si>
  <si>
    <t>POLYGON ((-90.62636675849392 42.3725630999539, -90.62636675849392 41.03124915301105, -92.42299732673295 41.03124915301105, -92.42299732673295 42.3725630999539, -90.62636675849392 42.3725630999539))</t>
  </si>
  <si>
    <t>Johnson</t>
  </si>
  <si>
    <t>Iowa City, IA</t>
  </si>
  <si>
    <t>POLYGON ((-88.82973619025488 42.3725630999539, -88.82973619025488 41.03124915301105, -90.62636675849392 41.03124915301105, -90.62636675849392 42.3725630999539, -88.82973619025488 42.3725630999539))</t>
  </si>
  <si>
    <t>Whiteside</t>
  </si>
  <si>
    <t>Sterling, IL</t>
  </si>
  <si>
    <t>POLYGON ((-87.03310562201582 42.3725630999539, -87.03310562201582 41.03124915301105, -88.82973619025488 41.03124915301105, -88.82973619025488 42.3725630999539, -87.03310562201582 42.3725630999539))</t>
  </si>
  <si>
    <t>Cook</t>
  </si>
  <si>
    <t>Chicago-Naperville-Elgin, IL-IN-WI</t>
  </si>
  <si>
    <t>POLYGON ((-85.23647505377679 42.3725630999539, -85.23647505377679 41.03124915301105, -87.03310562201582 41.03124915301105, -87.03310562201582 42.3725630999539, -85.23647505377679 42.3725630999539))</t>
  </si>
  <si>
    <t>Saint Joseph</t>
  </si>
  <si>
    <t>South Bend-Mishawaka, IN-MI</t>
  </si>
  <si>
    <t>Vector Pipeline Co</t>
  </si>
  <si>
    <t>POLYGON ((-83.43984448553775 42.3725630999539, -83.43984448553775 41.03124915301105, -85.23647505377679 41.03124915301105, -85.23647505377679 42.3725630999539, -83.43984448553775 42.3725630999539))</t>
  </si>
  <si>
    <t>Fulton</t>
  </si>
  <si>
    <t>Toledo, OH</t>
  </si>
  <si>
    <t>Rover Pipeline</t>
  </si>
  <si>
    <t>POLYGON ((-81.64321391729871 42.3725630999539, -81.64321391729871 41.03124915301105, -83.43984448553775 41.03124915301105, -83.43984448553775 42.3725630999539, -81.64321391729871 42.3725630999539))</t>
  </si>
  <si>
    <t>Lake Erie</t>
  </si>
  <si>
    <t>Sandusky, OH</t>
  </si>
  <si>
    <t>POLYGON ((-79.84658334905967 42.3725630999539, -79.84658334905967 41.03124915301105, -81.64321391729872 41.03124915301105, -81.64321391729872 42.3725630999539, -79.84658334905967 42.3725630999539))</t>
  </si>
  <si>
    <t>Ashtabula</t>
  </si>
  <si>
    <t>Ashtabula, OH</t>
  </si>
  <si>
    <t>East Ohio Gas Co</t>
  </si>
  <si>
    <t>POLYGON ((-78.04995278082063 42.3725630999539, -78.04995278082063 41.03124915301105, -79.84658334905967 41.03124915301105, -79.84658334905967 42.3725630999539, -78.04995278082063 42.3725630999539))</t>
  </si>
  <si>
    <t>Mc Kean</t>
  </si>
  <si>
    <t>Bradford, PA</t>
  </si>
  <si>
    <t>National Fuel Gas Supply Co</t>
  </si>
  <si>
    <t>POLYGON ((-76.2533222125816 42.3725630999539, -76.2533222125816 41.03124915301105, -78.04995278082063 41.03124915301105, -78.04995278082063 42.3725630999539, -76.2533222125816 42.3725630999539))</t>
  </si>
  <si>
    <t>Tioga</t>
  </si>
  <si>
    <t>Williamsport, PA</t>
  </si>
  <si>
    <t>North Penn Gas Co</t>
  </si>
  <si>
    <t>POLYGON ((-74.45669164434254 42.3725630999539, -74.45669164434254 41.03124915301105, -76.2533222125816 41.03124915301105, -76.2533222125816 42.3725630999539, -74.45669164434254 42.3725630999539))</t>
  </si>
  <si>
    <t>Wayne</t>
  </si>
  <si>
    <t>Scranton--Wilkes-Barre--Hazleton, PA</t>
  </si>
  <si>
    <t>POLYGON ((-72.66006107610349 42.3725630999539, -72.66006107610349 41.03124915301105, -74.45669164434254 41.03124915301105, -74.45669164434254 42.3725630999539, -72.66006107610349 42.3725630999539))</t>
  </si>
  <si>
    <t>Dutchess</t>
  </si>
  <si>
    <t>Iroquois Gas Trans Co</t>
  </si>
  <si>
    <t>POLYGON ((-70.86343050786446 42.3725630999539, -70.86343050786446 41.03124915301105, -72.6600610761035 41.03124915301105, -72.6600610761035 42.3725630999539, -70.86343050786446 42.3725630999539))</t>
  </si>
  <si>
    <t>Rhode Island</t>
  </si>
  <si>
    <t>RI</t>
  </si>
  <si>
    <t>Providence-Warwick, RI-MA</t>
  </si>
  <si>
    <t>$4.5790</t>
  </si>
  <si>
    <t>$5.0200</t>
  </si>
  <si>
    <t>POLYGON ((-69.06679993962543 42.3725630999539, -69.06679993962543 41.03124915301105, -70.86343050786446 41.03124915301105, -70.86343050786446 42.3725630999539, -69.06679993962543 42.3725630999539))</t>
  </si>
  <si>
    <t>&gt; 300 to &lt; 400 miles</t>
  </si>
  <si>
    <t>Massachusetts</t>
  </si>
  <si>
    <t>Barnstable</t>
  </si>
  <si>
    <t>MA</t>
  </si>
  <si>
    <t>Barnstable Town, MA</t>
  </si>
  <si>
    <t>$4.5630</t>
  </si>
  <si>
    <t>$4.9490</t>
  </si>
  <si>
    <t>POLYGON ((-122.96571698679669 43.685832084361344, -122.96571698679669 42.37256309995392, -124.76234755503575 42.37256309995392, -124.76234755503575 43.685832084361344, -122.96571698679669 43.685832084361344))</t>
  </si>
  <si>
    <t>Oregon</t>
  </si>
  <si>
    <t>Coos</t>
  </si>
  <si>
    <t>OR</t>
  </si>
  <si>
    <t>Coos Bay, OR</t>
  </si>
  <si>
    <t>Coos County Pipeline</t>
  </si>
  <si>
    <t>Tyee Umpqua Basin</t>
  </si>
  <si>
    <t>$4.8160</t>
  </si>
  <si>
    <t>$5.1120</t>
  </si>
  <si>
    <t>POLYGON ((-121.16908641855765 43.685832084361344, -121.16908641855765 42.37256309995392, -122.96571698679669 42.37256309995392, -122.96571698679669 43.685832084361344, -121.16908641855765 43.685832084361344))</t>
  </si>
  <si>
    <t>Klamath</t>
  </si>
  <si>
    <t>Gas Transmission - Northwest</t>
  </si>
  <si>
    <t>Ochoco</t>
  </si>
  <si>
    <t>POLYGON ((-119.37245585031862 43.685832084361344, -119.37245585031862 42.37256309995392, -121.16908641855765 42.37256309995392, -121.16908641855765 43.685832084361344, -119.37245585031862 43.685832084361344))</t>
  </si>
  <si>
    <t>Lake</t>
  </si>
  <si>
    <t>Bend-Redmond, OR</t>
  </si>
  <si>
    <t>POLYGON ((-117.57582528207958 43.685832084361344, -117.57582528207958 42.37256309995392, -119.37245585031862 42.37256309995392, -119.37245585031862 43.685832084361344, -117.57582528207958 43.685832084361344))</t>
  </si>
  <si>
    <t>Harney</t>
  </si>
  <si>
    <t>Ontario, OR-ID</t>
  </si>
  <si>
    <t>POLYGON ((-115.77919471384052 43.685832084361344, -115.77919471384052 42.37256309995392, -117.57582528207958 42.37256309995392, -117.57582528207958 43.685832084361344, -115.77919471384052 43.685832084361344))</t>
  </si>
  <si>
    <t>Idaho</t>
  </si>
  <si>
    <t>Owyhee</t>
  </si>
  <si>
    <t>ID</t>
  </si>
  <si>
    <t>Boise City, ID</t>
  </si>
  <si>
    <t>Snake River</t>
  </si>
  <si>
    <t>$4.3070</t>
  </si>
  <si>
    <t>$4.6080</t>
  </si>
  <si>
    <t>POLYGON ((-113.98256414560149 43.685832084361344, -113.98256414560149 42.37256309995392, -115.77919471384052 42.37256309995392, -115.77919471384052 43.685832084361344, -113.98256414560149 43.685832084361344))</t>
  </si>
  <si>
    <t>Gooding</t>
  </si>
  <si>
    <t>Twin Falls, ID</t>
  </si>
  <si>
    <t>POLYGON ((-112.18593357736243 43.685832084361344, -112.18593357736243 42.37256309995392, -113.98256414560147 42.37256309995392, -113.98256414560147 43.685832084361344, -112.18593357736243 43.685832084361344))</t>
  </si>
  <si>
    <t>Power</t>
  </si>
  <si>
    <t>Blackfoot, ID</t>
  </si>
  <si>
    <t>POLYGON ((-110.3893030091234 43.685832084361344, -110.3893030091234 42.37256309995392, -112.18593357736243 42.37256309995392, -112.18593357736243 43.685832084361344, -110.3893030091234 43.685832084361344))</t>
  </si>
  <si>
    <t>Bonneville</t>
  </si>
  <si>
    <t>Idaho Falls, ID</t>
  </si>
  <si>
    <t>POLYGON ((-108.59267244088436 43.685832084361344, -108.59267244088436 42.37256309995392, -110.38930300912341 42.37256309995392, -110.38930300912341 43.685832084361344, -108.59267244088436 43.685832084361344))</t>
  </si>
  <si>
    <t>Fremont</t>
  </si>
  <si>
    <t>Riverton, WY</t>
  </si>
  <si>
    <t>Gathering</t>
  </si>
  <si>
    <t>Merna Pipeline (WFS)</t>
  </si>
  <si>
    <t>FortUnion</t>
  </si>
  <si>
    <t>Tensleep4</t>
  </si>
  <si>
    <t>WY-SW</t>
  </si>
  <si>
    <t>WY-WTB</t>
  </si>
  <si>
    <t>RkMt-WY WTB</t>
  </si>
  <si>
    <t>POLYGON ((-106.79604187264532 43.685832084361344, -106.79604187264532 42.37256309995392, -108.59267244088436 42.37256309995392, -108.59267244088436 43.685832084361344, -106.79604187264532 43.685832084361344))</t>
  </si>
  <si>
    <t>Lost Creek Gathering Header</t>
  </si>
  <si>
    <t>Lakota</t>
  </si>
  <si>
    <t>Nugget2</t>
  </si>
  <si>
    <t>Nugget</t>
  </si>
  <si>
    <t>Green River - WY</t>
  </si>
  <si>
    <t>Green River</t>
  </si>
  <si>
    <t>WY-Green River</t>
  </si>
  <si>
    <t>RkMt-WY Green River</t>
  </si>
  <si>
    <t>BSCP</t>
  </si>
  <si>
    <t>Triassic</t>
  </si>
  <si>
    <t>5,6,16,b</t>
  </si>
  <si>
    <t>POLYGON ((-104.99941130440628 43.685832084361344, -104.99941130440628 42.37256309995392, -106.79604187264532 42.37256309995392, -106.79604187264532 43.685832084361344, -104.99941130440628 43.685832084361344))</t>
  </si>
  <si>
    <t>Converse</t>
  </si>
  <si>
    <t>Casper, WY</t>
  </si>
  <si>
    <t>MIGC Pipeline System</t>
  </si>
  <si>
    <t>WallCreek</t>
  </si>
  <si>
    <t>Madison1</t>
  </si>
  <si>
    <t>WY-NE</t>
  </si>
  <si>
    <t>Powder River</t>
  </si>
  <si>
    <t>WY-Powder River</t>
  </si>
  <si>
    <t>RkMt-WY Powder River</t>
  </si>
  <si>
    <t>PCOR</t>
  </si>
  <si>
    <t>Mississippian</t>
  </si>
  <si>
    <t>&lt;10,000?</t>
  </si>
  <si>
    <t>14,31,36</t>
  </si>
  <si>
    <t>POLYGON ((-103.20278073616724 43.685832084361344, -103.20278073616724 42.37256309995392, -104.99941130440628 42.37256309995392, -104.99941130440628 43.685832084361344, -103.20278073616724 43.685832084361344))</t>
  </si>
  <si>
    <t>Niobrara</t>
  </si>
  <si>
    <t>MGTC Pipeline System</t>
  </si>
  <si>
    <t>Minnelusa</t>
  </si>
  <si>
    <t>POLYGON ((-101.40615016792819 43.685832084361344, -101.40615016792819 42.37256309995392, -103.20278073616724 42.37256309995392, -103.20278073616724 43.685832084361344, -101.40615016792819 43.685832084361344))</t>
  </si>
  <si>
    <t>South Dakota</t>
  </si>
  <si>
    <t>Shannon</t>
  </si>
  <si>
    <t>SD</t>
  </si>
  <si>
    <t>Rapid City, SD</t>
  </si>
  <si>
    <t>WBI Energy Transmission</t>
  </si>
  <si>
    <t>Basal Cambrian</t>
  </si>
  <si>
    <t>Basal Cambrian7</t>
  </si>
  <si>
    <t>ND</t>
  </si>
  <si>
    <t>ND - 6000-9000</t>
  </si>
  <si>
    <t>Williston</t>
  </si>
  <si>
    <t>ND-Williston</t>
  </si>
  <si>
    <t>Williston-ND</t>
  </si>
  <si>
    <t>Shelf</t>
  </si>
  <si>
    <t>60, 69,70, 71</t>
  </si>
  <si>
    <t>$3.9090</t>
  </si>
  <si>
    <t>POLYGON ((-99.60951959968915 43.685832084361344, -99.60951959968915 42.37256309995392, -101.40615016792819 42.37256309995392, -101.40615016792819 43.685832084361344, -99.60951959968915 43.685832084361344))</t>
  </si>
  <si>
    <t>Todd</t>
  </si>
  <si>
    <t>Pierre, SD</t>
  </si>
  <si>
    <t>POLYGON ((-97.81288903145011 43.685832084361344, -97.81288903145011 42.37256309995392, -99.60951959968915 42.37256309995392, -99.60951959968915 43.685832084361344, -97.81288903145011 43.685832084361344))</t>
  </si>
  <si>
    <t>Gregory</t>
  </si>
  <si>
    <t>Mitchell, SD</t>
  </si>
  <si>
    <t>POLYGON ((-96.01625846321107 43.685832084361344, -96.01625846321107 42.37256309995392, -97.81288903145011 42.37256309995392, -97.81288903145011 43.685832084361344, -96.01625846321107 43.685832084361344))</t>
  </si>
  <si>
    <t>Vermillion, SD</t>
  </si>
  <si>
    <t>POLYGON ((-94.21962789497202 43.685832084361344, -94.21962789497202 42.37256309995392, -96.01625846321107 42.37256309995392, -96.01625846321107 43.685832084361344, -94.21962789497202 43.685832084361344))</t>
  </si>
  <si>
    <t>Spencer, IA</t>
  </si>
  <si>
    <t>POLYGON ((-92.42299732673298 43.685832084361344, -92.42299732673298 42.37256309995392, -94.21962789497202 42.37256309995392, -94.21962789497202 43.685832084361344, -92.42299732673298 43.685832084361344))</t>
  </si>
  <si>
    <t>Cerro Gordo</t>
  </si>
  <si>
    <t>Mason City, IA</t>
  </si>
  <si>
    <t>POLYGON ((-90.62636675849392 43.685832084361344, -90.62636675849392 42.37256309995392, -92.42299732673295 42.37256309995392, -92.42299732673295 43.685832084361344, -90.62636675849392 43.685832084361344))</t>
  </si>
  <si>
    <t>Clayton</t>
  </si>
  <si>
    <t>Platteville, WI</t>
  </si>
  <si>
    <t>POLYGON ((-88.82973619025488 43.685832084361344, -88.82973619025488 42.37256309995392, -90.62636675849392 42.37256309995392, -90.62636675849392 43.685832084361344, -88.82973619025488 43.685832084361344))</t>
  </si>
  <si>
    <t>Wisconsin</t>
  </si>
  <si>
    <t>Dane</t>
  </si>
  <si>
    <t>WI</t>
  </si>
  <si>
    <t>Madison, WI</t>
  </si>
  <si>
    <t>$4.2100</t>
  </si>
  <si>
    <t>$4.8310</t>
  </si>
  <si>
    <t>POLYGON ((-87.03310562201582 43.685832084361344, -87.03310562201582 42.37256309995392, -88.82973619025488 42.37256309995392, -88.82973619025488 43.685832084361344, -87.03310562201582 43.685832084361344))</t>
  </si>
  <si>
    <t>Milwaukee</t>
  </si>
  <si>
    <t>Milwaukee-Waukesha-West Allis, WI</t>
  </si>
  <si>
    <t>POLYGON ((-85.23647505377679 43.685832084361344, -85.23647505377679 42.37256309995392, -87.03310562201582 42.37256309995392, -87.03310562201582 43.685832084361344, -85.23647505377679 43.685832084361344))</t>
  </si>
  <si>
    <t>Ottawa</t>
  </si>
  <si>
    <t>Grand Rapids-Wyoming, MI</t>
  </si>
  <si>
    <t>$4.5860</t>
  </si>
  <si>
    <t>$5.1760</t>
  </si>
  <si>
    <t>POLYGON ((-83.43984448553775 43.685832084361344, -83.43984448553775 42.37256309995392, -85.23647505377679 42.37256309995392, -85.23647505377679 43.685832084361344, -83.43984448553775 43.685832084361344))</t>
  </si>
  <si>
    <t>Shiawassee</t>
  </si>
  <si>
    <t>Owosso, MI</t>
  </si>
  <si>
    <t>Michcon Gas Co</t>
  </si>
  <si>
    <t>Bass Island Dolomite</t>
  </si>
  <si>
    <t>St.Peter9</t>
  </si>
  <si>
    <t>St.Peter</t>
  </si>
  <si>
    <t>MI - 6000-9000</t>
  </si>
  <si>
    <t>a,13,14,15,44,60</t>
  </si>
  <si>
    <t>POLYGON ((-81.64321391729871 43.685832084361344, -81.64321391729871 42.37256309995392, -83.43984448553775 42.37256309995392, -83.43984448553775 43.685832084361344, -81.64321391729871 43.685832084361344))</t>
  </si>
  <si>
    <t>Saint Clair</t>
  </si>
  <si>
    <t>Detroit-Warren-Dearborn, MI</t>
  </si>
  <si>
    <t>Bluewater Pipeline Co</t>
  </si>
  <si>
    <t>POLYGON ((-78.04995278082063 43.685832084361344, -78.04995278082063 42.37256309995392, -79.84658334905967 42.37256309995392, -79.84658334905967 43.685832084361344, -78.04995278082063 43.685832084361344))</t>
  </si>
  <si>
    <t>Erie</t>
  </si>
  <si>
    <t>Buffalo-Cheektowaga-Niagara Falls, NY</t>
  </si>
  <si>
    <t>Empire Pipeline</t>
  </si>
  <si>
    <t>Rose Run Sandstone</t>
  </si>
  <si>
    <t>POLYGON ((-76.2533222125816 43.685832084361344, -76.2533222125816 42.37256309995392, -78.04995278082063 42.37256309995392, -78.04995278082063 43.685832084361344, -76.2533222125816 43.685832084361344))</t>
  </si>
  <si>
    <t>Ontario</t>
  </si>
  <si>
    <t>Rochester, NY</t>
  </si>
  <si>
    <t>POLYGON ((-74.45669164434254 43.685832084361344, -74.45669164434254 42.37256309995392, -76.2533222125816 42.37256309995392, -76.2533222125816 43.685832084361344, -74.45669164434254 43.685832084361344))</t>
  </si>
  <si>
    <t>Oneida</t>
  </si>
  <si>
    <t>Utica-Rome, NY</t>
  </si>
  <si>
    <t>Dominion Transmission Co</t>
  </si>
  <si>
    <t>POLYGON ((-72.66006107610349 43.685832084361344, -72.66006107610349 42.37256309995392, -74.45669164434254 42.37256309995392, -74.45669164434254 43.685832084361344, -72.66006107610349 43.685832084361344))</t>
  </si>
  <si>
    <t>Washington</t>
  </si>
  <si>
    <t>Glens Falls, NY</t>
  </si>
  <si>
    <t>POLYGON ((-70.86343050786446 43.685832084361344, -70.86343050786446 42.37256309995392, -72.6600610761035 42.37256309995392, -72.6600610761035 43.685832084361344, -70.86343050786446 43.685832084361344))</t>
  </si>
  <si>
    <t>New Hampshire</t>
  </si>
  <si>
    <t>Hillsborough</t>
  </si>
  <si>
    <t>NH</t>
  </si>
  <si>
    <t>Manchester-Nashua, NH</t>
  </si>
  <si>
    <t>EnergyNorth Nat Gas Co</t>
  </si>
  <si>
    <t>$4.4510</t>
  </si>
  <si>
    <t>$4.9030</t>
  </si>
  <si>
    <t>POLYGON ((-69.06679993962543 43.685832084361344, -69.06679993962543 42.37256309995392, -70.86343050786446 42.37256309995392, -70.86343050786446 43.685832084361344, -69.06679993962543 43.685832084361344))</t>
  </si>
  <si>
    <t>Maine</t>
  </si>
  <si>
    <t>York</t>
  </si>
  <si>
    <t>ME</t>
  </si>
  <si>
    <t>Portland-South Portland, ME</t>
  </si>
  <si>
    <t>PNGTS/Maritimes &amp; Northeast</t>
  </si>
  <si>
    <t>$4.4480</t>
  </si>
  <si>
    <t>$4.9230</t>
  </si>
  <si>
    <t>POLYGON ((-122.96571698679669 44.9709670509751, -122.96571698679669 43.68583208436134, -124.76234755503575 43.68583208436134, -124.76234755503575 44.9709670509751, -122.96571698679669 44.9709670509751))</t>
  </si>
  <si>
    <t>Newport, OR</t>
  </si>
  <si>
    <t>POLYGON ((-121.16908641855765 44.9709670509751, -121.16908641855765 43.68583208436134, -122.96571698679669 43.68583208436134, -122.96571698679669 44.9709670509751, -121.16908641855765 44.9709670509751))</t>
  </si>
  <si>
    <t>Linn</t>
  </si>
  <si>
    <t>Albany, OR</t>
  </si>
  <si>
    <t>Willamette Trough</t>
  </si>
  <si>
    <t>POLYGON ((-119.37245585031862 44.9709670509751, -119.37245585031862 43.68583208436134, -121.16908641855765 43.68583208436134, -121.16908641855765 44.9709670509751, -119.37245585031862 44.9709670509751))</t>
  </si>
  <si>
    <t>Crook</t>
  </si>
  <si>
    <t>Prineville, OR</t>
  </si>
  <si>
    <t>POLYGON ((-117.57582528207958 44.9709670509751, -117.57582528207958 43.68583208436134, -119.37245585031862 43.68583208436134, -119.37245585031862 44.9709670509751, -117.57582528207958 44.9709670509751))</t>
  </si>
  <si>
    <t>Grant</t>
  </si>
  <si>
    <t>POLYGON ((-115.77919471384052 44.9709670509751, -115.77919471384052 43.68583208436134, -117.57582528207958 43.68583208436134, -117.57582528207958 44.9709670509751, -115.77919471384052 44.9709670509751))</t>
  </si>
  <si>
    <t>POLYGON ((-113.98256414560149 44.9709670509751, -113.98256414560149 43.68583208436134, -115.77919471384052 43.68583208436134, -115.77919471384052 44.9709670509751, -113.98256414560149 44.9709670509751))</t>
  </si>
  <si>
    <t>Custer</t>
  </si>
  <si>
    <t>POLYGON ((-112.18593357736243 44.9709670509751, -112.18593357736243 43.68583208436134, -113.98256414560147 43.68583208436134, -113.98256414560147 44.9709670509751, -112.18593357736243 44.9709670509751))</t>
  </si>
  <si>
    <t>Lemhi</t>
  </si>
  <si>
    <t>Northwestern Energy Co</t>
  </si>
  <si>
    <t>POLYGON ((-110.3893030091234 44.9709670509751, -110.3893030091234 43.68583208436134, -112.18593357736243 43.68583208436134, -112.18593357736243 44.9709670509751, -110.3893030091234 44.9709670509751))</t>
  </si>
  <si>
    <t>Rexburg, ID</t>
  </si>
  <si>
    <t>POLYGON ((-108.59267244088436 44.9709670509751, -108.59267244088436 43.68583208436134, -110.38930300912341 43.68583208436134, -110.38930300912341 44.9709670509751, -108.59267244088436 44.9709670509751))</t>
  </si>
  <si>
    <t>Phosphoria</t>
  </si>
  <si>
    <t>Minnelusa1</t>
  </si>
  <si>
    <t>46,1,47</t>
  </si>
  <si>
    <t>POLYGON ((-106.79604187264532 44.9709670509751, -106.79604187264532 43.68583208436134, -108.59267244088436 43.68583208436134, -108.59267244088436 44.9709670509751, -106.79604187264532 44.9709670509751))</t>
  </si>
  <si>
    <t>Big Horn</t>
  </si>
  <si>
    <t>Sheridan, WY</t>
  </si>
  <si>
    <t>POLYGON ((-104.99941130440628 44.9709670509751, -104.99941130440628 43.68583208436134, -106.79604187264532 43.68583208436134, -106.79604187264532 44.9709670509751, -104.99941130440628 44.9709670509751))</t>
  </si>
  <si>
    <t>Gillette, WY</t>
  </si>
  <si>
    <t>Bison Pipeline</t>
  </si>
  <si>
    <t>POLYGON ((-103.20278073616724 44.9709670509751, -103.20278073616724 43.68583208436134, -104.99941130440628 43.68583208436134, -104.99941130440628 44.9709670509751, -103.20278073616724 44.9709670509751))</t>
  </si>
  <si>
    <t>Spearfish, SD</t>
  </si>
  <si>
    <t>POLYGON ((-101.40615016792819 44.9709670509751, -101.40615016792819 43.68583208436134, -103.20278073616724 43.68583208436134, -103.20278073616724 44.9709670509751, -101.40615016792819 44.9709670509751))</t>
  </si>
  <si>
    <t>Pennington</t>
  </si>
  <si>
    <t>Broom Creek</t>
  </si>
  <si>
    <t>Madison Gp-Mission Canyon Fm2</t>
  </si>
  <si>
    <t>Madison Gp-Mission Canyon Fm</t>
  </si>
  <si>
    <t>ND-Deep</t>
  </si>
  <si>
    <t>POLYGON ((-99.60951959968915 44.9709670509751, -99.60951959968915 43.68583208436134, -101.40615016792819 43.68583208436134, -101.40615016792819 44.9709670509751, -99.60951959968915 44.9709670509751))</t>
  </si>
  <si>
    <t>Stanley</t>
  </si>
  <si>
    <t>POLYGON ((-97.81288903145011 44.9709670509751, -97.81288903145011 43.68583208436134, -99.60951959968915 43.68583208436134, -99.60951959968915 44.9709670509751, -97.81288903145011 44.9709670509751))</t>
  </si>
  <si>
    <t>Hand</t>
  </si>
  <si>
    <t>Huron, SD</t>
  </si>
  <si>
    <t>POLYGON ((-96.01625846321107 44.9709670509751, -96.01625846321107 43.68583208436134, -97.81288903145011 43.68583208436134, -97.81288903145011 44.9709670509751, -96.01625846321107 44.9709670509751))</t>
  </si>
  <si>
    <t>Brookings</t>
  </si>
  <si>
    <t>Brookings, SD</t>
  </si>
  <si>
    <t>POLYGON ((-94.21962789497202 44.9709670509751, -94.21962789497202 43.68583208436134, -96.01625846321107 43.68583208436134, -96.01625846321107 44.9709670509751, -94.21962789497202 44.9709670509751))</t>
  </si>
  <si>
    <t>Minnesota</t>
  </si>
  <si>
    <t>Redwood</t>
  </si>
  <si>
    <t>MN</t>
  </si>
  <si>
    <t>New Ulm, MN</t>
  </si>
  <si>
    <t>$4.2110</t>
  </si>
  <si>
    <t>$4.7150</t>
  </si>
  <si>
    <t>POLYGON ((-92.42299732673298 44.9709670509751, -92.42299732673298 43.68583208436134, -94.21962789497202 43.68583208436134, -94.21962789497202 44.9709670509751, -92.42299732673298 44.9709670509751))</t>
  </si>
  <si>
    <t>Rice</t>
  </si>
  <si>
    <t>Faribault-Northfield, MN</t>
  </si>
  <si>
    <t>POLYGON ((-90.62636675849392 44.9709670509751, -90.62636675849392 43.68583208436134, -92.42299732673295 43.68583208436134, -92.42299732673295 44.9709670509751, -90.62636675849392 44.9709670509751))</t>
  </si>
  <si>
    <t>Trempealeau</t>
  </si>
  <si>
    <t>Winona, MN</t>
  </si>
  <si>
    <t>Eau Claire, WI</t>
  </si>
  <si>
    <t>POLYGON ((-88.82973619025488 44.9709670509751, -88.82973619025488 43.68583208436134, -90.62636675849392 43.68583208436134, -90.62636675849392 44.9709670509751, -88.82973619025488 44.9709670509751))</t>
  </si>
  <si>
    <t>Wood</t>
  </si>
  <si>
    <t>Wisconsin Rapids-Marshfield, WI</t>
  </si>
  <si>
    <t>POLYGON ((-87.03310562201582 44.9709670509751, -87.03310562201582 43.68583208436134, -88.82973619025488 43.68583208436134, -88.82973619025488 44.9709670509751, -87.03310562201582 44.9709670509751))</t>
  </si>
  <si>
    <t>Brown</t>
  </si>
  <si>
    <t>Green Bay, WI</t>
  </si>
  <si>
    <t>POLYGON ((-85.23647505377679 44.9709670509751, -85.23647505377679 43.68583208436134, -87.03310562201582 43.68583208436134, -87.03310562201582 44.9709670509751, -85.23647505377679 44.9709670509751))</t>
  </si>
  <si>
    <t>Manistee</t>
  </si>
  <si>
    <t>Ludington, MI</t>
  </si>
  <si>
    <t>POLYGON ((-83.43984448553775 44.9709670509751, -83.43984448553775 43.68583208436134, -85.23647505377679 43.68583208436134, -85.23647505377679 44.9709670509751, -83.43984448553775 44.9709670509751))</t>
  </si>
  <si>
    <t>Ogemaw</t>
  </si>
  <si>
    <t>Bay City, MI</t>
  </si>
  <si>
    <t>POLYGON ((-81.64321391729871 44.9709670509751, -81.64321391729871 43.68583208436134, -83.43984448553775 43.68583208436134, -83.43984448553775 44.9709670509751, -81.64321391729871 44.9709670509751))</t>
  </si>
  <si>
    <t>Lake Hurron</t>
  </si>
  <si>
    <t>Alpena, MI</t>
  </si>
  <si>
    <t>St. Peter Sandstone</t>
  </si>
  <si>
    <t>POLYGON ((-76.2533222125816 44.9709670509751, -76.2533222125816 43.68583208436134, -78.04995278082063 43.68583208436134, -78.04995278082063 44.9709670509751, -76.2533222125816 44.9709670509751))</t>
  </si>
  <si>
    <t>Lake Ontario</t>
  </si>
  <si>
    <t>Watertown-Fort Drum, NY</t>
  </si>
  <si>
    <t>POLYGON ((-74.45669164434254 44.9709670509751, -74.45669164434254 43.68583208436134, -76.2533222125816 43.68583208436134, -76.2533222125816 44.9709670509751, -74.45669164434254 44.9709670509751))</t>
  </si>
  <si>
    <t>Saint Lawrence</t>
  </si>
  <si>
    <t>Ogdensburg-Massena, NY</t>
  </si>
  <si>
    <t>POLYGON ((-72.66006107610349 44.9709670509751, -72.66006107610349 43.68583208436134, -74.45669164434254 43.68583208436134, -74.45669164434254 44.9709670509751, -72.66006107610349 44.9709670509751))</t>
  </si>
  <si>
    <t>Essex</t>
  </si>
  <si>
    <t>Plattsburgh, NY</t>
  </si>
  <si>
    <t>Vermont Gas System</t>
  </si>
  <si>
    <t>POLYGON ((-70.86343050786446 44.9709670509751, -70.86343050786446 43.68583208436134, -72.6600610761035 43.68583208436134, -72.6600610761035 44.9709670509751, -70.86343050786446 44.9709670509751))</t>
  </si>
  <si>
    <t>Grafton</t>
  </si>
  <si>
    <t>Claremont-Lebanon, NH-VT</t>
  </si>
  <si>
    <t>Portland Natural Gas PL</t>
  </si>
  <si>
    <t>POLYGON ((-69.06679993962543 44.9709670509751, -69.06679993962543 43.68583208436134, -70.86343050786446 43.68583208436134, -70.86343050786446 44.9709670509751, -69.06679993962543 44.9709670509751))</t>
  </si>
  <si>
    <t>Kennebec</t>
  </si>
  <si>
    <t>Augusta-Waterville, ME</t>
  </si>
  <si>
    <t>Maritimes &amp; Northeast PL US</t>
  </si>
  <si>
    <t>POLYGON ((-67.27016937138639 44.9709670509751, -67.27016937138639 43.68583208436134, -69.06679993962543 43.68583208436134, -69.06679993962543 44.9709670509751, -67.27016937138639 44.9709670509751))</t>
  </si>
  <si>
    <t>&gt; 500 miles</t>
  </si>
  <si>
    <t>Hancock</t>
  </si>
  <si>
    <t>Bangor, ME</t>
  </si>
  <si>
    <t>POLYGON ((-65.47353880314733 44.9709670509751, -65.47353880314733 43.68583208436134, -67.27016937138639 43.68583208436134, -67.27016937138639 44.9709670509751, -65.47353880314733 44.9709670509751))</t>
  </si>
  <si>
    <t>POLYGON ((-122.96571698679669 46.22793807606996, -122.96571698679669 44.9709670509751, -124.76234755503575 44.9709670509751, -124.76234755503575 46.22793807606996, -122.96571698679669 46.22793807606996))</t>
  </si>
  <si>
    <t>Tillamook</t>
  </si>
  <si>
    <t>Astoria, OR</t>
  </si>
  <si>
    <t>Kelso-Beaver Pipeline</t>
  </si>
  <si>
    <t>Astoria-Nehalem</t>
  </si>
  <si>
    <t>POLYGON ((-121.16908641855765 46.22793807606996, -121.16908641855765 44.9709670509751, -122.96571698679669 44.9709670509751, -122.96571698679669 46.22793807606996, -121.16908641855765 46.22793807606996))</t>
  </si>
  <si>
    <t>Multnomah</t>
  </si>
  <si>
    <t>Portland-Vancouver-Hillsboro, OR-WA</t>
  </si>
  <si>
    <t>Puget Sound</t>
  </si>
  <si>
    <t>Duperow-Upper1</t>
  </si>
  <si>
    <t>Duperow - Upper</t>
  </si>
  <si>
    <t>MT</t>
  </si>
  <si>
    <t>MT-CENT</t>
  </si>
  <si>
    <t>Kevin Dome</t>
  </si>
  <si>
    <t>MT-Kevin Dome</t>
  </si>
  <si>
    <t>RkMt-MT-Kevin Dome</t>
  </si>
  <si>
    <t>Devonian</t>
  </si>
  <si>
    <t>5,47</t>
  </si>
  <si>
    <t>POLYGON ((-119.37245585031862 46.22793807606996, -119.37245585031862 44.9709670509751, -121.16908641855765 44.9709670509751, -121.16908641855765 46.22793807606996, -119.37245585031862 46.22793807606996))</t>
  </si>
  <si>
    <t>Gilliam</t>
  </si>
  <si>
    <t>Hermiston-Pendleton, OR</t>
  </si>
  <si>
    <t>POLYGON ((-117.57582528207958 46.22793807606996, -117.57582528207958 44.9709670509751, -119.37245585031862 44.9709670509751, -119.37245585031862 46.22793807606996, -117.57582528207958 46.22793807606996))</t>
  </si>
  <si>
    <t>Umatilla</t>
  </si>
  <si>
    <t>POLYGON ((-115.77919471384052 46.22793807606996, -115.77919471384052 44.9709670509751, -117.57582528207958 44.9709670509751, -117.57582528207958 46.22793807606996, -115.77919471384052 46.22793807606996))</t>
  </si>
  <si>
    <t>Wallowa</t>
  </si>
  <si>
    <t>Lewiston, ID-WA</t>
  </si>
  <si>
    <t>POLYGON ((-113.98256414560149 46.22793807606996, -113.98256414560149 44.9709670509751, -115.77919471384052 44.9709670509751, -115.77919471384052 46.22793807606996, -113.98256414560149 46.22793807606996))</t>
  </si>
  <si>
    <t>Missoula, MT</t>
  </si>
  <si>
    <t>POLYGON ((-112.18593357736243 46.22793807606996, -112.18593357736243 44.9709670509751, -113.98256414560147 44.9709670509751, -113.98256414560147 46.22793807606996, -112.18593357736243 46.22793807606996))</t>
  </si>
  <si>
    <t>Montana</t>
  </si>
  <si>
    <t>Beaverhead</t>
  </si>
  <si>
    <t>Butte-Silver Bow, MT</t>
  </si>
  <si>
    <t>$4.2570</t>
  </si>
  <si>
    <t>$4.6090</t>
  </si>
  <si>
    <t>POLYGON ((-110.3893030091234 46.22793807606996, -110.3893030091234 44.9709670509751, -112.18593357736243 44.9709670509751, -112.18593357736243 46.22793807606996, -110.3893030091234 46.22793807606996))</t>
  </si>
  <si>
    <t>Gallatin</t>
  </si>
  <si>
    <t>Bozeman, MT</t>
  </si>
  <si>
    <t>Frontier</t>
  </si>
  <si>
    <t>Minnelusa2</t>
  </si>
  <si>
    <t>MT-SE</t>
  </si>
  <si>
    <t>MT-Powder River</t>
  </si>
  <si>
    <t>RkMt-MT Powder River</t>
  </si>
  <si>
    <t>POLYGON ((-108.59267244088436 46.22793807606996, -108.59267244088436 44.9709670509751, -110.38930300912341 44.9709670509751, -110.38930300912341 46.22793807606996, -108.59267244088436 46.22793807606996))</t>
  </si>
  <si>
    <t>Stillwater</t>
  </si>
  <si>
    <t>Billings, MT</t>
  </si>
  <si>
    <t>JudithRiver</t>
  </si>
  <si>
    <t>POLYGON ((-106.79604187264532 46.22793807606996, -106.79604187264532 44.9709670509751, -108.59267244088436 44.9709670509751, -108.59267244088436 46.22793807606996, -106.79604187264532 46.22793807606996))</t>
  </si>
  <si>
    <t>POLYGON ((-104.99941130440628 46.22793807606996, -104.99941130440628 44.9709670509751, -106.79604187264532 44.9709670509751, -106.79604187264532 46.22793807606996, -104.99941130440628 46.22793807606996))</t>
  </si>
  <si>
    <t>POLYGON ((-103.20278073616724 46.22793807606996, -103.20278073616724 44.9709670509751, -104.99941130440628 44.9709670509751, -104.99941130440628 46.22793807606996, -103.20278073616724 46.22793807606996))</t>
  </si>
  <si>
    <t>Carter</t>
  </si>
  <si>
    <t>POLYGON ((-101.40615016792819 46.22793807606996, -101.40615016792819 44.9709670509751, -103.20278073616724 44.9709670509751, -103.20278073616724 46.22793807606996, -101.40615016792819 46.22793807606996))</t>
  </si>
  <si>
    <t>Perkins</t>
  </si>
  <si>
    <t>Bismarck, ND</t>
  </si>
  <si>
    <t>POLYGON ((-99.60951959968915 46.22793807606996, -99.60951959968915 44.9709670509751, -101.40615016792819 44.9709670509751, -101.40615016792819 46.22793807606996, -99.60951959968915 46.22793807606996))</t>
  </si>
  <si>
    <t>Corson</t>
  </si>
  <si>
    <t>Northern Border PL Co</t>
  </si>
  <si>
    <t>POLYGON ((-97.81288903145011 46.22793807606996, -97.81288903145011 44.9709670509751, -99.60951959968915 44.9709670509751, -99.60951959968915 46.22793807606996, -97.81288903145011 46.22793807606996))</t>
  </si>
  <si>
    <t>Aberdeen, SD</t>
  </si>
  <si>
    <t>POLYGON ((-96.01625846321107 46.22793807606996, -96.01625846321107 44.9709670509751, -97.81288903145011 44.9709670509751, -97.81288903145011 46.22793807606996, -96.01625846321107 46.22793807606996))</t>
  </si>
  <si>
    <t>Roberts</t>
  </si>
  <si>
    <t>Wahpeton, ND-MN</t>
  </si>
  <si>
    <t>Alliance Pipeline System</t>
  </si>
  <si>
    <t>POLYGON ((-94.21962789497202 46.22793807606996, -94.21962789497202 44.9709670509751, -96.01625846321107 44.9709670509751, -96.01625846321107 46.22793807606996, -94.21962789497202 46.22793807606996))</t>
  </si>
  <si>
    <t>Stearns</t>
  </si>
  <si>
    <t>St. Cloud, MN</t>
  </si>
  <si>
    <t>POLYGON ((-92.42299732673298 46.22793807606996, -92.42299732673298 44.9709670509751, -94.21962789497202 44.9709670509751, -94.21962789497202 46.22793807606996, -92.42299732673298 46.22793807606996))</t>
  </si>
  <si>
    <t>Isanti</t>
  </si>
  <si>
    <t>Minneapolis-St. Paul-Bloomington, MN-WI</t>
  </si>
  <si>
    <t>Viking Gas Transmission Co</t>
  </si>
  <si>
    <t>POLYGON ((-90.62636675849392 46.22793807606996, -90.62636675849392 44.9709670509751, -92.42299732673295 44.9709670509751, -92.42299732673295 46.22793807606996, -90.62636675849392 46.22793807606996))</t>
  </si>
  <si>
    <t>Rusk</t>
  </si>
  <si>
    <t>POLYGON ((-88.82973619025488 46.22793807606996, -88.82973619025488 44.9709670509751, -90.62636675849392 44.9709670509751, -90.62636675849392 46.22793807606996, -88.82973619025488 46.22793807606996))</t>
  </si>
  <si>
    <t>Merrill, WI</t>
  </si>
  <si>
    <t>Sylvania Sandstone</t>
  </si>
  <si>
    <t>POLYGON ((-87.03310562201582 46.22793807606996, -87.03310562201582 44.9709670509751, -88.82973619025488 44.9709670509751, -88.82973619025488 46.22793807606996, -87.03310562201582 46.22793807606996))</t>
  </si>
  <si>
    <t>Marinette</t>
  </si>
  <si>
    <t>Marinette, WI-MI</t>
  </si>
  <si>
    <t>POLYGON ((-85.23647505377679 46.22793807606996, -85.23647505377679 44.9709670509751, -87.03310562201582 44.9709670509751, -87.03310562201582 46.22793807606996, -85.23647505377679 46.22793807606996))</t>
  </si>
  <si>
    <t>Lake Michigan</t>
  </si>
  <si>
    <t>Traverse City, MI</t>
  </si>
  <si>
    <t>Great Lakes Gas Trans Co</t>
  </si>
  <si>
    <t>POLYGON ((-83.43984448553775 46.22793807606996, -83.43984448553775 44.9709670509751, -85.23647505377679 44.9709670509751, -85.23647505377679 46.22793807606996, -83.43984448553775 46.22793807606996))</t>
  </si>
  <si>
    <t>Cheboygan</t>
  </si>
  <si>
    <t>Sault Ste. Marie, MI</t>
  </si>
  <si>
    <t>POLYGON ((-81.64321391729871 46.22793807606996, -81.64321391729871 44.9709670509751, -83.43984448553775 44.9709670509751, -83.43984448553775 46.22793807606996, -81.64321391729871 46.22793807606996))</t>
  </si>
  <si>
    <t>POLYGON ((-72.66006107610349 46.22793807606996, -72.66006107610349 44.9709670509751, -74.45669164434254 44.9709670509751, -74.45669164434254 46.22793807606996, -72.66006107610349 46.22793807606996))</t>
  </si>
  <si>
    <t>Clinton</t>
  </si>
  <si>
    <t>North Country Pipeline Co</t>
  </si>
  <si>
    <t>POLYGON ((-70.86343050786446 46.22793807606996, -70.86343050786446 44.9709670509751, -72.6600610761035 44.9709670509751, -72.6600610761035 46.22793807606996, -70.86343050786446 46.22793807606996))</t>
  </si>
  <si>
    <t>Berlin, NH-VT</t>
  </si>
  <si>
    <t>POLYGON ((-69.06679993962543 46.22793807606996, -69.06679993962543 44.9709670509751, -70.86343050786446 44.9709670509751, -70.86343050786446 46.22793807606996, -69.06679993962543 46.22793807606996))</t>
  </si>
  <si>
    <t>&gt; 400 to &lt; 500 miles</t>
  </si>
  <si>
    <t>Somerset</t>
  </si>
  <si>
    <t>POLYGON ((-67.27016937138639 46.22793807606996, -67.27016937138639 44.9709670509751, -69.06679993962543 44.9709670509751, -69.06679993962543 46.22793807606996, -67.27016937138639 46.22793807606996))</t>
  </si>
  <si>
    <t>Penobscot</t>
  </si>
  <si>
    <t>POLYGON ((-122.96571698679669 47.45677070995012, -122.96571698679669 46.22793807606996, -124.76234755503575 46.22793807606996, -124.76234755503575 47.45677070995012, -122.96571698679669 47.45677070995012))</t>
  </si>
  <si>
    <t>Grays Harbor</t>
  </si>
  <si>
    <t>WA</t>
  </si>
  <si>
    <t>Aberdeen, WA</t>
  </si>
  <si>
    <t>Willapa Hills</t>
  </si>
  <si>
    <t>$5.3100</t>
  </si>
  <si>
    <t>$5.5570</t>
  </si>
  <si>
    <t>POLYGON ((-121.16908641855765 47.45677070995012, -121.16908641855765 46.22793807606996, -122.96571698679669 46.22793807606996, -122.96571698679669 47.45677070995012, -121.16908641855765 47.45677070995012))</t>
  </si>
  <si>
    <t>Pierce</t>
  </si>
  <si>
    <t>Seattle-Tacoma-Bellevue, WA</t>
  </si>
  <si>
    <t>POLYGON ((-119.37245585031862 47.45677070995012, -119.37245585031862 46.22793807606996, -121.16908641855765 46.22793807606996, -121.16908641855765 47.45677070995012, -119.37245585031862 47.45677070995012))</t>
  </si>
  <si>
    <t>Kittitas</t>
  </si>
  <si>
    <t>Ellensburg, WA</t>
  </si>
  <si>
    <t>Chiwaukum</t>
  </si>
  <si>
    <t>POLYGON ((-117.57582528207958 47.45677070995012, -117.57582528207958 46.22793807606996, -119.37245585031862 46.22793807606996, -119.37245585031862 47.45677070995012, -117.57582528207958 47.45677070995012))</t>
  </si>
  <si>
    <t>Adams</t>
  </si>
  <si>
    <t>Othello, WA</t>
  </si>
  <si>
    <t>POLYGON ((-115.77919471384052 47.45677070995012, -115.77919471384052 46.22793807606996, -117.57582528207958 46.22793807606996, -117.57582528207958 47.45677070995012, -115.77919471384052 47.45677070995012))</t>
  </si>
  <si>
    <t>Latah</t>
  </si>
  <si>
    <t>Moscow, ID</t>
  </si>
  <si>
    <t>POLYGON ((-113.98256414560149 47.45677070995012, -113.98256414560149 46.22793807606996, -115.77919471384052 46.22793807606996, -115.77919471384052 47.45677070995012, -113.98256414560149 47.45677070995012))</t>
  </si>
  <si>
    <t>POLYGON ((-112.18593357736243 47.45677070995012, -112.18593357736243 46.22793807606996, -113.98256414560147 46.22793807606996, -113.98256414560147 47.45677070995012, -112.18593357736243 47.45677070995012))</t>
  </si>
  <si>
    <t>Powell</t>
  </si>
  <si>
    <t>POLYGON ((-110.3893030091234 47.45677070995012, -110.3893030091234 46.22793807606996, -112.18593357736243 46.22793807606996, -112.18593357736243 47.45677070995012, -110.3893030091234 47.45677070995012))</t>
  </si>
  <si>
    <t>Meagher</t>
  </si>
  <si>
    <t>Helena, MT</t>
  </si>
  <si>
    <t>Great Falls, MT</t>
  </si>
  <si>
    <t>POLYGON ((-108.59267244088436 47.45677070995012, -108.59267244088436 46.22793807606996, -110.38930300912341 46.22793807606996, -110.38930300912341 47.45677070995012, -108.59267244088436 47.45677070995012))</t>
  </si>
  <si>
    <t>Fergus</t>
  </si>
  <si>
    <t>Duperow</t>
  </si>
  <si>
    <t>Basal Cambrian1</t>
  </si>
  <si>
    <t>MT-N</t>
  </si>
  <si>
    <t>RkMt-MT Kevin Dome</t>
  </si>
  <si>
    <t>POLYGON ((-106.79604187264532 47.45677070995012, -106.79604187264532 46.22793807606996, -108.59267244088436 46.22793807606996, -108.59267244088436 47.45677070995012, -106.79604187264532 47.45677070995012))</t>
  </si>
  <si>
    <t>Rosebud</t>
  </si>
  <si>
    <t>POLYGON ((-104.99941130440628 47.45677070995012, -104.99941130440628 46.22793807606996, -106.79604187264532 46.22793807606996, -106.79604187264532 47.45677070995012, -104.99941130440628 47.45677070995012))</t>
  </si>
  <si>
    <t>Amsden</t>
  </si>
  <si>
    <t>Madison Gp-Mission Canyon Fm4</t>
  </si>
  <si>
    <t>MT-E</t>
  </si>
  <si>
    <t>MT-Williston</t>
  </si>
  <si>
    <t>Williston-MT</t>
  </si>
  <si>
    <t>POLYGON ((-103.20278073616724 47.45677070995012, -103.20278073616724 46.22793807606996, -104.99941130440628 46.22793807606996, -104.99941130440628 47.45677070995012, -103.20278073616724 47.45677070995012))</t>
  </si>
  <si>
    <t>Wibaux</t>
  </si>
  <si>
    <t>Dickinson, ND</t>
  </si>
  <si>
    <t>POLYGON ((-101.40615016792819 47.45677070995012, -101.40615016792819 46.22793807606996, -103.20278073616724 46.22793807606996, -103.20278073616724 47.45677070995012, -101.40615016792819 47.45677070995012))</t>
  </si>
  <si>
    <t>North Dakota</t>
  </si>
  <si>
    <t>Stark</t>
  </si>
  <si>
    <t>$4.0240</t>
  </si>
  <si>
    <t>$4.4040</t>
  </si>
  <si>
    <t>POLYGON ((-99.60951959968915 47.45677070995012, -99.60951959968915 46.22793807606996, -101.40615016792819 46.22793807606996, -101.40615016792819 47.45677070995012, -99.60951959968915 47.45677070995012))</t>
  </si>
  <si>
    <t>Burleigh</t>
  </si>
  <si>
    <t>Mission Canyon</t>
  </si>
  <si>
    <t>POLYGON ((-97.81288903145011 47.45677070995012, -97.81288903145011 46.22793807606996, -99.60951959968915 46.22793807606996, -99.60951959968915 47.45677070995012, -97.81288903145011 47.45677070995012))</t>
  </si>
  <si>
    <t>Stutsman</t>
  </si>
  <si>
    <t>Jamestown, ND</t>
  </si>
  <si>
    <t>POLYGON ((-96.01625846321107 47.45677070995012, -96.01625846321107 46.22793807606996, -97.81288903145011 46.22793807606996, -97.81288903145011 47.45677070995012, -96.01625846321107 47.45677070995012))</t>
  </si>
  <si>
    <t>Cass</t>
  </si>
  <si>
    <t>Fargo, ND-MN</t>
  </si>
  <si>
    <t>POLYGON ((-94.21962789497202 47.45677070995012, -94.21962789497202 46.22793807606996, -96.01625846321107 46.22793807606996, -96.01625846321107 47.45677070995012, -94.21962789497202 47.45677070995012))</t>
  </si>
  <si>
    <t>Hubbard</t>
  </si>
  <si>
    <t>Fergus Falls, MN</t>
  </si>
  <si>
    <t>POLYGON ((-92.42299732673298 47.45677070995012, -92.42299732673298 46.22793807606996, -94.21962789497202 46.22793807606996, -94.21962789497202 47.45677070995012, -92.42299732673298 47.45677070995012))</t>
  </si>
  <si>
    <t>Aitkin</t>
  </si>
  <si>
    <t>Duluth, MN-WI</t>
  </si>
  <si>
    <t>Grand Rapids, MN</t>
  </si>
  <si>
    <t>POLYGON ((-90.62636675849392 47.45677070995012, -90.62636675849392 46.22793807606996, -92.42299732673295 46.22793807606996, -92.42299732673295 47.45677070995012, -90.62636675849392 47.45677070995012))</t>
  </si>
  <si>
    <t>Lake Superior</t>
  </si>
  <si>
    <t>POLYGON ((-88.82973619025488 47.45677070995012, -88.82973619025488 46.22793807606996, -90.62636675849392 46.22793807606996, -90.62636675849392 47.45677070995012, -88.82973619025488 47.45677070995012))</t>
  </si>
  <si>
    <t>Houghton, MI</t>
  </si>
  <si>
    <t>POLYGON ((-87.03310562201582 47.45677070995012, -87.03310562201582 46.22793807606996, -88.82973619025488 46.22793807606996, -88.82973619025488 47.45677070995012, -87.03310562201582 47.45677070995012))</t>
  </si>
  <si>
    <t>Marquette</t>
  </si>
  <si>
    <t>Marquette, MI</t>
  </si>
  <si>
    <t>POLYGON ((-85.23647505377679 47.45677070995012, -85.23647505377679 46.22793807606996, -87.03310562201582 46.22793807606996, -87.03310562201582 47.45677070995012, -85.23647505377679 47.45677070995012))</t>
  </si>
  <si>
    <t>Escanaba, MI</t>
  </si>
  <si>
    <t>POLYGON ((-83.43984448553775 47.45677070995012, -83.43984448553775 46.22793807606996, -85.23647505377679 46.22793807606996, -85.23647505377679 47.45677070995012, -83.43984448553775 47.45677070995012))</t>
  </si>
  <si>
    <t>POLYGON ((-69.06679993962543 47.45677070995012, -69.06679993962543 46.22793807606996, -70.86343050786446 46.22793807606996, -70.86343050786446 47.45677070995012, -69.06679993962543 47.45677070995012))</t>
  </si>
  <si>
    <t>Aroostook</t>
  </si>
  <si>
    <t>POLYGON ((-67.27016937138639 47.45677070995012, -67.27016937138639 46.22793807606996, -69.06679993962543 46.22793807606996, -69.06679993962543 47.45677070995012, -67.27016937138639 47.45677070995012))</t>
  </si>
  <si>
    <t>POLYGON ((-122.96571698679669 48.65754229039548, -122.96571698679669 47.45677070995011, -124.76234755503575 47.45677070995011, -124.76234755503575 48.65754229039548, -122.96571698679669 48.65754229039548))</t>
  </si>
  <si>
    <t>Clallam</t>
  </si>
  <si>
    <t>Port Angeles, WA</t>
  </si>
  <si>
    <t>Tofino Fuca</t>
  </si>
  <si>
    <t>POLYGON ((-121.16908641855765 48.65754229039548, -121.16908641855765 47.45677070995011, -122.96571698679669 47.45677070995011, -122.96571698679669 48.65754229039548, -121.16908641855765 48.65754229039548))</t>
  </si>
  <si>
    <t>Snohomish</t>
  </si>
  <si>
    <t>POLYGON ((-119.37245585031862 48.65754229039548, -119.37245585031862 47.45677070995011, -121.16908641855765 47.45677070995011, -121.16908641855765 48.65754229039548, -119.37245585031862 48.65754229039548))</t>
  </si>
  <si>
    <t>Chelan</t>
  </si>
  <si>
    <t>Wenatchee, WA</t>
  </si>
  <si>
    <t>Methow</t>
  </si>
  <si>
    <t>POLYGON ((-117.57582528207958 48.65754229039548, -117.57582528207958 47.45677070995011, -119.37245585031862 47.45677070995011, -119.37245585031862 48.65754229039548, -117.57582528207958 48.65754229039548))</t>
  </si>
  <si>
    <t>Ferry</t>
  </si>
  <si>
    <t>Spokane-Spokane Valley, WA</t>
  </si>
  <si>
    <t>Republic Basin</t>
  </si>
  <si>
    <t>POLYGON ((-115.77919471384052 48.65754229039548, -115.77919471384052 47.45677070995011, -117.57582528207958 47.45677070995011, -117.57582528207958 48.65754229039548, -115.77919471384052 48.65754229039548))</t>
  </si>
  <si>
    <t>Bonner</t>
  </si>
  <si>
    <t>Sandpoint, ID</t>
  </si>
  <si>
    <t>Southern Rocky Mountain Trench Basins</t>
  </si>
  <si>
    <t>POLYGON ((-113.98256414560149 48.65754229039548, -113.98256414560149 47.45677070995011, -115.77919471384052 47.45677070995011, -115.77919471384052 48.65754229039548, -113.98256414560149 48.65754229039548))</t>
  </si>
  <si>
    <t>Flathead</t>
  </si>
  <si>
    <t>Kalispell, MT</t>
  </si>
  <si>
    <t>POLYGON ((-112.18593357736243 48.65754229039548, -112.18593357736243 47.45677070995011, -113.98256414560147 47.45677070995011, -113.98256414560147 48.65754229039548, -112.18593357736243 48.65754229039548))</t>
  </si>
  <si>
    <t>POLYGON ((-110.3893030091234 48.65754229039548, -110.3893030091234 47.45677070995011, -112.18593357736243 47.45677070995011, -112.18593357736243 48.65754229039548, -110.3893030091234 48.65754229039548))</t>
  </si>
  <si>
    <t>Chouteau</t>
  </si>
  <si>
    <t>POLYGON ((-108.59267244088436 48.65754229039548, -108.59267244088436 47.45677070995011, -110.38930300912341 47.45677070995011, -110.38930300912341 48.65754229039548, -108.59267244088436 48.65754229039548))</t>
  </si>
  <si>
    <t>Blaine</t>
  </si>
  <si>
    <t>POLYGON ((-106.79604187264532 48.65754229039548, -106.79604187264532 47.45677070995011, -108.59267244088436 47.45677070995011, -108.59267244088436 48.65754229039548, -106.79604187264532 48.65754229039548))</t>
  </si>
  <si>
    <t>Phillips</t>
  </si>
  <si>
    <t>POLYGON ((-104.99941130440628 48.65754229039548, -104.99941130440628 47.45677070995011, -106.79604187264532 47.45677070995011, -106.79604187264532 48.65754229039548, -104.99941130440628 48.65754229039548))</t>
  </si>
  <si>
    <t>Valley</t>
  </si>
  <si>
    <t>Williston, ND</t>
  </si>
  <si>
    <t>POLYGON ((-103.20278073616724 48.65754229039548, -103.20278073616724 47.45677070995011, -104.99941130440628 47.45677070995011, -104.99941130440628 48.65754229039548, -103.20278073616724 48.65754229039548))</t>
  </si>
  <si>
    <t>Roosevelt</t>
  </si>
  <si>
    <t>POLYGON ((-101.40615016792819 48.65754229039548, -101.40615016792819 47.45677070995011, -103.20278073616724 47.45677070995011, -103.20278073616724 48.65754229039548, -101.40615016792819 48.65754229039548))</t>
  </si>
  <si>
    <t>Mountrail</t>
  </si>
  <si>
    <t>Minot, ND</t>
  </si>
  <si>
    <t>POLYGON ((-99.60951959968915 48.65754229039548, -99.60951959968915 47.45677070995011, -101.40615016792819 47.45677070995011, -101.40615016792819 48.65754229039548, -99.60951959968915 48.65754229039548))</t>
  </si>
  <si>
    <t>McHenry</t>
  </si>
  <si>
    <t>POLYGON ((-97.81288903145011 48.65754229039548, -97.81288903145011 47.45677070995011, -99.60951959968915 47.45677070995011, -99.60951959968915 48.65754229039548, -97.81288903145011 48.65754229039548))</t>
  </si>
  <si>
    <t>Ramsey</t>
  </si>
  <si>
    <t>Grand Forks, ND-MN</t>
  </si>
  <si>
    <t>POLYGON ((-96.01625846321107 48.65754229039548, -96.01625846321107 47.45677070995011, -97.81288903145011 47.45677070995011, -97.81288903145011 48.65754229039548, -96.01625846321107 48.65754229039548))</t>
  </si>
  <si>
    <t>POLYGON ((-94.21962789497202 48.65754229039548, -94.21962789497202 47.45677070995011, -96.01625846321107 47.45677070995011, -96.01625846321107 48.65754229039548, -94.21962789497202 48.65754229039548))</t>
  </si>
  <si>
    <t>Beltrami</t>
  </si>
  <si>
    <t>Bemidji, MN</t>
  </si>
  <si>
    <t>POLYGON ((-92.42299732673298 48.65754229039548, -92.42299732673298 47.45677070995011, -94.21962789497202 47.45677070995011, -94.21962789497202 48.65754229039548, -92.42299732673298 48.65754229039548))</t>
  </si>
  <si>
    <t>Koochiching</t>
  </si>
  <si>
    <t>POLYGON ((-90.62636675849392 48.65754229039548, -90.62636675849392 47.45677070995011, -92.42299732673295 47.45677070995011, -92.42299732673295 48.65754229039548, -90.62636675849392 48.65754229039548))</t>
  </si>
  <si>
    <t>POLYGON ((-88.82973619025488 48.65754229039548, -88.82973619025488 47.45677070995011, -90.62636675849392 47.45677070995011, -90.62636675849392 48.65754229039548, -88.82973619025488 48.65754229039548))</t>
  </si>
  <si>
    <t>POLYGON ((-87.03310562201582 48.65754229039548, -87.03310562201582 47.45677070995011, -88.82973619025488 47.45677070995011, -88.82973619025488 48.65754229039548, -87.03310562201582 48.65754229039548))</t>
  </si>
  <si>
    <t>POLYGON ((-85.23647505377679 48.65754229039548, -85.23647505377679 47.45677070995011, -87.03310562201582 47.45677070995011, -87.03310562201582 48.65754229039548, -85.23647505377679 48.65754229039548))</t>
  </si>
  <si>
    <t>POLYGON ((-122.96571698679669 49.83037826138168, -122.96571698679669 48.657542290395476, -124.76234755503575 48.657542290395476, -124.76234755503575 49.83037826138168, -122.96571698679669 49.83037826138168))</t>
  </si>
  <si>
    <t>Whatcom</t>
  </si>
  <si>
    <t>Bellingham, WA</t>
  </si>
  <si>
    <t>Nanaimo Subbasin</t>
  </si>
  <si>
    <t>POLYGON ((-121.16908641855765 49.83037826138168, -121.16908641855765 48.657542290395476, -122.96571698679669 48.657542290395476, -122.96571698679669 49.83037826138168, -121.16908641855765 49.83037826138168))</t>
  </si>
  <si>
    <t>Bellingham Subbasin</t>
  </si>
  <si>
    <t>POLYGON ((-119.37245585031862 49.83037826138168, -119.37245585031862 48.657542290395476, -121.16908641855765 48.657542290395476, -121.16908641855765 49.83037826138168, -119.37245585031862 49.83037826138168))</t>
  </si>
  <si>
    <t>Okanogan</t>
  </si>
  <si>
    <t>Princeton Basin</t>
  </si>
  <si>
    <t>POLYGON ((-117.57582528207958 49.83037826138168, -117.57582528207958 48.657542290395476, -119.37245585031862 48.657542290395476, -119.37245585031862 49.83037826138168, -117.57582528207958 49.83037826138168))</t>
  </si>
  <si>
    <t>Beaverdell Basin</t>
  </si>
  <si>
    <t>POLYGON ((-115.77919471384052 49.83037826138168, -115.77919471384052 48.657542290395476, -117.57582528207958 48.657542290395476, -117.57582528207958 49.83037826138168, -115.77919471384052 49.83037826138168))</t>
  </si>
  <si>
    <t>Boundary</t>
  </si>
  <si>
    <t>POLYGON ((-113.98256414560149 49.83037826138168, -113.98256414560149 48.657542290395476, -115.77919471384052 48.657542290395476, -115.77919471384052 49.83037826138168, -113.98256414560149 49.83037826138168))</t>
  </si>
  <si>
    <t>Rocky Mountain Foothills</t>
  </si>
  <si>
    <t>POLYGON ((-112.18593357736243 49.83037826138168, -112.18593357736243 48.657542290395476, -113.98256414560147 48.657542290395476, -113.98256414560147 49.83037826138168, -112.18593357736243 49.83037826138168))</t>
  </si>
  <si>
    <t>Glacier</t>
  </si>
  <si>
    <t>POLYGON ((-110.3893030091234 49.83037826138168, -110.3893030091234 48.657542290395476, -112.18593357736243 48.657542290395476, -112.18593357736243 49.83037826138168, -110.3893030091234 49.83037826138168))</t>
  </si>
  <si>
    <t>Toole</t>
  </si>
  <si>
    <t>POLYGON ((-108.59267244088436 49.83037826138168, -108.59267244088436 48.657542290395476, -110.38930300912341 48.657542290395476, -110.38930300912341 49.83037826138168, -108.59267244088436 49.83037826138168))</t>
  </si>
  <si>
    <t>Hill</t>
  </si>
  <si>
    <t>POLYGON ((-106.79604187264532 49.83037826138168, -106.79604187264532 48.657542290395476, -108.59267244088436 48.657542290395476, -108.59267244088436 49.83037826138168, -106.79604187264532 49.83037826138168))</t>
  </si>
  <si>
    <t>POLYGON ((-104.99941130440628 49.83037826138168, -104.99941130440628 48.657542290395476, -106.79604187264532 48.657542290395476, -106.79604187264532 49.83037826138168, -104.99941130440628 49.83037826138168))</t>
  </si>
  <si>
    <t>Daniels</t>
  </si>
  <si>
    <t>POLYGON ((-103.20278073616724 49.83037826138168, -103.20278073616724 48.657542290395476, -104.99941130440628 48.657542290395476, -104.99941130440628 49.83037826138168, -103.20278073616724 49.83037826138168))</t>
  </si>
  <si>
    <t>Sheridan</t>
  </si>
  <si>
    <t>POLYGON ((-101.40615016792819 49.83037826138168, -101.40615016792819 48.657542290395476, -103.20278073616724 48.657542290395476, -103.20278073616724 49.83037826138168, -101.40615016792819 49.83037826138168))</t>
  </si>
  <si>
    <t>Burke</t>
  </si>
  <si>
    <t>POLYGON ((-99.60951959968915 49.83037826138168, -99.60951959968915 48.657542290395476, -101.40615016792819 48.657542290395476, -101.40615016792819 49.83037826138168, -99.60951959968915 49.83037826138168))</t>
  </si>
  <si>
    <t>Bottineau</t>
  </si>
  <si>
    <t>POLYGON ((-97.81288903145011 49.83037826138168, -97.81288903145011 48.657542290395476, -99.60951959968915 48.657542290395476, -99.60951959968915 49.83037826138168, -97.81288903145011 49.83037826138168))</t>
  </si>
  <si>
    <t>Cavalier</t>
  </si>
  <si>
    <t>POLYGON ((-96.01625846321107 49.83037826138168, -96.01625846321107 48.657542290395476, -97.81288903145011 48.657542290395476, -97.81288903145011 49.83037826138168, -96.01625846321107 49.83037826138168))</t>
  </si>
  <si>
    <t>Kittson</t>
  </si>
  <si>
    <t>POLYGON ((-94.21962789497202 49.83037826138168, -94.21962789497202 48.657542290395476, -96.01625846321107 48.657542290395476, -96.01625846321107 49.83037826138168, -94.21962789497202 49.83037826138168))</t>
  </si>
  <si>
    <t>Lake of the Woods</t>
  </si>
  <si>
    <t>Centra Pipeline Co</t>
  </si>
  <si>
    <t>CNG Price ($/GGE)</t>
  </si>
  <si>
    <t>Levelized Cost of Liquid Transport (LCT) ($/kg H2)</t>
  </si>
  <si>
    <t>Levelized Cost of Liquid Refueling Stations (LCRS) ($/kg H2)</t>
  </si>
  <si>
    <t>State_x</t>
  </si>
  <si>
    <t>Levelized Cost of Liquefaction ($/kg H2)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</si>
</sst>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J396"/>
  <sheetViews>
    <sheetView tabSelected="1" topLeftCell="DP1" workbookViewId="0">
      <selection activeCell="CC2" sqref="CC2:CC396"/>
    </sheetView>
  </sheetViews>
  <sheetFormatPr defaultRowHeight="14.5" x14ac:dyDescent="0.35"/>
  <cols>
    <col min="8" max="8" width="16.08984375" customWidth="1"/>
    <col min="12" max="12" width="16.36328125" bestFit="1" customWidth="1"/>
    <col min="21" max="21" width="26.54296875" bestFit="1" customWidth="1"/>
    <col min="23" max="23" width="21.1796875" bestFit="1" customWidth="1"/>
    <col min="38" max="38" width="42.7265625" bestFit="1" customWidth="1"/>
    <col min="40" max="40" width="17.90625" bestFit="1" customWidth="1"/>
    <col min="81" max="81" width="24.08984375" customWidth="1"/>
    <col min="130" max="132" width="8.7265625" style="4"/>
    <col min="135" max="135" width="42.7265625" bestFit="1" customWidth="1"/>
    <col min="136" max="136" width="12.1796875" bestFit="1" customWidth="1"/>
    <col min="137" max="137" width="16.1796875" bestFit="1" customWidth="1"/>
    <col min="138" max="138" width="43.08984375" bestFit="1" customWidth="1"/>
    <col min="139" max="139" width="42.453125" bestFit="1" customWidth="1"/>
    <col min="140" max="140" width="50.90625" customWidth="1"/>
  </cols>
  <sheetData>
    <row r="1" spans="1:140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1813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3" t="s">
        <v>127</v>
      </c>
      <c r="EA1" s="3" t="s">
        <v>128</v>
      </c>
      <c r="EB1" s="3" t="s">
        <v>129</v>
      </c>
      <c r="EC1" s="1" t="s">
        <v>130</v>
      </c>
      <c r="ED1" s="1" t="s">
        <v>131</v>
      </c>
      <c r="EE1" s="1" t="s">
        <v>132</v>
      </c>
      <c r="EF1" s="1" t="s">
        <v>133</v>
      </c>
      <c r="EG1" s="2" t="s">
        <v>1810</v>
      </c>
      <c r="EH1" s="1" t="s">
        <v>1811</v>
      </c>
      <c r="EI1" s="1" t="s">
        <v>1814</v>
      </c>
      <c r="EJ1" s="5" t="s">
        <v>1812</v>
      </c>
    </row>
    <row r="2" spans="1:140" x14ac:dyDescent="0.35">
      <c r="A2" s="1">
        <v>0</v>
      </c>
      <c r="B2">
        <v>-82.541529201418243</v>
      </c>
      <c r="C2">
        <v>25.335030397324029</v>
      </c>
      <c r="D2" t="s">
        <v>134</v>
      </c>
      <c r="E2">
        <v>0.1</v>
      </c>
      <c r="F2" t="s">
        <v>135</v>
      </c>
      <c r="G2">
        <v>5.7500000000000002E-2</v>
      </c>
      <c r="H2" t="s">
        <v>136</v>
      </c>
      <c r="I2">
        <v>-9188481</v>
      </c>
      <c r="J2">
        <v>2916952</v>
      </c>
      <c r="K2" t="s">
        <v>137</v>
      </c>
      <c r="L2" t="s">
        <v>138</v>
      </c>
      <c r="M2">
        <v>44</v>
      </c>
      <c r="N2">
        <v>4.0709999999999997</v>
      </c>
      <c r="O2">
        <v>3</v>
      </c>
      <c r="P2">
        <v>5</v>
      </c>
      <c r="Q2">
        <v>12</v>
      </c>
      <c r="R2">
        <v>87</v>
      </c>
      <c r="S2">
        <v>82879</v>
      </c>
      <c r="T2" t="s">
        <v>139</v>
      </c>
      <c r="U2">
        <v>7.3602943056585426</v>
      </c>
      <c r="V2" t="s">
        <v>137</v>
      </c>
      <c r="W2">
        <v>0.12529999999999999</v>
      </c>
      <c r="X2">
        <v>10</v>
      </c>
      <c r="Y2">
        <v>8.9</v>
      </c>
      <c r="Z2">
        <v>8.9</v>
      </c>
      <c r="AA2">
        <v>20</v>
      </c>
      <c r="AB2">
        <v>26</v>
      </c>
      <c r="AC2">
        <v>0.76500000000000001</v>
      </c>
      <c r="AD2">
        <v>67</v>
      </c>
      <c r="AE2">
        <v>0.1215829624920534</v>
      </c>
      <c r="AF2">
        <v>2.86</v>
      </c>
      <c r="AG2" t="s">
        <v>139</v>
      </c>
      <c r="AH2" t="s">
        <v>137</v>
      </c>
      <c r="AI2">
        <v>33</v>
      </c>
      <c r="AJ2">
        <v>1.0999999999999999E-2</v>
      </c>
      <c r="AK2">
        <v>11</v>
      </c>
      <c r="AL2" t="s">
        <v>140</v>
      </c>
      <c r="AM2">
        <v>93828.941415015244</v>
      </c>
      <c r="AN2">
        <v>1.51</v>
      </c>
      <c r="AO2">
        <v>0.09</v>
      </c>
      <c r="AP2">
        <v>0.19</v>
      </c>
      <c r="AQ2">
        <v>1.22</v>
      </c>
      <c r="AR2">
        <v>1.1599999999999999</v>
      </c>
      <c r="AS2">
        <v>0.04</v>
      </c>
      <c r="AT2">
        <v>0.02</v>
      </c>
      <c r="AU2">
        <v>0.02</v>
      </c>
      <c r="AV2">
        <v>2.5099999999999998</v>
      </c>
      <c r="AW2">
        <v>1.51</v>
      </c>
      <c r="AX2">
        <v>0.21</v>
      </c>
      <c r="AY2">
        <v>0.53</v>
      </c>
      <c r="AZ2">
        <v>0</v>
      </c>
      <c r="BA2">
        <v>1.24</v>
      </c>
      <c r="BB2">
        <v>0.08</v>
      </c>
      <c r="BC2">
        <v>0.2</v>
      </c>
      <c r="BD2">
        <v>0.27</v>
      </c>
      <c r="BE2">
        <v>7.94</v>
      </c>
      <c r="BF2">
        <v>7.25</v>
      </c>
      <c r="BG2">
        <v>0.24</v>
      </c>
      <c r="BH2">
        <v>0.45</v>
      </c>
      <c r="BI2">
        <v>0</v>
      </c>
      <c r="BJ2">
        <v>0.04</v>
      </c>
      <c r="BK2">
        <v>7.21</v>
      </c>
      <c r="BL2">
        <v>0</v>
      </c>
      <c r="BM2">
        <v>2.02</v>
      </c>
      <c r="BN2">
        <v>0.21</v>
      </c>
      <c r="BO2">
        <v>0.46</v>
      </c>
      <c r="BP2">
        <v>1.35</v>
      </c>
      <c r="BQ2">
        <v>1.1499999999999999</v>
      </c>
      <c r="BR2">
        <v>0.06</v>
      </c>
      <c r="BS2">
        <v>0.14000000000000001</v>
      </c>
      <c r="BT2">
        <v>0</v>
      </c>
      <c r="BU2">
        <v>8.35</v>
      </c>
      <c r="BV2">
        <v>7.29</v>
      </c>
      <c r="BW2">
        <v>0.34</v>
      </c>
      <c r="BX2">
        <v>0.72</v>
      </c>
      <c r="BY2">
        <v>0</v>
      </c>
      <c r="BZ2">
        <v>0.04</v>
      </c>
      <c r="CA2">
        <v>7.25</v>
      </c>
      <c r="CB2">
        <v>0</v>
      </c>
      <c r="CC2">
        <f>6.71-CD2</f>
        <v>2.75</v>
      </c>
      <c r="CD2">
        <v>3.96</v>
      </c>
      <c r="CE2">
        <v>0.34230769230769231</v>
      </c>
      <c r="CF2">
        <v>0.44500000000000001</v>
      </c>
      <c r="CG2">
        <v>0.1492537313432836</v>
      </c>
      <c r="CH2">
        <v>0.2674825174825175</v>
      </c>
      <c r="CI2">
        <v>0</v>
      </c>
      <c r="CJ2">
        <v>5557</v>
      </c>
      <c r="CK2" t="s">
        <v>141</v>
      </c>
      <c r="CL2" t="s">
        <v>142</v>
      </c>
      <c r="CM2" t="s">
        <v>143</v>
      </c>
      <c r="CN2">
        <v>0.67848668619800001</v>
      </c>
      <c r="CO2">
        <v>112.1263199626121</v>
      </c>
      <c r="CP2">
        <v>1</v>
      </c>
      <c r="CQ2" t="s">
        <v>144</v>
      </c>
      <c r="CR2">
        <v>23</v>
      </c>
      <c r="CS2" t="s">
        <v>145</v>
      </c>
      <c r="CT2" t="s">
        <v>146</v>
      </c>
      <c r="CU2" t="s">
        <v>139</v>
      </c>
      <c r="CV2" t="s">
        <v>147</v>
      </c>
      <c r="CW2" t="s">
        <v>148</v>
      </c>
      <c r="CX2" t="s">
        <v>149</v>
      </c>
      <c r="CY2" t="s">
        <v>150</v>
      </c>
      <c r="CZ2" t="s">
        <v>151</v>
      </c>
      <c r="DA2" t="s">
        <v>152</v>
      </c>
      <c r="DB2" t="s">
        <v>153</v>
      </c>
      <c r="DC2" t="s">
        <v>154</v>
      </c>
      <c r="DD2" t="s">
        <v>155</v>
      </c>
      <c r="DE2">
        <v>889</v>
      </c>
      <c r="DF2">
        <v>-80.766133999999994</v>
      </c>
      <c r="DG2">
        <v>25.318594999999998</v>
      </c>
      <c r="DH2">
        <v>4600</v>
      </c>
      <c r="DI2">
        <v>300</v>
      </c>
      <c r="DK2">
        <v>111</v>
      </c>
      <c r="DL2">
        <v>23</v>
      </c>
      <c r="DM2">
        <v>18</v>
      </c>
      <c r="DN2">
        <v>25</v>
      </c>
      <c r="DO2">
        <v>25</v>
      </c>
      <c r="DP2">
        <v>5</v>
      </c>
      <c r="DQ2">
        <v>28</v>
      </c>
      <c r="DS2" t="s">
        <v>156</v>
      </c>
      <c r="DT2">
        <v>1.2500000000000001E-2</v>
      </c>
      <c r="DU2">
        <v>1.2500000000000001E-2</v>
      </c>
      <c r="DV2">
        <v>0.32500000000000001</v>
      </c>
      <c r="DW2">
        <v>0.32500000000000001</v>
      </c>
      <c r="DX2">
        <v>0.32500000000000001</v>
      </c>
      <c r="DY2">
        <v>69.983254260487882</v>
      </c>
      <c r="DZ2" s="4">
        <v>3.85</v>
      </c>
      <c r="EA2" s="4" t="s">
        <v>157</v>
      </c>
      <c r="EB2" s="4" t="s">
        <v>158</v>
      </c>
      <c r="EC2">
        <v>4.7039999999999997</v>
      </c>
      <c r="ED2">
        <v>457</v>
      </c>
      <c r="EE2" t="s">
        <v>140</v>
      </c>
      <c r="EF2">
        <v>0.77600618504109009</v>
      </c>
      <c r="EH2">
        <f>0.39+0.19</f>
        <v>0.58000000000000007</v>
      </c>
      <c r="EI2">
        <v>3.38</v>
      </c>
      <c r="EJ2">
        <v>3.65</v>
      </c>
    </row>
    <row r="3" spans="1:140" x14ac:dyDescent="0.35">
      <c r="A3" s="1">
        <v>1</v>
      </c>
      <c r="B3">
        <v>-80.74489863317919</v>
      </c>
      <c r="C3">
        <v>25.335030397324029</v>
      </c>
      <c r="D3" t="s">
        <v>159</v>
      </c>
      <c r="E3">
        <v>0.02</v>
      </c>
      <c r="F3" t="s">
        <v>160</v>
      </c>
      <c r="G3">
        <v>5.7500000000000002E-2</v>
      </c>
      <c r="H3" t="s">
        <v>161</v>
      </c>
      <c r="I3">
        <v>-8988481</v>
      </c>
      <c r="J3">
        <v>2916952</v>
      </c>
      <c r="K3" t="s">
        <v>137</v>
      </c>
      <c r="L3" t="s">
        <v>162</v>
      </c>
      <c r="O3">
        <v>3</v>
      </c>
      <c r="P3">
        <v>5</v>
      </c>
      <c r="Q3">
        <v>12</v>
      </c>
      <c r="R3">
        <v>86</v>
      </c>
      <c r="S3">
        <v>2701762</v>
      </c>
      <c r="T3" t="s">
        <v>139</v>
      </c>
      <c r="U3">
        <v>7.3602943056585426</v>
      </c>
      <c r="V3" t="s">
        <v>137</v>
      </c>
      <c r="W3">
        <v>0.12529999999999999</v>
      </c>
      <c r="X3">
        <v>10</v>
      </c>
      <c r="Y3">
        <v>8.9</v>
      </c>
      <c r="Z3">
        <v>8.9</v>
      </c>
      <c r="AA3">
        <v>20</v>
      </c>
      <c r="AB3">
        <v>26</v>
      </c>
      <c r="AC3">
        <v>0.76500000000000001</v>
      </c>
      <c r="AD3">
        <v>67</v>
      </c>
      <c r="AE3">
        <v>0.1215829624920534</v>
      </c>
      <c r="AF3">
        <v>2.86</v>
      </c>
      <c r="AG3" t="s">
        <v>139</v>
      </c>
      <c r="AH3" t="s">
        <v>137</v>
      </c>
      <c r="AI3">
        <v>33</v>
      </c>
      <c r="AJ3">
        <v>1.0999999999999999E-2</v>
      </c>
      <c r="AK3">
        <v>11</v>
      </c>
      <c r="AL3" t="s">
        <v>163</v>
      </c>
      <c r="AM3">
        <v>0</v>
      </c>
      <c r="AN3">
        <v>1.51</v>
      </c>
      <c r="AO3">
        <v>0.09</v>
      </c>
      <c r="AP3">
        <v>0.19</v>
      </c>
      <c r="AQ3">
        <v>1.22</v>
      </c>
      <c r="AR3">
        <v>1.1599999999999999</v>
      </c>
      <c r="AS3">
        <v>0.04</v>
      </c>
      <c r="AT3">
        <v>0.02</v>
      </c>
      <c r="AU3">
        <v>0.02</v>
      </c>
      <c r="AV3">
        <v>2.5099999999999998</v>
      </c>
      <c r="AW3">
        <v>1.51</v>
      </c>
      <c r="AX3">
        <v>0.21</v>
      </c>
      <c r="AY3">
        <v>0.53</v>
      </c>
      <c r="AZ3">
        <v>0</v>
      </c>
      <c r="BA3">
        <v>1.24</v>
      </c>
      <c r="BB3">
        <v>0.08</v>
      </c>
      <c r="BC3">
        <v>0.2</v>
      </c>
      <c r="BD3">
        <v>0.27</v>
      </c>
      <c r="BE3">
        <v>7.94</v>
      </c>
      <c r="BF3">
        <v>7.25</v>
      </c>
      <c r="BG3">
        <v>0.24</v>
      </c>
      <c r="BH3">
        <v>0.45</v>
      </c>
      <c r="BI3">
        <v>0</v>
      </c>
      <c r="BJ3">
        <v>0.04</v>
      </c>
      <c r="BK3">
        <v>7.21</v>
      </c>
      <c r="BL3">
        <v>0</v>
      </c>
      <c r="BM3">
        <v>2.02</v>
      </c>
      <c r="BN3">
        <v>0.21</v>
      </c>
      <c r="BO3">
        <v>0.46</v>
      </c>
      <c r="BP3">
        <v>1.35</v>
      </c>
      <c r="BQ3">
        <v>1.1499999999999999</v>
      </c>
      <c r="BR3">
        <v>0.06</v>
      </c>
      <c r="BS3">
        <v>0.14000000000000001</v>
      </c>
      <c r="BT3">
        <v>0</v>
      </c>
      <c r="BU3">
        <v>8.35</v>
      </c>
      <c r="BV3">
        <v>7.29</v>
      </c>
      <c r="BW3">
        <v>0.34</v>
      </c>
      <c r="BX3">
        <v>0.72</v>
      </c>
      <c r="BY3">
        <v>0</v>
      </c>
      <c r="BZ3">
        <v>0.04</v>
      </c>
      <c r="CA3">
        <v>7.25</v>
      </c>
      <c r="CB3">
        <v>0</v>
      </c>
      <c r="CC3">
        <f t="shared" ref="CC3:CC66" si="0">6.71-CD3</f>
        <v>2.75</v>
      </c>
      <c r="CD3">
        <v>3.96</v>
      </c>
      <c r="CE3">
        <v>0.34230769230769231</v>
      </c>
      <c r="CF3">
        <v>0.44500000000000001</v>
      </c>
      <c r="CG3">
        <v>0.1492537313432836</v>
      </c>
      <c r="CH3">
        <v>0.2674825174825175</v>
      </c>
      <c r="CI3">
        <v>0</v>
      </c>
      <c r="CJ3">
        <v>5383</v>
      </c>
      <c r="CK3" t="s">
        <v>141</v>
      </c>
      <c r="CL3" t="s">
        <v>142</v>
      </c>
      <c r="CM3" t="s">
        <v>143</v>
      </c>
      <c r="CN3">
        <v>5.0519604115700001E-2</v>
      </c>
      <c r="CO3">
        <v>27.887138356409469</v>
      </c>
      <c r="CP3">
        <v>2</v>
      </c>
      <c r="CQ3" t="s">
        <v>144</v>
      </c>
      <c r="CR3">
        <v>23</v>
      </c>
      <c r="CS3" t="s">
        <v>145</v>
      </c>
      <c r="CT3" t="s">
        <v>146</v>
      </c>
      <c r="CU3" t="s">
        <v>139</v>
      </c>
      <c r="CV3" t="s">
        <v>147</v>
      </c>
      <c r="CW3" t="s">
        <v>148</v>
      </c>
      <c r="CX3" t="s">
        <v>149</v>
      </c>
      <c r="CY3" t="s">
        <v>150</v>
      </c>
      <c r="CZ3" t="s">
        <v>151</v>
      </c>
      <c r="DA3" t="s">
        <v>152</v>
      </c>
      <c r="DB3" t="s">
        <v>153</v>
      </c>
      <c r="DC3" t="s">
        <v>154</v>
      </c>
      <c r="DD3" t="s">
        <v>155</v>
      </c>
      <c r="DE3">
        <v>889</v>
      </c>
      <c r="DF3">
        <v>-80.766133999999994</v>
      </c>
      <c r="DG3">
        <v>25.318594999999998</v>
      </c>
      <c r="DH3">
        <v>4600</v>
      </c>
      <c r="DI3">
        <v>300</v>
      </c>
      <c r="DK3">
        <v>111</v>
      </c>
      <c r="DL3">
        <v>23</v>
      </c>
      <c r="DM3">
        <v>18</v>
      </c>
      <c r="DN3">
        <v>25</v>
      </c>
      <c r="DO3">
        <v>25</v>
      </c>
      <c r="DP3">
        <v>5</v>
      </c>
      <c r="DQ3">
        <v>28</v>
      </c>
      <c r="DS3" t="s">
        <v>156</v>
      </c>
      <c r="DT3">
        <v>1.2500000000000001E-2</v>
      </c>
      <c r="DU3">
        <v>1.2500000000000001E-2</v>
      </c>
      <c r="DV3">
        <v>0.32500000000000001</v>
      </c>
      <c r="DW3">
        <v>0.32500000000000001</v>
      </c>
      <c r="DX3">
        <v>0.32500000000000001</v>
      </c>
      <c r="DY3">
        <v>0</v>
      </c>
      <c r="DZ3" s="4">
        <v>3.85</v>
      </c>
      <c r="EA3" s="4" t="s">
        <v>157</v>
      </c>
      <c r="EB3" s="4" t="s">
        <v>158</v>
      </c>
      <c r="EC3">
        <v>4.7039999999999997</v>
      </c>
      <c r="ED3">
        <v>120</v>
      </c>
      <c r="EE3" t="s">
        <v>163</v>
      </c>
      <c r="EF3">
        <v>0</v>
      </c>
      <c r="EH3">
        <f t="shared" ref="EH3:EH66" si="1">0.39+0.19</f>
        <v>0.58000000000000007</v>
      </c>
      <c r="EI3">
        <v>3.38</v>
      </c>
      <c r="EJ3">
        <v>3.65</v>
      </c>
    </row>
    <row r="4" spans="1:140" x14ac:dyDescent="0.35">
      <c r="A4" s="1">
        <v>2</v>
      </c>
      <c r="B4">
        <v>-98.711204315569631</v>
      </c>
      <c r="C4">
        <v>26.947803513326441</v>
      </c>
      <c r="D4" t="s">
        <v>164</v>
      </c>
      <c r="E4">
        <v>0.02</v>
      </c>
      <c r="F4" t="s">
        <v>160</v>
      </c>
      <c r="G4">
        <v>3.1099999999999999E-2</v>
      </c>
      <c r="H4" t="s">
        <v>161</v>
      </c>
      <c r="I4">
        <v>-10988481</v>
      </c>
      <c r="J4">
        <v>3116952</v>
      </c>
      <c r="K4" t="s">
        <v>165</v>
      </c>
      <c r="L4" t="s">
        <v>166</v>
      </c>
      <c r="M4">
        <v>124</v>
      </c>
      <c r="N4">
        <v>3.6989999999999998</v>
      </c>
      <c r="O4">
        <v>3</v>
      </c>
      <c r="P4">
        <v>7</v>
      </c>
      <c r="Q4">
        <v>48</v>
      </c>
      <c r="R4">
        <v>247</v>
      </c>
      <c r="S4">
        <v>4835</v>
      </c>
      <c r="T4" t="s">
        <v>167</v>
      </c>
      <c r="U4">
        <v>4.3100995732574674</v>
      </c>
      <c r="V4" t="s">
        <v>165</v>
      </c>
      <c r="W4">
        <v>9.7899999999999987E-2</v>
      </c>
      <c r="X4">
        <v>10</v>
      </c>
      <c r="Y4">
        <v>8.9</v>
      </c>
      <c r="Z4">
        <v>8.9</v>
      </c>
      <c r="AA4">
        <v>20</v>
      </c>
      <c r="AB4">
        <v>26</v>
      </c>
      <c r="AC4">
        <v>0.82299999999999995</v>
      </c>
      <c r="AD4">
        <v>67</v>
      </c>
      <c r="AE4">
        <v>0.1308010171646535</v>
      </c>
      <c r="AF4">
        <v>2.86</v>
      </c>
      <c r="AG4" t="s">
        <v>167</v>
      </c>
      <c r="AH4" t="s">
        <v>165</v>
      </c>
      <c r="AI4">
        <v>37</v>
      </c>
      <c r="AJ4">
        <v>1.233333333333333E-2</v>
      </c>
      <c r="AK4">
        <v>12.33333333333333</v>
      </c>
      <c r="AL4" t="s">
        <v>168</v>
      </c>
      <c r="AM4">
        <v>20371.96046978372</v>
      </c>
      <c r="AN4">
        <v>1.03</v>
      </c>
      <c r="AO4">
        <v>0.09</v>
      </c>
      <c r="AP4">
        <v>0.19</v>
      </c>
      <c r="AQ4">
        <v>0.74</v>
      </c>
      <c r="AR4">
        <v>0.68</v>
      </c>
      <c r="AS4">
        <v>0.04</v>
      </c>
      <c r="AT4">
        <v>0.01</v>
      </c>
      <c r="AU4">
        <v>0.02</v>
      </c>
      <c r="AV4">
        <v>1.95</v>
      </c>
      <c r="AW4">
        <v>0.96</v>
      </c>
      <c r="AX4">
        <v>0.21</v>
      </c>
      <c r="AY4">
        <v>0.53</v>
      </c>
      <c r="AZ4">
        <v>0</v>
      </c>
      <c r="BA4">
        <v>0.72</v>
      </c>
      <c r="BB4">
        <v>0.08</v>
      </c>
      <c r="BC4">
        <v>0.15</v>
      </c>
      <c r="BD4">
        <v>0.27</v>
      </c>
      <c r="BE4">
        <v>6.28</v>
      </c>
      <c r="BF4">
        <v>5.59</v>
      </c>
      <c r="BG4">
        <v>0.24</v>
      </c>
      <c r="BH4">
        <v>0.45</v>
      </c>
      <c r="BI4">
        <v>0</v>
      </c>
      <c r="BJ4">
        <v>0.04</v>
      </c>
      <c r="BK4">
        <v>5.55</v>
      </c>
      <c r="BL4">
        <v>0</v>
      </c>
      <c r="BM4">
        <v>1.51</v>
      </c>
      <c r="BN4">
        <v>0.21</v>
      </c>
      <c r="BO4">
        <v>0.46</v>
      </c>
      <c r="BP4">
        <v>0.84</v>
      </c>
      <c r="BQ4">
        <v>0.67</v>
      </c>
      <c r="BR4">
        <v>0.06</v>
      </c>
      <c r="BS4">
        <v>0.11</v>
      </c>
      <c r="BT4">
        <v>0</v>
      </c>
      <c r="BU4">
        <v>6.68</v>
      </c>
      <c r="BV4">
        <v>5.62</v>
      </c>
      <c r="BW4">
        <v>0.34</v>
      </c>
      <c r="BX4">
        <v>0.72</v>
      </c>
      <c r="BY4">
        <v>0</v>
      </c>
      <c r="BZ4">
        <v>0.04</v>
      </c>
      <c r="CA4">
        <v>5.58</v>
      </c>
      <c r="CB4">
        <v>0</v>
      </c>
      <c r="CC4">
        <f t="shared" si="0"/>
        <v>2.75</v>
      </c>
      <c r="CD4">
        <v>3.96</v>
      </c>
      <c r="CE4">
        <v>0.34230769230769231</v>
      </c>
      <c r="CF4">
        <v>0.44500000000000001</v>
      </c>
      <c r="CG4">
        <v>0.1492537313432836</v>
      </c>
      <c r="CH4">
        <v>0.28776223776223769</v>
      </c>
      <c r="CI4">
        <v>0</v>
      </c>
      <c r="CJ4">
        <v>6110</v>
      </c>
      <c r="CK4" t="s">
        <v>169</v>
      </c>
      <c r="CL4" t="s">
        <v>170</v>
      </c>
      <c r="CM4" t="s">
        <v>143</v>
      </c>
      <c r="CN4">
        <v>0.44044739107999997</v>
      </c>
      <c r="CO4">
        <v>1.404426266661958</v>
      </c>
      <c r="CP4">
        <v>3</v>
      </c>
      <c r="CQ4" t="s">
        <v>171</v>
      </c>
      <c r="CR4">
        <v>85</v>
      </c>
      <c r="CS4" t="s">
        <v>172</v>
      </c>
      <c r="CT4" t="s">
        <v>173</v>
      </c>
      <c r="CU4" t="s">
        <v>167</v>
      </c>
      <c r="CV4" t="s">
        <v>174</v>
      </c>
      <c r="CW4" t="s">
        <v>175</v>
      </c>
      <c r="CX4" t="s">
        <v>176</v>
      </c>
      <c r="CY4" t="s">
        <v>177</v>
      </c>
      <c r="CZ4" t="s">
        <v>151</v>
      </c>
      <c r="DA4" t="s">
        <v>152</v>
      </c>
      <c r="DB4" t="s">
        <v>178</v>
      </c>
      <c r="DC4" t="s">
        <v>179</v>
      </c>
      <c r="DD4" t="s">
        <v>180</v>
      </c>
      <c r="DE4">
        <v>1762</v>
      </c>
      <c r="DF4">
        <v>-97.658204999999995</v>
      </c>
      <c r="DG4">
        <v>26.763223</v>
      </c>
      <c r="DH4">
        <v>9000</v>
      </c>
      <c r="DI4">
        <v>1000</v>
      </c>
      <c r="DL4">
        <v>19</v>
      </c>
      <c r="DM4">
        <v>15</v>
      </c>
      <c r="DN4">
        <v>25</v>
      </c>
      <c r="DO4">
        <v>420</v>
      </c>
      <c r="DP4">
        <v>50</v>
      </c>
      <c r="DQ4">
        <v>6000</v>
      </c>
      <c r="DR4">
        <v>75000</v>
      </c>
      <c r="DS4" t="s">
        <v>181</v>
      </c>
      <c r="DT4">
        <v>1.2500000000000001E-2</v>
      </c>
      <c r="DU4">
        <v>1.2500000000000001E-2</v>
      </c>
      <c r="DV4">
        <v>0.32500000000000001</v>
      </c>
      <c r="DW4">
        <v>0.32500000000000001</v>
      </c>
      <c r="DX4">
        <v>0.32500000000000001</v>
      </c>
      <c r="DY4">
        <v>0</v>
      </c>
      <c r="DZ4" s="4">
        <v>3.4470000000000001</v>
      </c>
      <c r="EA4" s="4" t="s">
        <v>182</v>
      </c>
      <c r="EB4" s="4" t="s">
        <v>183</v>
      </c>
      <c r="EC4">
        <v>4.4379999999999997</v>
      </c>
      <c r="ED4">
        <v>922</v>
      </c>
      <c r="EE4" t="s">
        <v>168</v>
      </c>
      <c r="EF4">
        <v>0.1632524505065773</v>
      </c>
      <c r="EH4">
        <f t="shared" si="1"/>
        <v>0.58000000000000007</v>
      </c>
      <c r="EI4">
        <v>3.38</v>
      </c>
      <c r="EJ4">
        <v>3.65</v>
      </c>
    </row>
    <row r="5" spans="1:140" x14ac:dyDescent="0.35">
      <c r="A5" s="1">
        <v>3</v>
      </c>
      <c r="B5">
        <v>-96.914573747330593</v>
      </c>
      <c r="C5">
        <v>26.947803513326441</v>
      </c>
      <c r="D5" t="s">
        <v>184</v>
      </c>
      <c r="E5">
        <v>0.02</v>
      </c>
      <c r="F5" t="s">
        <v>160</v>
      </c>
      <c r="G5">
        <v>3.1099999999999999E-2</v>
      </c>
      <c r="H5" t="s">
        <v>161</v>
      </c>
      <c r="I5">
        <v>-10788481</v>
      </c>
      <c r="J5">
        <v>3116952</v>
      </c>
      <c r="K5" t="s">
        <v>165</v>
      </c>
      <c r="L5" t="s">
        <v>185</v>
      </c>
      <c r="M5">
        <v>131</v>
      </c>
      <c r="O5">
        <v>3</v>
      </c>
      <c r="P5">
        <v>7</v>
      </c>
      <c r="Q5">
        <v>48</v>
      </c>
      <c r="R5">
        <v>261</v>
      </c>
      <c r="S5">
        <v>352</v>
      </c>
      <c r="T5" t="s">
        <v>167</v>
      </c>
      <c r="U5">
        <v>4.3100995732574674</v>
      </c>
      <c r="V5" t="s">
        <v>165</v>
      </c>
      <c r="W5">
        <v>9.7899999999999987E-2</v>
      </c>
      <c r="X5">
        <v>10</v>
      </c>
      <c r="Y5">
        <v>8.9</v>
      </c>
      <c r="Z5">
        <v>8.9</v>
      </c>
      <c r="AA5">
        <v>20</v>
      </c>
      <c r="AB5">
        <v>26</v>
      </c>
      <c r="AC5">
        <v>0.82299999999999995</v>
      </c>
      <c r="AD5">
        <v>67</v>
      </c>
      <c r="AE5">
        <v>0.1308010171646535</v>
      </c>
      <c r="AF5">
        <v>2.86</v>
      </c>
      <c r="AG5" t="s">
        <v>167</v>
      </c>
      <c r="AH5" t="s">
        <v>165</v>
      </c>
      <c r="AI5">
        <v>37</v>
      </c>
      <c r="AJ5">
        <v>1.233333333333333E-2</v>
      </c>
      <c r="AK5">
        <v>12.33333333333333</v>
      </c>
      <c r="AL5" t="s">
        <v>186</v>
      </c>
      <c r="AM5">
        <v>50944.831287311572</v>
      </c>
      <c r="AN5">
        <v>1.03</v>
      </c>
      <c r="AO5">
        <v>0.09</v>
      </c>
      <c r="AP5">
        <v>0.19</v>
      </c>
      <c r="AQ5">
        <v>0.74</v>
      </c>
      <c r="AR5">
        <v>0.68</v>
      </c>
      <c r="AS5">
        <v>0.04</v>
      </c>
      <c r="AT5">
        <v>0.01</v>
      </c>
      <c r="AU5">
        <v>0.02</v>
      </c>
      <c r="AV5">
        <v>1.95</v>
      </c>
      <c r="AW5">
        <v>0.96</v>
      </c>
      <c r="AX5">
        <v>0.21</v>
      </c>
      <c r="AY5">
        <v>0.53</v>
      </c>
      <c r="AZ5">
        <v>0</v>
      </c>
      <c r="BA5">
        <v>0.72</v>
      </c>
      <c r="BB5">
        <v>0.08</v>
      </c>
      <c r="BC5">
        <v>0.15</v>
      </c>
      <c r="BD5">
        <v>0.27</v>
      </c>
      <c r="BE5">
        <v>6.28</v>
      </c>
      <c r="BF5">
        <v>5.59</v>
      </c>
      <c r="BG5">
        <v>0.24</v>
      </c>
      <c r="BH5">
        <v>0.45</v>
      </c>
      <c r="BI5">
        <v>0</v>
      </c>
      <c r="BJ5">
        <v>0.04</v>
      </c>
      <c r="BK5">
        <v>5.55</v>
      </c>
      <c r="BL5">
        <v>0</v>
      </c>
      <c r="BM5">
        <v>1.51</v>
      </c>
      <c r="BN5">
        <v>0.21</v>
      </c>
      <c r="BO5">
        <v>0.46</v>
      </c>
      <c r="BP5">
        <v>0.84</v>
      </c>
      <c r="BQ5">
        <v>0.67</v>
      </c>
      <c r="BR5">
        <v>0.06</v>
      </c>
      <c r="BS5">
        <v>0.11</v>
      </c>
      <c r="BT5">
        <v>0</v>
      </c>
      <c r="BU5">
        <v>6.68</v>
      </c>
      <c r="BV5">
        <v>5.62</v>
      </c>
      <c r="BW5">
        <v>0.34</v>
      </c>
      <c r="BX5">
        <v>0.72</v>
      </c>
      <c r="BY5">
        <v>0</v>
      </c>
      <c r="BZ5">
        <v>0.04</v>
      </c>
      <c r="CA5">
        <v>5.58</v>
      </c>
      <c r="CB5">
        <v>0</v>
      </c>
      <c r="CC5">
        <f t="shared" si="0"/>
        <v>2.75</v>
      </c>
      <c r="CD5">
        <v>3.96</v>
      </c>
      <c r="CE5">
        <v>0.34230769230769231</v>
      </c>
      <c r="CF5">
        <v>0.44500000000000001</v>
      </c>
      <c r="CG5">
        <v>0.1492537313432836</v>
      </c>
      <c r="CH5">
        <v>0.28776223776223769</v>
      </c>
      <c r="CI5">
        <v>0</v>
      </c>
      <c r="CJ5">
        <v>28462</v>
      </c>
      <c r="CK5" t="s">
        <v>141</v>
      </c>
      <c r="CL5" t="s">
        <v>187</v>
      </c>
      <c r="CM5" t="s">
        <v>143</v>
      </c>
      <c r="CN5">
        <v>0.30130183209799999</v>
      </c>
      <c r="CO5">
        <v>2.0745614638765302</v>
      </c>
      <c r="CP5">
        <v>4</v>
      </c>
      <c r="CQ5" t="s">
        <v>188</v>
      </c>
      <c r="CR5">
        <v>85</v>
      </c>
      <c r="CS5" t="s">
        <v>172</v>
      </c>
      <c r="CT5" t="s">
        <v>173</v>
      </c>
      <c r="CU5" t="s">
        <v>167</v>
      </c>
      <c r="CV5" t="s">
        <v>174</v>
      </c>
      <c r="CW5" t="s">
        <v>175</v>
      </c>
      <c r="CX5" t="s">
        <v>176</v>
      </c>
      <c r="CY5" t="s">
        <v>177</v>
      </c>
      <c r="CZ5" t="s">
        <v>151</v>
      </c>
      <c r="DA5" t="s">
        <v>152</v>
      </c>
      <c r="DB5" t="s">
        <v>178</v>
      </c>
      <c r="DC5" t="s">
        <v>179</v>
      </c>
      <c r="DD5" t="s">
        <v>180</v>
      </c>
      <c r="DE5">
        <v>1762</v>
      </c>
      <c r="DF5">
        <v>-97.658204999999995</v>
      </c>
      <c r="DG5">
        <v>26.763223</v>
      </c>
      <c r="DH5">
        <v>9000</v>
      </c>
      <c r="DI5">
        <v>1000</v>
      </c>
      <c r="DL5">
        <v>19</v>
      </c>
      <c r="DM5">
        <v>15</v>
      </c>
      <c r="DN5">
        <v>25</v>
      </c>
      <c r="DO5">
        <v>420</v>
      </c>
      <c r="DP5">
        <v>50</v>
      </c>
      <c r="DQ5">
        <v>6000</v>
      </c>
      <c r="DR5">
        <v>75000</v>
      </c>
      <c r="DS5" t="s">
        <v>181</v>
      </c>
      <c r="DT5">
        <v>1.2500000000000001E-2</v>
      </c>
      <c r="DU5">
        <v>1.2500000000000001E-2</v>
      </c>
      <c r="DV5">
        <v>0.32500000000000001</v>
      </c>
      <c r="DW5">
        <v>0.32500000000000001</v>
      </c>
      <c r="DX5">
        <v>0.32500000000000001</v>
      </c>
      <c r="DY5">
        <v>0</v>
      </c>
      <c r="DZ5" s="4">
        <v>3.4470000000000001</v>
      </c>
      <c r="EA5" s="4" t="s">
        <v>182</v>
      </c>
      <c r="EB5" s="4" t="s">
        <v>183</v>
      </c>
      <c r="EC5">
        <v>4.4379999999999997</v>
      </c>
      <c r="ED5">
        <v>79</v>
      </c>
      <c r="EE5" t="s">
        <v>186</v>
      </c>
      <c r="EF5">
        <v>0.45629833719149332</v>
      </c>
      <c r="EH5">
        <f t="shared" si="1"/>
        <v>0.58000000000000007</v>
      </c>
      <c r="EI5">
        <v>3.38</v>
      </c>
      <c r="EJ5">
        <v>3.65</v>
      </c>
    </row>
    <row r="6" spans="1:140" x14ac:dyDescent="0.35">
      <c r="A6" s="1">
        <v>4</v>
      </c>
      <c r="B6">
        <v>-82.541529201418243</v>
      </c>
      <c r="C6">
        <v>26.947803513326441</v>
      </c>
      <c r="D6" t="s">
        <v>189</v>
      </c>
      <c r="E6">
        <v>0.1</v>
      </c>
      <c r="F6" t="s">
        <v>135</v>
      </c>
      <c r="G6">
        <v>5.7500000000000002E-2</v>
      </c>
      <c r="H6" t="s">
        <v>161</v>
      </c>
      <c r="I6">
        <v>-9188481</v>
      </c>
      <c r="J6">
        <v>3116952</v>
      </c>
      <c r="K6" t="s">
        <v>137</v>
      </c>
      <c r="L6" t="s">
        <v>190</v>
      </c>
      <c r="M6">
        <v>56</v>
      </c>
      <c r="N6">
        <v>3.839</v>
      </c>
      <c r="O6">
        <v>3</v>
      </c>
      <c r="P6">
        <v>5</v>
      </c>
      <c r="Q6">
        <v>12</v>
      </c>
      <c r="R6">
        <v>115</v>
      </c>
      <c r="S6">
        <v>434005</v>
      </c>
      <c r="T6" t="s">
        <v>139</v>
      </c>
      <c r="U6">
        <v>7.3602943056585426</v>
      </c>
      <c r="V6" t="s">
        <v>137</v>
      </c>
      <c r="W6">
        <v>0.12529999999999999</v>
      </c>
      <c r="X6">
        <v>10</v>
      </c>
      <c r="Y6">
        <v>8.9</v>
      </c>
      <c r="Z6">
        <v>8.9</v>
      </c>
      <c r="AA6">
        <v>20</v>
      </c>
      <c r="AB6">
        <v>26</v>
      </c>
      <c r="AC6">
        <v>0.76500000000000001</v>
      </c>
      <c r="AD6">
        <v>67</v>
      </c>
      <c r="AE6">
        <v>0.1215829624920534</v>
      </c>
      <c r="AF6">
        <v>2.86</v>
      </c>
      <c r="AG6" t="s">
        <v>139</v>
      </c>
      <c r="AH6" t="s">
        <v>137</v>
      </c>
      <c r="AI6">
        <v>33</v>
      </c>
      <c r="AJ6">
        <v>1.0999999999999999E-2</v>
      </c>
      <c r="AK6">
        <v>11</v>
      </c>
      <c r="AL6" t="s">
        <v>191</v>
      </c>
      <c r="AM6">
        <v>16277.877095780879</v>
      </c>
      <c r="AN6">
        <v>1.51</v>
      </c>
      <c r="AO6">
        <v>0.09</v>
      </c>
      <c r="AP6">
        <v>0.19</v>
      </c>
      <c r="AQ6">
        <v>1.22</v>
      </c>
      <c r="AR6">
        <v>1.1599999999999999</v>
      </c>
      <c r="AS6">
        <v>0.04</v>
      </c>
      <c r="AT6">
        <v>0.02</v>
      </c>
      <c r="AU6">
        <v>0.02</v>
      </c>
      <c r="AV6">
        <v>2.5099999999999998</v>
      </c>
      <c r="AW6">
        <v>1.51</v>
      </c>
      <c r="AX6">
        <v>0.21</v>
      </c>
      <c r="AY6">
        <v>0.53</v>
      </c>
      <c r="AZ6">
        <v>0</v>
      </c>
      <c r="BA6">
        <v>1.24</v>
      </c>
      <c r="BB6">
        <v>0.08</v>
      </c>
      <c r="BC6">
        <v>0.2</v>
      </c>
      <c r="BD6">
        <v>0.27</v>
      </c>
      <c r="BE6">
        <v>7.94</v>
      </c>
      <c r="BF6">
        <v>7.25</v>
      </c>
      <c r="BG6">
        <v>0.24</v>
      </c>
      <c r="BH6">
        <v>0.45</v>
      </c>
      <c r="BI6">
        <v>0</v>
      </c>
      <c r="BJ6">
        <v>0.04</v>
      </c>
      <c r="BK6">
        <v>7.21</v>
      </c>
      <c r="BL6">
        <v>0</v>
      </c>
      <c r="BM6">
        <v>2.02</v>
      </c>
      <c r="BN6">
        <v>0.21</v>
      </c>
      <c r="BO6">
        <v>0.46</v>
      </c>
      <c r="BP6">
        <v>1.35</v>
      </c>
      <c r="BQ6">
        <v>1.1499999999999999</v>
      </c>
      <c r="BR6">
        <v>0.06</v>
      </c>
      <c r="BS6">
        <v>0.14000000000000001</v>
      </c>
      <c r="BT6">
        <v>0</v>
      </c>
      <c r="BU6">
        <v>8.35</v>
      </c>
      <c r="BV6">
        <v>7.29</v>
      </c>
      <c r="BW6">
        <v>0.34</v>
      </c>
      <c r="BX6">
        <v>0.72</v>
      </c>
      <c r="BY6">
        <v>0</v>
      </c>
      <c r="BZ6">
        <v>0.04</v>
      </c>
      <c r="CA6">
        <v>7.25</v>
      </c>
      <c r="CB6">
        <v>0</v>
      </c>
      <c r="CC6">
        <f t="shared" si="0"/>
        <v>2.75</v>
      </c>
      <c r="CD6">
        <v>3.96</v>
      </c>
      <c r="CE6">
        <v>0.34230769230769231</v>
      </c>
      <c r="CF6">
        <v>0.44500000000000001</v>
      </c>
      <c r="CG6">
        <v>0.1492537313432836</v>
      </c>
      <c r="CH6">
        <v>0.2674825174825175</v>
      </c>
      <c r="CI6">
        <v>0</v>
      </c>
      <c r="CJ6">
        <v>5293</v>
      </c>
      <c r="CK6" t="s">
        <v>141</v>
      </c>
      <c r="CL6" t="s">
        <v>142</v>
      </c>
      <c r="CM6" t="s">
        <v>143</v>
      </c>
      <c r="CN6">
        <v>5.9648E-2</v>
      </c>
      <c r="CO6">
        <v>30.959248898693652</v>
      </c>
      <c r="CP6">
        <v>5</v>
      </c>
      <c r="CQ6" t="s">
        <v>144</v>
      </c>
      <c r="CR6">
        <v>23</v>
      </c>
      <c r="CS6" t="s">
        <v>145</v>
      </c>
      <c r="CT6" t="s">
        <v>146</v>
      </c>
      <c r="CU6" t="s">
        <v>139</v>
      </c>
      <c r="CV6" t="s">
        <v>147</v>
      </c>
      <c r="CW6" t="s">
        <v>148</v>
      </c>
      <c r="CX6" t="s">
        <v>149</v>
      </c>
      <c r="CY6" t="s">
        <v>150</v>
      </c>
      <c r="CZ6" t="s">
        <v>151</v>
      </c>
      <c r="DA6" t="s">
        <v>152</v>
      </c>
      <c r="DB6" t="s">
        <v>153</v>
      </c>
      <c r="DC6" t="s">
        <v>154</v>
      </c>
      <c r="DD6" t="s">
        <v>155</v>
      </c>
      <c r="DE6">
        <v>889</v>
      </c>
      <c r="DF6">
        <v>-80.766133999999994</v>
      </c>
      <c r="DG6">
        <v>25.318594999999998</v>
      </c>
      <c r="DH6">
        <v>4600</v>
      </c>
      <c r="DI6">
        <v>300</v>
      </c>
      <c r="DK6">
        <v>111</v>
      </c>
      <c r="DL6">
        <v>23</v>
      </c>
      <c r="DM6">
        <v>18</v>
      </c>
      <c r="DN6">
        <v>25</v>
      </c>
      <c r="DO6">
        <v>25</v>
      </c>
      <c r="DP6">
        <v>5</v>
      </c>
      <c r="DQ6">
        <v>28</v>
      </c>
      <c r="DS6" t="s">
        <v>156</v>
      </c>
      <c r="DT6">
        <v>1.2500000000000001E-2</v>
      </c>
      <c r="DU6">
        <v>1.2500000000000001E-2</v>
      </c>
      <c r="DV6">
        <v>0.32500000000000001</v>
      </c>
      <c r="DW6">
        <v>0.32500000000000001</v>
      </c>
      <c r="DX6">
        <v>0.32500000000000001</v>
      </c>
      <c r="DY6">
        <v>9.6385016835972728</v>
      </c>
      <c r="DZ6" s="4">
        <v>3.85</v>
      </c>
      <c r="EA6" s="4" t="s">
        <v>157</v>
      </c>
      <c r="EB6" s="4" t="s">
        <v>158</v>
      </c>
      <c r="EC6">
        <v>4.7039999999999997</v>
      </c>
      <c r="ED6">
        <v>861</v>
      </c>
      <c r="EE6" t="s">
        <v>191</v>
      </c>
      <c r="EF6">
        <v>0.14223680358963309</v>
      </c>
      <c r="EH6">
        <f t="shared" si="1"/>
        <v>0.58000000000000007</v>
      </c>
      <c r="EI6">
        <v>3.38</v>
      </c>
      <c r="EJ6">
        <v>3.65</v>
      </c>
    </row>
    <row r="7" spans="1:140" x14ac:dyDescent="0.35">
      <c r="A7" s="1">
        <v>5</v>
      </c>
      <c r="B7">
        <v>-80.74489863317919</v>
      </c>
      <c r="C7">
        <v>26.947803513326441</v>
      </c>
      <c r="D7" t="s">
        <v>192</v>
      </c>
      <c r="E7">
        <v>0.02</v>
      </c>
      <c r="F7" t="s">
        <v>160</v>
      </c>
      <c r="G7">
        <v>5.7500000000000002E-2</v>
      </c>
      <c r="H7" t="s">
        <v>161</v>
      </c>
      <c r="I7">
        <v>-8988481</v>
      </c>
      <c r="J7">
        <v>3116952</v>
      </c>
      <c r="K7" t="s">
        <v>137</v>
      </c>
      <c r="L7" t="s">
        <v>193</v>
      </c>
      <c r="M7">
        <v>50</v>
      </c>
      <c r="N7">
        <v>3.96</v>
      </c>
      <c r="O7">
        <v>3</v>
      </c>
      <c r="P7">
        <v>5</v>
      </c>
      <c r="Q7">
        <v>12</v>
      </c>
      <c r="R7">
        <v>99</v>
      </c>
      <c r="S7">
        <v>1492198</v>
      </c>
      <c r="T7" t="s">
        <v>139</v>
      </c>
      <c r="U7">
        <v>7.3602943056585426</v>
      </c>
      <c r="V7" t="s">
        <v>137</v>
      </c>
      <c r="W7">
        <v>0.12529999999999999</v>
      </c>
      <c r="X7">
        <v>10</v>
      </c>
      <c r="Y7">
        <v>8.9</v>
      </c>
      <c r="Z7">
        <v>8.9</v>
      </c>
      <c r="AA7">
        <v>20</v>
      </c>
      <c r="AB7">
        <v>26</v>
      </c>
      <c r="AC7">
        <v>0.76500000000000001</v>
      </c>
      <c r="AD7">
        <v>67</v>
      </c>
      <c r="AE7">
        <v>0.1215829624920534</v>
      </c>
      <c r="AF7">
        <v>2.86</v>
      </c>
      <c r="AG7" t="s">
        <v>139</v>
      </c>
      <c r="AH7" t="s">
        <v>137</v>
      </c>
      <c r="AI7">
        <v>33</v>
      </c>
      <c r="AJ7">
        <v>1.0999999999999999E-2</v>
      </c>
      <c r="AK7">
        <v>11</v>
      </c>
      <c r="AL7" t="s">
        <v>163</v>
      </c>
      <c r="AM7">
        <v>0</v>
      </c>
      <c r="AN7">
        <v>1.51</v>
      </c>
      <c r="AO7">
        <v>0.09</v>
      </c>
      <c r="AP7">
        <v>0.19</v>
      </c>
      <c r="AQ7">
        <v>1.22</v>
      </c>
      <c r="AR7">
        <v>1.1599999999999999</v>
      </c>
      <c r="AS7">
        <v>0.04</v>
      </c>
      <c r="AT7">
        <v>0.02</v>
      </c>
      <c r="AU7">
        <v>0.02</v>
      </c>
      <c r="AV7">
        <v>2.5099999999999998</v>
      </c>
      <c r="AW7">
        <v>1.51</v>
      </c>
      <c r="AX7">
        <v>0.21</v>
      </c>
      <c r="AY7">
        <v>0.53</v>
      </c>
      <c r="AZ7">
        <v>0</v>
      </c>
      <c r="BA7">
        <v>1.24</v>
      </c>
      <c r="BB7">
        <v>0.08</v>
      </c>
      <c r="BC7">
        <v>0.2</v>
      </c>
      <c r="BD7">
        <v>0.27</v>
      </c>
      <c r="BE7">
        <v>7.94</v>
      </c>
      <c r="BF7">
        <v>7.25</v>
      </c>
      <c r="BG7">
        <v>0.24</v>
      </c>
      <c r="BH7">
        <v>0.45</v>
      </c>
      <c r="BI7">
        <v>0</v>
      </c>
      <c r="BJ7">
        <v>0.04</v>
      </c>
      <c r="BK7">
        <v>7.21</v>
      </c>
      <c r="BL7">
        <v>0</v>
      </c>
      <c r="BM7">
        <v>2.02</v>
      </c>
      <c r="BN7">
        <v>0.21</v>
      </c>
      <c r="BO7">
        <v>0.46</v>
      </c>
      <c r="BP7">
        <v>1.35</v>
      </c>
      <c r="BQ7">
        <v>1.1499999999999999</v>
      </c>
      <c r="BR7">
        <v>0.06</v>
      </c>
      <c r="BS7">
        <v>0.14000000000000001</v>
      </c>
      <c r="BT7">
        <v>0</v>
      </c>
      <c r="BU7">
        <v>8.35</v>
      </c>
      <c r="BV7">
        <v>7.29</v>
      </c>
      <c r="BW7">
        <v>0.34</v>
      </c>
      <c r="BX7">
        <v>0.72</v>
      </c>
      <c r="BY7">
        <v>0</v>
      </c>
      <c r="BZ7">
        <v>0.04</v>
      </c>
      <c r="CA7">
        <v>7.25</v>
      </c>
      <c r="CB7">
        <v>0</v>
      </c>
      <c r="CC7">
        <f t="shared" si="0"/>
        <v>2.75</v>
      </c>
      <c r="CD7">
        <v>3.96</v>
      </c>
      <c r="CE7">
        <v>0.34230769230769231</v>
      </c>
      <c r="CF7">
        <v>0.44500000000000001</v>
      </c>
      <c r="CG7">
        <v>0.1492537313432836</v>
      </c>
      <c r="CH7">
        <v>0.2674825174825175</v>
      </c>
      <c r="CI7">
        <v>0</v>
      </c>
      <c r="CJ7">
        <v>8291</v>
      </c>
      <c r="CK7" t="s">
        <v>141</v>
      </c>
      <c r="CL7" t="s">
        <v>194</v>
      </c>
      <c r="CM7" t="s">
        <v>143</v>
      </c>
      <c r="CN7">
        <v>0.50491715813000004</v>
      </c>
      <c r="CO7">
        <v>9.5779642638163356</v>
      </c>
      <c r="CP7">
        <v>6</v>
      </c>
      <c r="CQ7" t="s">
        <v>144</v>
      </c>
      <c r="CR7">
        <v>23</v>
      </c>
      <c r="CS7" t="s">
        <v>145</v>
      </c>
      <c r="CT7" t="s">
        <v>146</v>
      </c>
      <c r="CU7" t="s">
        <v>139</v>
      </c>
      <c r="CV7" t="s">
        <v>147</v>
      </c>
      <c r="CW7" t="s">
        <v>148</v>
      </c>
      <c r="CX7" t="s">
        <v>149</v>
      </c>
      <c r="CY7" t="s">
        <v>150</v>
      </c>
      <c r="CZ7" t="s">
        <v>151</v>
      </c>
      <c r="DA7" t="s">
        <v>152</v>
      </c>
      <c r="DB7" t="s">
        <v>153</v>
      </c>
      <c r="DC7" t="s">
        <v>154</v>
      </c>
      <c r="DD7" t="s">
        <v>155</v>
      </c>
      <c r="DE7">
        <v>889</v>
      </c>
      <c r="DF7">
        <v>-80.766133999999994</v>
      </c>
      <c r="DG7">
        <v>25.318594999999998</v>
      </c>
      <c r="DH7">
        <v>4600</v>
      </c>
      <c r="DI7">
        <v>300</v>
      </c>
      <c r="DK7">
        <v>111</v>
      </c>
      <c r="DL7">
        <v>23</v>
      </c>
      <c r="DM7">
        <v>18</v>
      </c>
      <c r="DN7">
        <v>25</v>
      </c>
      <c r="DO7">
        <v>25</v>
      </c>
      <c r="DP7">
        <v>5</v>
      </c>
      <c r="DQ7">
        <v>28</v>
      </c>
      <c r="DS7" t="s">
        <v>156</v>
      </c>
      <c r="DT7">
        <v>1.2500000000000001E-2</v>
      </c>
      <c r="DU7">
        <v>1.2500000000000001E-2</v>
      </c>
      <c r="DV7">
        <v>0.32500000000000001</v>
      </c>
      <c r="DW7">
        <v>0.32500000000000001</v>
      </c>
      <c r="DX7">
        <v>0.32500000000000001</v>
      </c>
      <c r="DY7">
        <v>0</v>
      </c>
      <c r="DZ7" s="4">
        <v>3.85</v>
      </c>
      <c r="EA7" s="4" t="s">
        <v>157</v>
      </c>
      <c r="EB7" s="4" t="s">
        <v>158</v>
      </c>
      <c r="EC7">
        <v>4.7039999999999997</v>
      </c>
      <c r="ED7">
        <v>120</v>
      </c>
      <c r="EE7" t="s">
        <v>163</v>
      </c>
      <c r="EF7">
        <v>0</v>
      </c>
      <c r="EH7">
        <f t="shared" si="1"/>
        <v>0.58000000000000007</v>
      </c>
      <c r="EI7">
        <v>3.38</v>
      </c>
      <c r="EJ7">
        <v>3.65</v>
      </c>
    </row>
    <row r="8" spans="1:140" x14ac:dyDescent="0.35">
      <c r="A8" s="1">
        <v>6</v>
      </c>
      <c r="B8">
        <v>-104.1010960202868</v>
      </c>
      <c r="C8">
        <v>28.537824999375129</v>
      </c>
      <c r="D8" t="s">
        <v>195</v>
      </c>
      <c r="E8">
        <v>0.1</v>
      </c>
      <c r="F8" t="s">
        <v>135</v>
      </c>
      <c r="G8">
        <v>0.13250000000000001</v>
      </c>
      <c r="H8" t="s">
        <v>161</v>
      </c>
      <c r="I8">
        <v>-11588481</v>
      </c>
      <c r="J8">
        <v>3316952</v>
      </c>
      <c r="K8" t="s">
        <v>165</v>
      </c>
      <c r="L8" t="s">
        <v>196</v>
      </c>
      <c r="M8">
        <v>22</v>
      </c>
      <c r="N8">
        <v>3.8690000000000002</v>
      </c>
      <c r="O8">
        <v>3</v>
      </c>
      <c r="P8">
        <v>7</v>
      </c>
      <c r="Q8">
        <v>48</v>
      </c>
      <c r="R8">
        <v>43</v>
      </c>
      <c r="S8">
        <v>9545</v>
      </c>
      <c r="T8" t="s">
        <v>167</v>
      </c>
      <c r="U8">
        <v>4.3100995732574674</v>
      </c>
      <c r="V8" t="s">
        <v>165</v>
      </c>
      <c r="W8">
        <v>9.7899999999999987E-2</v>
      </c>
      <c r="X8">
        <v>10</v>
      </c>
      <c r="Y8">
        <v>8.9</v>
      </c>
      <c r="Z8">
        <v>8.9</v>
      </c>
      <c r="AA8">
        <v>20</v>
      </c>
      <c r="AB8">
        <v>26</v>
      </c>
      <c r="AC8">
        <v>0.82299999999999995</v>
      </c>
      <c r="AD8">
        <v>67</v>
      </c>
      <c r="AE8">
        <v>0.1308010171646535</v>
      </c>
      <c r="AF8">
        <v>2.86</v>
      </c>
      <c r="AG8" t="s">
        <v>167</v>
      </c>
      <c r="AH8" t="s">
        <v>165</v>
      </c>
      <c r="AI8">
        <v>37</v>
      </c>
      <c r="AJ8">
        <v>1.233333333333333E-2</v>
      </c>
      <c r="AK8">
        <v>12.33333333333333</v>
      </c>
      <c r="AL8" t="s">
        <v>197</v>
      </c>
      <c r="AM8">
        <v>285053.69968555029</v>
      </c>
      <c r="AN8">
        <v>1.03</v>
      </c>
      <c r="AO8">
        <v>0.09</v>
      </c>
      <c r="AP8">
        <v>0.19</v>
      </c>
      <c r="AQ8">
        <v>0.74</v>
      </c>
      <c r="AR8">
        <v>0.68</v>
      </c>
      <c r="AS8">
        <v>0.04</v>
      </c>
      <c r="AT8">
        <v>0.01</v>
      </c>
      <c r="AU8">
        <v>0.02</v>
      </c>
      <c r="AV8">
        <v>1.95</v>
      </c>
      <c r="AW8">
        <v>0.96</v>
      </c>
      <c r="AX8">
        <v>0.21</v>
      </c>
      <c r="AY8">
        <v>0.53</v>
      </c>
      <c r="AZ8">
        <v>0</v>
      </c>
      <c r="BA8">
        <v>0.72</v>
      </c>
      <c r="BB8">
        <v>0.08</v>
      </c>
      <c r="BC8">
        <v>0.15</v>
      </c>
      <c r="BD8">
        <v>0.27</v>
      </c>
      <c r="BE8">
        <v>6.28</v>
      </c>
      <c r="BF8">
        <v>5.59</v>
      </c>
      <c r="BG8">
        <v>0.24</v>
      </c>
      <c r="BH8">
        <v>0.45</v>
      </c>
      <c r="BI8">
        <v>0</v>
      </c>
      <c r="BJ8">
        <v>0.04</v>
      </c>
      <c r="BK8">
        <v>5.55</v>
      </c>
      <c r="BL8">
        <v>0</v>
      </c>
      <c r="BM8">
        <v>1.51</v>
      </c>
      <c r="BN8">
        <v>0.21</v>
      </c>
      <c r="BO8">
        <v>0.46</v>
      </c>
      <c r="BP8">
        <v>0.84</v>
      </c>
      <c r="BQ8">
        <v>0.67</v>
      </c>
      <c r="BR8">
        <v>0.06</v>
      </c>
      <c r="BS8">
        <v>0.11</v>
      </c>
      <c r="BT8">
        <v>0</v>
      </c>
      <c r="BU8">
        <v>6.68</v>
      </c>
      <c r="BV8">
        <v>5.62</v>
      </c>
      <c r="BW8">
        <v>0.34</v>
      </c>
      <c r="BX8">
        <v>0.72</v>
      </c>
      <c r="BY8">
        <v>0</v>
      </c>
      <c r="BZ8">
        <v>0.04</v>
      </c>
      <c r="CA8">
        <v>5.58</v>
      </c>
      <c r="CB8">
        <v>0</v>
      </c>
      <c r="CC8">
        <f t="shared" si="0"/>
        <v>2.75</v>
      </c>
      <c r="CD8">
        <v>3.96</v>
      </c>
      <c r="CE8">
        <v>0.34230769230769231</v>
      </c>
      <c r="CF8">
        <v>0.44500000000000001</v>
      </c>
      <c r="CG8">
        <v>0.1492537313432836</v>
      </c>
      <c r="CH8">
        <v>0.28776223776223769</v>
      </c>
      <c r="CI8">
        <v>0</v>
      </c>
      <c r="CJ8">
        <v>31725</v>
      </c>
      <c r="CK8" t="s">
        <v>169</v>
      </c>
      <c r="CL8" t="s">
        <v>198</v>
      </c>
      <c r="CM8" t="s">
        <v>143</v>
      </c>
      <c r="CN8">
        <v>2.1960042453600002</v>
      </c>
      <c r="CO8">
        <v>94.769736926229882</v>
      </c>
      <c r="CP8">
        <v>7</v>
      </c>
      <c r="CQ8" t="s">
        <v>199</v>
      </c>
      <c r="CR8">
        <v>26</v>
      </c>
      <c r="CS8" t="s">
        <v>200</v>
      </c>
      <c r="CT8" t="s">
        <v>201</v>
      </c>
      <c r="CU8" t="s">
        <v>167</v>
      </c>
      <c r="CV8" t="s">
        <v>202</v>
      </c>
      <c r="CW8" t="s">
        <v>203</v>
      </c>
      <c r="CX8" t="s">
        <v>204</v>
      </c>
      <c r="CY8" t="s">
        <v>205</v>
      </c>
      <c r="CZ8" t="s">
        <v>206</v>
      </c>
      <c r="DA8" t="s">
        <v>152</v>
      </c>
      <c r="DB8" t="s">
        <v>153</v>
      </c>
      <c r="DC8" t="s">
        <v>207</v>
      </c>
      <c r="DD8" t="s">
        <v>208</v>
      </c>
      <c r="DE8">
        <v>49915</v>
      </c>
      <c r="DF8">
        <v>-102.456551</v>
      </c>
      <c r="DG8">
        <v>31.762763</v>
      </c>
      <c r="DH8">
        <v>7340</v>
      </c>
      <c r="DI8">
        <v>390</v>
      </c>
      <c r="DJ8">
        <v>3400</v>
      </c>
      <c r="DK8">
        <v>160</v>
      </c>
      <c r="DL8">
        <v>8.5</v>
      </c>
      <c r="DO8">
        <v>66</v>
      </c>
      <c r="DP8">
        <v>0.1</v>
      </c>
      <c r="DQ8">
        <v>1100</v>
      </c>
      <c r="DS8" t="s">
        <v>209</v>
      </c>
      <c r="DT8">
        <v>1.2500000000000001E-2</v>
      </c>
      <c r="DU8">
        <v>1.2500000000000001E-2</v>
      </c>
      <c r="DV8">
        <v>0.32500000000000001</v>
      </c>
      <c r="DW8">
        <v>0.32500000000000001</v>
      </c>
      <c r="DX8">
        <v>0.32500000000000001</v>
      </c>
      <c r="DY8">
        <v>94.367685777239402</v>
      </c>
      <c r="DZ8" s="4">
        <v>3.4470000000000001</v>
      </c>
      <c r="EA8" s="4" t="s">
        <v>182</v>
      </c>
      <c r="EB8" s="4" t="s">
        <v>183</v>
      </c>
      <c r="EC8">
        <v>4.4379999999999997</v>
      </c>
      <c r="ED8">
        <v>107</v>
      </c>
      <c r="EE8" t="s">
        <v>197</v>
      </c>
      <c r="EF8">
        <v>2.2685497615457839</v>
      </c>
      <c r="EH8">
        <f t="shared" si="1"/>
        <v>0.58000000000000007</v>
      </c>
      <c r="EI8">
        <v>3.38</v>
      </c>
      <c r="EJ8">
        <v>3.65</v>
      </c>
    </row>
    <row r="9" spans="1:140" x14ac:dyDescent="0.35">
      <c r="A9" s="1">
        <v>7</v>
      </c>
      <c r="B9">
        <v>-100.5078348838087</v>
      </c>
      <c r="C9">
        <v>28.537824999375129</v>
      </c>
      <c r="D9" t="s">
        <v>210</v>
      </c>
      <c r="E9">
        <v>0.1</v>
      </c>
      <c r="F9" t="s">
        <v>135</v>
      </c>
      <c r="G9">
        <v>3.7400000000000003E-2</v>
      </c>
      <c r="H9" t="s">
        <v>161</v>
      </c>
      <c r="I9">
        <v>-11188481</v>
      </c>
      <c r="J9">
        <v>3316952</v>
      </c>
      <c r="K9" t="s">
        <v>165</v>
      </c>
      <c r="L9" t="s">
        <v>211</v>
      </c>
      <c r="M9">
        <v>159</v>
      </c>
      <c r="N9">
        <v>3.5009999999999999</v>
      </c>
      <c r="O9">
        <v>3</v>
      </c>
      <c r="P9">
        <v>7</v>
      </c>
      <c r="Q9">
        <v>48</v>
      </c>
      <c r="R9">
        <v>323</v>
      </c>
      <c r="S9">
        <v>57885</v>
      </c>
      <c r="T9" t="s">
        <v>167</v>
      </c>
      <c r="U9">
        <v>4.3100995732574674</v>
      </c>
      <c r="V9" t="s">
        <v>165</v>
      </c>
      <c r="W9">
        <v>9.7899999999999987E-2</v>
      </c>
      <c r="X9">
        <v>10</v>
      </c>
      <c r="Y9">
        <v>8.9</v>
      </c>
      <c r="Z9">
        <v>8.9</v>
      </c>
      <c r="AA9">
        <v>20</v>
      </c>
      <c r="AB9">
        <v>26</v>
      </c>
      <c r="AC9">
        <v>0.82299999999999995</v>
      </c>
      <c r="AD9">
        <v>67</v>
      </c>
      <c r="AE9">
        <v>0.1308010171646535</v>
      </c>
      <c r="AF9">
        <v>2.86</v>
      </c>
      <c r="AG9" t="s">
        <v>167</v>
      </c>
      <c r="AH9" t="s">
        <v>165</v>
      </c>
      <c r="AI9">
        <v>37</v>
      </c>
      <c r="AJ9">
        <v>1.233333333333333E-2</v>
      </c>
      <c r="AK9">
        <v>12.33333333333333</v>
      </c>
      <c r="AL9" t="s">
        <v>212</v>
      </c>
      <c r="AM9">
        <v>10880.690775899209</v>
      </c>
      <c r="AN9">
        <v>1.03</v>
      </c>
      <c r="AO9">
        <v>0.09</v>
      </c>
      <c r="AP9">
        <v>0.19</v>
      </c>
      <c r="AQ9">
        <v>0.74</v>
      </c>
      <c r="AR9">
        <v>0.68</v>
      </c>
      <c r="AS9">
        <v>0.04</v>
      </c>
      <c r="AT9">
        <v>0.01</v>
      </c>
      <c r="AU9">
        <v>0.02</v>
      </c>
      <c r="AV9">
        <v>1.95</v>
      </c>
      <c r="AW9">
        <v>0.96</v>
      </c>
      <c r="AX9">
        <v>0.21</v>
      </c>
      <c r="AY9">
        <v>0.53</v>
      </c>
      <c r="AZ9">
        <v>0</v>
      </c>
      <c r="BA9">
        <v>0.72</v>
      </c>
      <c r="BB9">
        <v>0.08</v>
      </c>
      <c r="BC9">
        <v>0.15</v>
      </c>
      <c r="BD9">
        <v>0.27</v>
      </c>
      <c r="BE9">
        <v>6.28</v>
      </c>
      <c r="BF9">
        <v>5.59</v>
      </c>
      <c r="BG9">
        <v>0.24</v>
      </c>
      <c r="BH9">
        <v>0.45</v>
      </c>
      <c r="BI9">
        <v>0</v>
      </c>
      <c r="BJ9">
        <v>0.04</v>
      </c>
      <c r="BK9">
        <v>5.55</v>
      </c>
      <c r="BL9">
        <v>0</v>
      </c>
      <c r="BM9">
        <v>1.51</v>
      </c>
      <c r="BN9">
        <v>0.21</v>
      </c>
      <c r="BO9">
        <v>0.46</v>
      </c>
      <c r="BP9">
        <v>0.84</v>
      </c>
      <c r="BQ9">
        <v>0.67</v>
      </c>
      <c r="BR9">
        <v>0.06</v>
      </c>
      <c r="BS9">
        <v>0.11</v>
      </c>
      <c r="BT9">
        <v>0</v>
      </c>
      <c r="BU9">
        <v>6.68</v>
      </c>
      <c r="BV9">
        <v>5.62</v>
      </c>
      <c r="BW9">
        <v>0.34</v>
      </c>
      <c r="BX9">
        <v>0.72</v>
      </c>
      <c r="BY9">
        <v>0</v>
      </c>
      <c r="BZ9">
        <v>0.04</v>
      </c>
      <c r="CA9">
        <v>5.58</v>
      </c>
      <c r="CB9">
        <v>0</v>
      </c>
      <c r="CC9">
        <f t="shared" si="0"/>
        <v>2.75</v>
      </c>
      <c r="CD9">
        <v>3.96</v>
      </c>
      <c r="CE9">
        <v>0.34230769230769231</v>
      </c>
      <c r="CF9">
        <v>0.44500000000000001</v>
      </c>
      <c r="CG9">
        <v>0.1492537313432836</v>
      </c>
      <c r="CH9">
        <v>0.28776223776223769</v>
      </c>
      <c r="CI9">
        <v>0</v>
      </c>
      <c r="CJ9">
        <v>6144</v>
      </c>
      <c r="CK9" t="s">
        <v>169</v>
      </c>
      <c r="CL9" t="s">
        <v>170</v>
      </c>
      <c r="CM9" t="s">
        <v>143</v>
      </c>
      <c r="CN9">
        <v>0.14589949897000001</v>
      </c>
      <c r="CO9">
        <v>9.6175454971920118</v>
      </c>
      <c r="CP9">
        <v>8</v>
      </c>
      <c r="CQ9" t="s">
        <v>213</v>
      </c>
      <c r="CR9">
        <v>110</v>
      </c>
      <c r="CS9" t="s">
        <v>214</v>
      </c>
      <c r="CT9" t="s">
        <v>215</v>
      </c>
      <c r="CU9" t="s">
        <v>216</v>
      </c>
      <c r="CV9" t="s">
        <v>217</v>
      </c>
      <c r="CW9" t="s">
        <v>175</v>
      </c>
      <c r="CX9" t="s">
        <v>218</v>
      </c>
      <c r="CY9" t="s">
        <v>219</v>
      </c>
      <c r="CZ9" t="s">
        <v>151</v>
      </c>
      <c r="DA9" t="s">
        <v>152</v>
      </c>
      <c r="DB9" t="s">
        <v>178</v>
      </c>
      <c r="DC9" t="s">
        <v>179</v>
      </c>
      <c r="DD9" t="s">
        <v>155</v>
      </c>
      <c r="DE9">
        <v>4393</v>
      </c>
      <c r="DF9">
        <v>-89.078338000000002</v>
      </c>
      <c r="DG9">
        <v>30.725223</v>
      </c>
      <c r="DH9">
        <v>8000</v>
      </c>
      <c r="DI9">
        <v>650</v>
      </c>
      <c r="DJ9">
        <v>3600</v>
      </c>
      <c r="DL9">
        <v>21</v>
      </c>
      <c r="DM9">
        <v>16</v>
      </c>
      <c r="DN9">
        <v>29</v>
      </c>
      <c r="DO9">
        <v>400</v>
      </c>
      <c r="DP9">
        <v>67</v>
      </c>
      <c r="DQ9">
        <v>3080</v>
      </c>
      <c r="DS9">
        <v>11</v>
      </c>
      <c r="DT9">
        <v>1.2500000000000001E-2</v>
      </c>
      <c r="DU9">
        <v>1.2500000000000001E-2</v>
      </c>
      <c r="DV9">
        <v>0.32500000000000001</v>
      </c>
      <c r="DW9">
        <v>0.32500000000000001</v>
      </c>
      <c r="DX9">
        <v>0.32500000000000001</v>
      </c>
      <c r="DY9">
        <v>35.632212467168792</v>
      </c>
      <c r="DZ9" s="4">
        <v>3.4470000000000001</v>
      </c>
      <c r="EA9" s="4" t="s">
        <v>182</v>
      </c>
      <c r="EB9" s="4" t="s">
        <v>183</v>
      </c>
      <c r="EC9">
        <v>4.4379999999999997</v>
      </c>
      <c r="ED9">
        <v>917</v>
      </c>
      <c r="EE9" t="s">
        <v>212</v>
      </c>
      <c r="EF9">
        <v>9.3671240259390887E-2</v>
      </c>
      <c r="EH9">
        <f t="shared" si="1"/>
        <v>0.58000000000000007</v>
      </c>
      <c r="EI9">
        <v>3.38</v>
      </c>
      <c r="EJ9">
        <v>3.65</v>
      </c>
    </row>
    <row r="10" spans="1:140" x14ac:dyDescent="0.35">
      <c r="A10" s="1">
        <v>8</v>
      </c>
      <c r="B10">
        <v>-98.711204315569631</v>
      </c>
      <c r="C10">
        <v>28.537824999375129</v>
      </c>
      <c r="D10" t="s">
        <v>220</v>
      </c>
      <c r="E10">
        <v>0.02</v>
      </c>
      <c r="F10" t="s">
        <v>160</v>
      </c>
      <c r="G10">
        <v>3.7400000000000003E-2</v>
      </c>
      <c r="H10" t="s">
        <v>161</v>
      </c>
      <c r="I10">
        <v>-10988481</v>
      </c>
      <c r="J10">
        <v>3316952</v>
      </c>
      <c r="K10" t="s">
        <v>165</v>
      </c>
      <c r="L10" t="s">
        <v>221</v>
      </c>
      <c r="M10">
        <v>162</v>
      </c>
      <c r="N10">
        <v>3.6989999999999998</v>
      </c>
      <c r="O10">
        <v>3</v>
      </c>
      <c r="P10">
        <v>7</v>
      </c>
      <c r="Q10">
        <v>48</v>
      </c>
      <c r="R10">
        <v>311</v>
      </c>
      <c r="S10">
        <v>600</v>
      </c>
      <c r="T10" t="s">
        <v>167</v>
      </c>
      <c r="U10">
        <v>4.3100995732574674</v>
      </c>
      <c r="V10" t="s">
        <v>165</v>
      </c>
      <c r="W10">
        <v>9.7899999999999987E-2</v>
      </c>
      <c r="X10">
        <v>10</v>
      </c>
      <c r="Y10">
        <v>8.9</v>
      </c>
      <c r="Z10">
        <v>8.9</v>
      </c>
      <c r="AA10">
        <v>20</v>
      </c>
      <c r="AB10">
        <v>26</v>
      </c>
      <c r="AC10">
        <v>0.82299999999999995</v>
      </c>
      <c r="AD10">
        <v>67</v>
      </c>
      <c r="AE10">
        <v>0.1308010171646535</v>
      </c>
      <c r="AF10">
        <v>2.86</v>
      </c>
      <c r="AG10" t="s">
        <v>167</v>
      </c>
      <c r="AH10" t="s">
        <v>165</v>
      </c>
      <c r="AI10">
        <v>37</v>
      </c>
      <c r="AJ10">
        <v>1.233333333333333E-2</v>
      </c>
      <c r="AK10">
        <v>12.33333333333333</v>
      </c>
      <c r="AL10" t="s">
        <v>222</v>
      </c>
      <c r="AM10">
        <v>13963.25187614929</v>
      </c>
      <c r="AN10">
        <v>1.03</v>
      </c>
      <c r="AO10">
        <v>0.09</v>
      </c>
      <c r="AP10">
        <v>0.19</v>
      </c>
      <c r="AQ10">
        <v>0.74</v>
      </c>
      <c r="AR10">
        <v>0.68</v>
      </c>
      <c r="AS10">
        <v>0.04</v>
      </c>
      <c r="AT10">
        <v>0.01</v>
      </c>
      <c r="AU10">
        <v>0.02</v>
      </c>
      <c r="AV10">
        <v>1.95</v>
      </c>
      <c r="AW10">
        <v>0.96</v>
      </c>
      <c r="AX10">
        <v>0.21</v>
      </c>
      <c r="AY10">
        <v>0.53</v>
      </c>
      <c r="AZ10">
        <v>0</v>
      </c>
      <c r="BA10">
        <v>0.72</v>
      </c>
      <c r="BB10">
        <v>0.08</v>
      </c>
      <c r="BC10">
        <v>0.15</v>
      </c>
      <c r="BD10">
        <v>0.27</v>
      </c>
      <c r="BE10">
        <v>6.28</v>
      </c>
      <c r="BF10">
        <v>5.59</v>
      </c>
      <c r="BG10">
        <v>0.24</v>
      </c>
      <c r="BH10">
        <v>0.45</v>
      </c>
      <c r="BI10">
        <v>0</v>
      </c>
      <c r="BJ10">
        <v>0.04</v>
      </c>
      <c r="BK10">
        <v>5.55</v>
      </c>
      <c r="BL10">
        <v>0</v>
      </c>
      <c r="BM10">
        <v>1.51</v>
      </c>
      <c r="BN10">
        <v>0.21</v>
      </c>
      <c r="BO10">
        <v>0.46</v>
      </c>
      <c r="BP10">
        <v>0.84</v>
      </c>
      <c r="BQ10">
        <v>0.67</v>
      </c>
      <c r="BR10">
        <v>0.06</v>
      </c>
      <c r="BS10">
        <v>0.11</v>
      </c>
      <c r="BT10">
        <v>0</v>
      </c>
      <c r="BU10">
        <v>6.68</v>
      </c>
      <c r="BV10">
        <v>5.62</v>
      </c>
      <c r="BW10">
        <v>0.34</v>
      </c>
      <c r="BX10">
        <v>0.72</v>
      </c>
      <c r="BY10">
        <v>0</v>
      </c>
      <c r="BZ10">
        <v>0.04</v>
      </c>
      <c r="CA10">
        <v>5.58</v>
      </c>
      <c r="CB10">
        <v>0</v>
      </c>
      <c r="CC10">
        <f t="shared" si="0"/>
        <v>2.75</v>
      </c>
      <c r="CD10">
        <v>3.96</v>
      </c>
      <c r="CE10">
        <v>0.34230769230769231</v>
      </c>
      <c r="CF10">
        <v>0.44500000000000001</v>
      </c>
      <c r="CG10">
        <v>0.1492537313432836</v>
      </c>
      <c r="CH10">
        <v>0.28776223776223769</v>
      </c>
      <c r="CI10">
        <v>0</v>
      </c>
      <c r="CJ10">
        <v>28390</v>
      </c>
      <c r="CK10" t="s">
        <v>141</v>
      </c>
      <c r="CL10" t="s">
        <v>187</v>
      </c>
      <c r="CM10" t="s">
        <v>143</v>
      </c>
      <c r="CN10">
        <v>0.17792485381199999</v>
      </c>
      <c r="CO10">
        <v>6.4276180906029383</v>
      </c>
      <c r="CP10">
        <v>9</v>
      </c>
      <c r="CQ10" t="s">
        <v>213</v>
      </c>
      <c r="CR10">
        <v>110</v>
      </c>
      <c r="CS10" t="s">
        <v>214</v>
      </c>
      <c r="CT10" t="s">
        <v>215</v>
      </c>
      <c r="CU10" t="s">
        <v>216</v>
      </c>
      <c r="CV10" t="s">
        <v>217</v>
      </c>
      <c r="CW10" t="s">
        <v>175</v>
      </c>
      <c r="CX10" t="s">
        <v>218</v>
      </c>
      <c r="CY10" t="s">
        <v>219</v>
      </c>
      <c r="CZ10" t="s">
        <v>151</v>
      </c>
      <c r="DA10" t="s">
        <v>152</v>
      </c>
      <c r="DB10" t="s">
        <v>178</v>
      </c>
      <c r="DC10" t="s">
        <v>179</v>
      </c>
      <c r="DD10" t="s">
        <v>155</v>
      </c>
      <c r="DE10">
        <v>4393</v>
      </c>
      <c r="DF10">
        <v>-89.078338000000002</v>
      </c>
      <c r="DG10">
        <v>30.725223</v>
      </c>
      <c r="DH10">
        <v>8000</v>
      </c>
      <c r="DI10">
        <v>650</v>
      </c>
      <c r="DJ10">
        <v>3600</v>
      </c>
      <c r="DL10">
        <v>21</v>
      </c>
      <c r="DM10">
        <v>16</v>
      </c>
      <c r="DN10">
        <v>29</v>
      </c>
      <c r="DO10">
        <v>400</v>
      </c>
      <c r="DP10">
        <v>67</v>
      </c>
      <c r="DQ10">
        <v>3080</v>
      </c>
      <c r="DS10">
        <v>11</v>
      </c>
      <c r="DT10">
        <v>1.2500000000000001E-2</v>
      </c>
      <c r="DU10">
        <v>1.2500000000000001E-2</v>
      </c>
      <c r="DV10">
        <v>0.32500000000000001</v>
      </c>
      <c r="DW10">
        <v>0.32500000000000001</v>
      </c>
      <c r="DX10">
        <v>0.32500000000000001</v>
      </c>
      <c r="DY10">
        <v>0</v>
      </c>
      <c r="DZ10" s="4">
        <v>3.4470000000000001</v>
      </c>
      <c r="EA10" s="4" t="s">
        <v>182</v>
      </c>
      <c r="EB10" s="4" t="s">
        <v>183</v>
      </c>
      <c r="EC10">
        <v>4.4379999999999997</v>
      </c>
      <c r="ED10">
        <v>178</v>
      </c>
      <c r="EE10" t="s">
        <v>222</v>
      </c>
      <c r="EF10">
        <v>0.1101367817764819</v>
      </c>
      <c r="EH10">
        <f t="shared" si="1"/>
        <v>0.58000000000000007</v>
      </c>
      <c r="EI10">
        <v>3.38</v>
      </c>
      <c r="EJ10">
        <v>3.65</v>
      </c>
    </row>
    <row r="11" spans="1:140" x14ac:dyDescent="0.35">
      <c r="A11" s="1">
        <v>9</v>
      </c>
      <c r="B11">
        <v>-96.914573747330593</v>
      </c>
      <c r="C11">
        <v>28.537824999375129</v>
      </c>
      <c r="D11" t="s">
        <v>223</v>
      </c>
      <c r="E11">
        <v>0.02</v>
      </c>
      <c r="F11" t="s">
        <v>160</v>
      </c>
      <c r="G11">
        <v>3.1099999999999999E-2</v>
      </c>
      <c r="H11" t="s">
        <v>161</v>
      </c>
      <c r="I11">
        <v>-10788481</v>
      </c>
      <c r="J11">
        <v>3316952</v>
      </c>
      <c r="K11" t="s">
        <v>165</v>
      </c>
      <c r="L11" t="s">
        <v>224</v>
      </c>
      <c r="M11">
        <v>235</v>
      </c>
      <c r="N11">
        <v>3.4329999999999998</v>
      </c>
      <c r="O11">
        <v>3</v>
      </c>
      <c r="P11">
        <v>7</v>
      </c>
      <c r="Q11">
        <v>48</v>
      </c>
      <c r="R11">
        <v>469</v>
      </c>
      <c r="S11">
        <v>91320</v>
      </c>
      <c r="T11" t="s">
        <v>167</v>
      </c>
      <c r="U11">
        <v>4.3100995732574674</v>
      </c>
      <c r="V11" t="s">
        <v>165</v>
      </c>
      <c r="W11">
        <v>9.7899999999999987E-2</v>
      </c>
      <c r="X11">
        <v>10</v>
      </c>
      <c r="Y11">
        <v>8.9</v>
      </c>
      <c r="Z11">
        <v>8.9</v>
      </c>
      <c r="AA11">
        <v>20</v>
      </c>
      <c r="AB11">
        <v>26</v>
      </c>
      <c r="AC11">
        <v>0.82299999999999995</v>
      </c>
      <c r="AD11">
        <v>67</v>
      </c>
      <c r="AE11">
        <v>0.1308010171646535</v>
      </c>
      <c r="AF11">
        <v>2.86</v>
      </c>
      <c r="AG11" t="s">
        <v>167</v>
      </c>
      <c r="AH11" t="s">
        <v>165</v>
      </c>
      <c r="AI11">
        <v>37</v>
      </c>
      <c r="AJ11">
        <v>1.233333333333333E-2</v>
      </c>
      <c r="AK11">
        <v>12.33333333333333</v>
      </c>
      <c r="AL11" t="s">
        <v>225</v>
      </c>
      <c r="AM11">
        <v>0</v>
      </c>
      <c r="AN11">
        <v>1.03</v>
      </c>
      <c r="AO11">
        <v>0.09</v>
      </c>
      <c r="AP11">
        <v>0.19</v>
      </c>
      <c r="AQ11">
        <v>0.74</v>
      </c>
      <c r="AR11">
        <v>0.68</v>
      </c>
      <c r="AS11">
        <v>0.04</v>
      </c>
      <c r="AT11">
        <v>0.01</v>
      </c>
      <c r="AU11">
        <v>0.02</v>
      </c>
      <c r="AV11">
        <v>1.95</v>
      </c>
      <c r="AW11">
        <v>0.96</v>
      </c>
      <c r="AX11">
        <v>0.21</v>
      </c>
      <c r="AY11">
        <v>0.53</v>
      </c>
      <c r="AZ11">
        <v>0</v>
      </c>
      <c r="BA11">
        <v>0.72</v>
      </c>
      <c r="BB11">
        <v>0.08</v>
      </c>
      <c r="BC11">
        <v>0.15</v>
      </c>
      <c r="BD11">
        <v>0.27</v>
      </c>
      <c r="BE11">
        <v>6.28</v>
      </c>
      <c r="BF11">
        <v>5.59</v>
      </c>
      <c r="BG11">
        <v>0.24</v>
      </c>
      <c r="BH11">
        <v>0.45</v>
      </c>
      <c r="BI11">
        <v>0</v>
      </c>
      <c r="BJ11">
        <v>0.04</v>
      </c>
      <c r="BK11">
        <v>5.55</v>
      </c>
      <c r="BL11">
        <v>0</v>
      </c>
      <c r="BM11">
        <v>1.51</v>
      </c>
      <c r="BN11">
        <v>0.21</v>
      </c>
      <c r="BO11">
        <v>0.46</v>
      </c>
      <c r="BP11">
        <v>0.84</v>
      </c>
      <c r="BQ11">
        <v>0.67</v>
      </c>
      <c r="BR11">
        <v>0.06</v>
      </c>
      <c r="BS11">
        <v>0.11</v>
      </c>
      <c r="BT11">
        <v>0</v>
      </c>
      <c r="BU11">
        <v>6.68</v>
      </c>
      <c r="BV11">
        <v>5.62</v>
      </c>
      <c r="BW11">
        <v>0.34</v>
      </c>
      <c r="BX11">
        <v>0.72</v>
      </c>
      <c r="BY11">
        <v>0</v>
      </c>
      <c r="BZ11">
        <v>0.04</v>
      </c>
      <c r="CA11">
        <v>5.58</v>
      </c>
      <c r="CB11">
        <v>0</v>
      </c>
      <c r="CC11">
        <f t="shared" si="0"/>
        <v>2.75</v>
      </c>
      <c r="CD11">
        <v>3.96</v>
      </c>
      <c r="CE11">
        <v>0.34230769230769231</v>
      </c>
      <c r="CF11">
        <v>0.44500000000000001</v>
      </c>
      <c r="CG11">
        <v>0.1492537313432836</v>
      </c>
      <c r="CH11">
        <v>0.28776223776223769</v>
      </c>
      <c r="CI11">
        <v>0</v>
      </c>
      <c r="CJ11">
        <v>5428</v>
      </c>
      <c r="CK11" t="s">
        <v>141</v>
      </c>
      <c r="CL11" t="s">
        <v>142</v>
      </c>
      <c r="CM11" t="s">
        <v>143</v>
      </c>
      <c r="CN11">
        <v>0.19281045083699999</v>
      </c>
      <c r="CO11">
        <v>2.8142783866160941</v>
      </c>
      <c r="CP11">
        <v>10</v>
      </c>
      <c r="CQ11" t="s">
        <v>188</v>
      </c>
      <c r="CR11">
        <v>85</v>
      </c>
      <c r="CS11" t="s">
        <v>172</v>
      </c>
      <c r="CT11" t="s">
        <v>173</v>
      </c>
      <c r="CU11" t="s">
        <v>167</v>
      </c>
      <c r="CV11" t="s">
        <v>174</v>
      </c>
      <c r="CW11" t="s">
        <v>175</v>
      </c>
      <c r="CX11" t="s">
        <v>176</v>
      </c>
      <c r="CY11" t="s">
        <v>177</v>
      </c>
      <c r="CZ11" t="s">
        <v>151</v>
      </c>
      <c r="DA11" t="s">
        <v>152</v>
      </c>
      <c r="DB11" t="s">
        <v>178</v>
      </c>
      <c r="DC11" t="s">
        <v>179</v>
      </c>
      <c r="DD11" t="s">
        <v>180</v>
      </c>
      <c r="DE11">
        <v>1762</v>
      </c>
      <c r="DF11">
        <v>-97.658204999999995</v>
      </c>
      <c r="DG11">
        <v>26.763223</v>
      </c>
      <c r="DH11">
        <v>9000</v>
      </c>
      <c r="DI11">
        <v>1000</v>
      </c>
      <c r="DL11">
        <v>19</v>
      </c>
      <c r="DM11">
        <v>15</v>
      </c>
      <c r="DN11">
        <v>25</v>
      </c>
      <c r="DO11">
        <v>420</v>
      </c>
      <c r="DP11">
        <v>50</v>
      </c>
      <c r="DQ11">
        <v>6000</v>
      </c>
      <c r="DR11">
        <v>75000</v>
      </c>
      <c r="DS11" t="s">
        <v>181</v>
      </c>
      <c r="DT11">
        <v>1.2500000000000001E-2</v>
      </c>
      <c r="DU11">
        <v>1.2500000000000001E-2</v>
      </c>
      <c r="DV11">
        <v>0.32500000000000001</v>
      </c>
      <c r="DW11">
        <v>0.32500000000000001</v>
      </c>
      <c r="DX11">
        <v>0.32500000000000001</v>
      </c>
      <c r="DY11">
        <v>0</v>
      </c>
      <c r="DZ11" s="4">
        <v>3.4470000000000001</v>
      </c>
      <c r="EA11" s="4" t="s">
        <v>182</v>
      </c>
      <c r="EB11" s="4" t="s">
        <v>183</v>
      </c>
      <c r="EC11">
        <v>4.4379999999999997</v>
      </c>
      <c r="ED11">
        <v>454</v>
      </c>
      <c r="EE11" t="s">
        <v>225</v>
      </c>
      <c r="EF11">
        <v>0</v>
      </c>
      <c r="EH11">
        <f t="shared" si="1"/>
        <v>0.58000000000000007</v>
      </c>
      <c r="EI11">
        <v>3.38</v>
      </c>
      <c r="EJ11">
        <v>3.65</v>
      </c>
    </row>
    <row r="12" spans="1:140" x14ac:dyDescent="0.35">
      <c r="A12" s="1">
        <v>10</v>
      </c>
      <c r="B12">
        <v>-95.11794317909154</v>
      </c>
      <c r="C12">
        <v>28.537824999375129</v>
      </c>
      <c r="D12" t="s">
        <v>226</v>
      </c>
      <c r="E12">
        <v>0.02</v>
      </c>
      <c r="F12" t="s">
        <v>160</v>
      </c>
      <c r="G12">
        <v>3.1099999999999999E-2</v>
      </c>
      <c r="H12" t="s">
        <v>161</v>
      </c>
      <c r="I12">
        <v>-10588481</v>
      </c>
      <c r="J12">
        <v>3316952</v>
      </c>
      <c r="K12" t="s">
        <v>165</v>
      </c>
      <c r="L12" t="s">
        <v>227</v>
      </c>
      <c r="M12">
        <v>20</v>
      </c>
      <c r="N12">
        <v>3.33</v>
      </c>
      <c r="O12">
        <v>3</v>
      </c>
      <c r="P12">
        <v>7</v>
      </c>
      <c r="Q12">
        <v>48</v>
      </c>
      <c r="R12">
        <v>39</v>
      </c>
      <c r="S12">
        <v>372040</v>
      </c>
      <c r="T12" t="s">
        <v>167</v>
      </c>
      <c r="U12">
        <v>4.3100995732574674</v>
      </c>
      <c r="V12" t="s">
        <v>165</v>
      </c>
      <c r="W12">
        <v>9.7899999999999987E-2</v>
      </c>
      <c r="X12">
        <v>10</v>
      </c>
      <c r="Y12">
        <v>8.9</v>
      </c>
      <c r="Z12">
        <v>8.9</v>
      </c>
      <c r="AA12">
        <v>20</v>
      </c>
      <c r="AB12">
        <v>26</v>
      </c>
      <c r="AC12">
        <v>0.82299999999999995</v>
      </c>
      <c r="AD12">
        <v>67</v>
      </c>
      <c r="AE12">
        <v>0.1308010171646535</v>
      </c>
      <c r="AF12">
        <v>2.86</v>
      </c>
      <c r="AG12" t="s">
        <v>167</v>
      </c>
      <c r="AH12" t="s">
        <v>165</v>
      </c>
      <c r="AI12">
        <v>37</v>
      </c>
      <c r="AJ12">
        <v>1.233333333333333E-2</v>
      </c>
      <c r="AK12">
        <v>12.33333333333333</v>
      </c>
      <c r="AL12" t="s">
        <v>228</v>
      </c>
      <c r="AM12">
        <v>51501.658010607658</v>
      </c>
      <c r="AN12">
        <v>1.03</v>
      </c>
      <c r="AO12">
        <v>0.09</v>
      </c>
      <c r="AP12">
        <v>0.19</v>
      </c>
      <c r="AQ12">
        <v>0.74</v>
      </c>
      <c r="AR12">
        <v>0.68</v>
      </c>
      <c r="AS12">
        <v>0.04</v>
      </c>
      <c r="AT12">
        <v>0.01</v>
      </c>
      <c r="AU12">
        <v>0.02</v>
      </c>
      <c r="AV12">
        <v>1.95</v>
      </c>
      <c r="AW12">
        <v>0.96</v>
      </c>
      <c r="AX12">
        <v>0.21</v>
      </c>
      <c r="AY12">
        <v>0.53</v>
      </c>
      <c r="AZ12">
        <v>0</v>
      </c>
      <c r="BA12">
        <v>0.72</v>
      </c>
      <c r="BB12">
        <v>0.08</v>
      </c>
      <c r="BC12">
        <v>0.15</v>
      </c>
      <c r="BD12">
        <v>0.27</v>
      </c>
      <c r="BE12">
        <v>6.28</v>
      </c>
      <c r="BF12">
        <v>5.59</v>
      </c>
      <c r="BG12">
        <v>0.24</v>
      </c>
      <c r="BH12">
        <v>0.45</v>
      </c>
      <c r="BI12">
        <v>0</v>
      </c>
      <c r="BJ12">
        <v>0.04</v>
      </c>
      <c r="BK12">
        <v>5.55</v>
      </c>
      <c r="BL12">
        <v>0</v>
      </c>
      <c r="BM12">
        <v>1.51</v>
      </c>
      <c r="BN12">
        <v>0.21</v>
      </c>
      <c r="BO12">
        <v>0.46</v>
      </c>
      <c r="BP12">
        <v>0.84</v>
      </c>
      <c r="BQ12">
        <v>0.67</v>
      </c>
      <c r="BR12">
        <v>0.06</v>
      </c>
      <c r="BS12">
        <v>0.11</v>
      </c>
      <c r="BT12">
        <v>0</v>
      </c>
      <c r="BU12">
        <v>6.68</v>
      </c>
      <c r="BV12">
        <v>5.62</v>
      </c>
      <c r="BW12">
        <v>0.34</v>
      </c>
      <c r="BX12">
        <v>0.72</v>
      </c>
      <c r="BY12">
        <v>0</v>
      </c>
      <c r="BZ12">
        <v>0.04</v>
      </c>
      <c r="CA12">
        <v>5.58</v>
      </c>
      <c r="CB12">
        <v>0</v>
      </c>
      <c r="CC12">
        <f t="shared" si="0"/>
        <v>2.75</v>
      </c>
      <c r="CD12">
        <v>3.96</v>
      </c>
      <c r="CE12">
        <v>0.34230769230769231</v>
      </c>
      <c r="CF12">
        <v>0.44500000000000001</v>
      </c>
      <c r="CG12">
        <v>0.1492537313432836</v>
      </c>
      <c r="CH12">
        <v>0.28776223776223769</v>
      </c>
      <c r="CI12">
        <v>0</v>
      </c>
      <c r="CJ12">
        <v>27073</v>
      </c>
      <c r="CK12" t="s">
        <v>141</v>
      </c>
      <c r="CL12" t="s">
        <v>187</v>
      </c>
      <c r="CM12" t="s">
        <v>143</v>
      </c>
      <c r="CN12">
        <v>1.5641134613600002E-2</v>
      </c>
      <c r="CO12">
        <v>5.1359840596367938</v>
      </c>
      <c r="CP12">
        <v>11</v>
      </c>
      <c r="CQ12" t="s">
        <v>188</v>
      </c>
      <c r="CR12">
        <v>85</v>
      </c>
      <c r="CS12" t="s">
        <v>172</v>
      </c>
      <c r="CT12" t="s">
        <v>173</v>
      </c>
      <c r="CU12" t="s">
        <v>167</v>
      </c>
      <c r="CV12" t="s">
        <v>174</v>
      </c>
      <c r="CW12" t="s">
        <v>175</v>
      </c>
      <c r="CX12" t="s">
        <v>176</v>
      </c>
      <c r="CY12" t="s">
        <v>177</v>
      </c>
      <c r="CZ12" t="s">
        <v>151</v>
      </c>
      <c r="DA12" t="s">
        <v>152</v>
      </c>
      <c r="DB12" t="s">
        <v>178</v>
      </c>
      <c r="DC12" t="s">
        <v>179</v>
      </c>
      <c r="DD12" t="s">
        <v>180</v>
      </c>
      <c r="DE12">
        <v>1762</v>
      </c>
      <c r="DF12">
        <v>-97.658204999999995</v>
      </c>
      <c r="DG12">
        <v>26.763223</v>
      </c>
      <c r="DH12">
        <v>9000</v>
      </c>
      <c r="DI12">
        <v>1000</v>
      </c>
      <c r="DL12">
        <v>19</v>
      </c>
      <c r="DM12">
        <v>15</v>
      </c>
      <c r="DN12">
        <v>25</v>
      </c>
      <c r="DO12">
        <v>420</v>
      </c>
      <c r="DP12">
        <v>50</v>
      </c>
      <c r="DQ12">
        <v>6000</v>
      </c>
      <c r="DR12">
        <v>75000</v>
      </c>
      <c r="DS12" t="s">
        <v>181</v>
      </c>
      <c r="DT12">
        <v>1.2500000000000001E-2</v>
      </c>
      <c r="DU12">
        <v>1.2500000000000001E-2</v>
      </c>
      <c r="DV12">
        <v>0.32500000000000001</v>
      </c>
      <c r="DW12">
        <v>0.32500000000000001</v>
      </c>
      <c r="DX12">
        <v>0.32500000000000001</v>
      </c>
      <c r="DY12">
        <v>0</v>
      </c>
      <c r="DZ12" s="4">
        <v>3.4470000000000001</v>
      </c>
      <c r="EA12" s="4" t="s">
        <v>182</v>
      </c>
      <c r="EB12" s="4" t="s">
        <v>183</v>
      </c>
      <c r="EC12">
        <v>4.4379999999999997</v>
      </c>
      <c r="ED12">
        <v>380</v>
      </c>
      <c r="EE12" t="s">
        <v>228</v>
      </c>
      <c r="EF12">
        <v>0.42539144732419631</v>
      </c>
      <c r="EH12">
        <f t="shared" si="1"/>
        <v>0.58000000000000007</v>
      </c>
      <c r="EI12">
        <v>3.38</v>
      </c>
      <c r="EJ12">
        <v>3.65</v>
      </c>
    </row>
    <row r="13" spans="1:140" x14ac:dyDescent="0.35">
      <c r="A13" s="1">
        <v>11</v>
      </c>
      <c r="B13">
        <v>-91.524682042613449</v>
      </c>
      <c r="C13">
        <v>28.537824999375129</v>
      </c>
      <c r="D13" t="s">
        <v>229</v>
      </c>
      <c r="E13">
        <v>0.02</v>
      </c>
      <c r="F13" t="s">
        <v>160</v>
      </c>
      <c r="G13">
        <v>3.1099999999999999E-2</v>
      </c>
      <c r="H13" t="s">
        <v>161</v>
      </c>
      <c r="I13">
        <v>-10188481</v>
      </c>
      <c r="J13">
        <v>3316952</v>
      </c>
      <c r="K13" t="s">
        <v>230</v>
      </c>
      <c r="L13" t="s">
        <v>231</v>
      </c>
      <c r="M13">
        <v>55</v>
      </c>
      <c r="N13">
        <v>3.4470000000000001</v>
      </c>
      <c r="T13" t="s">
        <v>232</v>
      </c>
      <c r="U13">
        <v>4.7114090123958539</v>
      </c>
      <c r="V13" t="s">
        <v>230</v>
      </c>
      <c r="W13">
        <v>8.8000000000000009E-2</v>
      </c>
      <c r="X13">
        <v>10</v>
      </c>
      <c r="Y13">
        <v>8.9</v>
      </c>
      <c r="Z13">
        <v>8.9</v>
      </c>
      <c r="AA13">
        <v>20</v>
      </c>
      <c r="AB13">
        <v>26</v>
      </c>
      <c r="AC13">
        <v>0.92700000000000005</v>
      </c>
      <c r="AD13">
        <v>67</v>
      </c>
      <c r="AE13">
        <v>0.14732994278448819</v>
      </c>
      <c r="AF13">
        <v>2.86</v>
      </c>
      <c r="AG13" t="s">
        <v>232</v>
      </c>
      <c r="AH13" t="s">
        <v>230</v>
      </c>
      <c r="AI13">
        <v>21</v>
      </c>
      <c r="AJ13">
        <v>7.0000000000000001E-3</v>
      </c>
      <c r="AK13">
        <v>7</v>
      </c>
      <c r="AL13" t="s">
        <v>233</v>
      </c>
      <c r="AM13">
        <v>92676.750757711532</v>
      </c>
      <c r="AN13">
        <v>1.0900000000000001</v>
      </c>
      <c r="AO13">
        <v>0.09</v>
      </c>
      <c r="AP13">
        <v>0.19</v>
      </c>
      <c r="AQ13">
        <v>0.8</v>
      </c>
      <c r="AR13">
        <v>0.74</v>
      </c>
      <c r="AS13">
        <v>0.04</v>
      </c>
      <c r="AT13">
        <v>0.01</v>
      </c>
      <c r="AU13">
        <v>0.02</v>
      </c>
      <c r="AV13">
        <v>2</v>
      </c>
      <c r="AW13">
        <v>1.01</v>
      </c>
      <c r="AX13">
        <v>0.21</v>
      </c>
      <c r="AY13">
        <v>0.53</v>
      </c>
      <c r="AZ13">
        <v>0</v>
      </c>
      <c r="BA13">
        <v>0.79</v>
      </c>
      <c r="BB13">
        <v>0.08</v>
      </c>
      <c r="BC13">
        <v>0.14000000000000001</v>
      </c>
      <c r="BD13">
        <v>0.27</v>
      </c>
      <c r="BE13">
        <v>5.72</v>
      </c>
      <c r="BF13">
        <v>5.03</v>
      </c>
      <c r="BG13">
        <v>0.24</v>
      </c>
      <c r="BH13">
        <v>0.45</v>
      </c>
      <c r="BI13">
        <v>0</v>
      </c>
      <c r="BJ13">
        <v>0.04</v>
      </c>
      <c r="BK13">
        <v>4.99</v>
      </c>
      <c r="BL13">
        <v>0</v>
      </c>
      <c r="BM13">
        <v>1.56</v>
      </c>
      <c r="BN13">
        <v>0.21</v>
      </c>
      <c r="BO13">
        <v>0.46</v>
      </c>
      <c r="BP13">
        <v>0.89</v>
      </c>
      <c r="BQ13">
        <v>0.73</v>
      </c>
      <c r="BR13">
        <v>0.06</v>
      </c>
      <c r="BS13">
        <v>0.1</v>
      </c>
      <c r="BT13">
        <v>0</v>
      </c>
      <c r="BU13">
        <v>6.12</v>
      </c>
      <c r="BV13">
        <v>5.0599999999999996</v>
      </c>
      <c r="BW13">
        <v>0.34</v>
      </c>
      <c r="BX13">
        <v>0.72</v>
      </c>
      <c r="BY13">
        <v>0</v>
      </c>
      <c r="BZ13">
        <v>0.04</v>
      </c>
      <c r="CA13">
        <v>5.0199999999999996</v>
      </c>
      <c r="CB13">
        <v>0</v>
      </c>
      <c r="CC13">
        <f t="shared" si="0"/>
        <v>2.75</v>
      </c>
      <c r="CD13">
        <v>3.96</v>
      </c>
      <c r="CE13">
        <v>0.34230769230769231</v>
      </c>
      <c r="CF13">
        <v>0.44500000000000001</v>
      </c>
      <c r="CG13">
        <v>0.1492537313432836</v>
      </c>
      <c r="CH13">
        <v>0.32412587412587418</v>
      </c>
      <c r="CI13">
        <v>0</v>
      </c>
      <c r="CJ13">
        <v>22217</v>
      </c>
      <c r="CK13" t="s">
        <v>141</v>
      </c>
      <c r="CL13" t="s">
        <v>234</v>
      </c>
      <c r="CM13" t="s">
        <v>143</v>
      </c>
      <c r="CN13">
        <v>4.7766514798600002E-2</v>
      </c>
      <c r="CO13">
        <v>1.1287597677883521</v>
      </c>
      <c r="CP13">
        <v>12</v>
      </c>
      <c r="CQ13" t="s">
        <v>188</v>
      </c>
      <c r="CR13">
        <v>85</v>
      </c>
      <c r="CS13" t="s">
        <v>172</v>
      </c>
      <c r="CT13" t="s">
        <v>173</v>
      </c>
      <c r="CU13" t="s">
        <v>167</v>
      </c>
      <c r="CV13" t="s">
        <v>174</v>
      </c>
      <c r="CW13" t="s">
        <v>175</v>
      </c>
      <c r="CX13" t="s">
        <v>176</v>
      </c>
      <c r="CY13" t="s">
        <v>177</v>
      </c>
      <c r="CZ13" t="s">
        <v>151</v>
      </c>
      <c r="DA13" t="s">
        <v>152</v>
      </c>
      <c r="DB13" t="s">
        <v>178</v>
      </c>
      <c r="DC13" t="s">
        <v>179</v>
      </c>
      <c r="DD13" t="s">
        <v>180</v>
      </c>
      <c r="DE13">
        <v>1762</v>
      </c>
      <c r="DF13">
        <v>-97.658204999999995</v>
      </c>
      <c r="DG13">
        <v>26.763223</v>
      </c>
      <c r="DH13">
        <v>9000</v>
      </c>
      <c r="DI13">
        <v>1000</v>
      </c>
      <c r="DL13">
        <v>19</v>
      </c>
      <c r="DM13">
        <v>15</v>
      </c>
      <c r="DN13">
        <v>25</v>
      </c>
      <c r="DO13">
        <v>420</v>
      </c>
      <c r="DP13">
        <v>50</v>
      </c>
      <c r="DQ13">
        <v>6000</v>
      </c>
      <c r="DR13">
        <v>75000</v>
      </c>
      <c r="DS13" t="s">
        <v>181</v>
      </c>
      <c r="DT13">
        <v>1.2500000000000001E-2</v>
      </c>
      <c r="DU13">
        <v>1.2500000000000001E-2</v>
      </c>
      <c r="DV13">
        <v>0.32500000000000001</v>
      </c>
      <c r="DW13">
        <v>0.32500000000000001</v>
      </c>
      <c r="DX13">
        <v>0.32500000000000001</v>
      </c>
      <c r="DY13">
        <v>0</v>
      </c>
      <c r="DZ13" s="4">
        <v>3.4790000000000001</v>
      </c>
      <c r="EA13" s="4" t="s">
        <v>235</v>
      </c>
      <c r="EB13" s="4" t="s">
        <v>236</v>
      </c>
      <c r="EC13">
        <v>4.4269999999999996</v>
      </c>
      <c r="ED13">
        <v>266</v>
      </c>
      <c r="EE13" t="s">
        <v>233</v>
      </c>
      <c r="EF13">
        <v>0.75365771679148674</v>
      </c>
      <c r="EH13">
        <f t="shared" si="1"/>
        <v>0.58000000000000007</v>
      </c>
      <c r="EI13">
        <v>3.38</v>
      </c>
      <c r="EJ13">
        <v>3.65</v>
      </c>
    </row>
    <row r="14" spans="1:140" x14ac:dyDescent="0.35">
      <c r="A14" s="1">
        <v>12</v>
      </c>
      <c r="B14">
        <v>-89.728051474374411</v>
      </c>
      <c r="C14">
        <v>28.537824999375129</v>
      </c>
      <c r="D14" t="s">
        <v>237</v>
      </c>
      <c r="E14">
        <v>0.02</v>
      </c>
      <c r="F14" t="s">
        <v>160</v>
      </c>
      <c r="G14">
        <v>3.1099999999999999E-2</v>
      </c>
      <c r="H14" t="s">
        <v>161</v>
      </c>
      <c r="I14">
        <v>-9988481</v>
      </c>
      <c r="J14">
        <v>3316952</v>
      </c>
      <c r="K14" t="s">
        <v>230</v>
      </c>
      <c r="L14" t="s">
        <v>238</v>
      </c>
      <c r="M14">
        <v>38</v>
      </c>
      <c r="N14">
        <v>3.8140000000000001</v>
      </c>
      <c r="T14" t="s">
        <v>232</v>
      </c>
      <c r="U14">
        <v>4.7114090123958539</v>
      </c>
      <c r="V14" t="s">
        <v>230</v>
      </c>
      <c r="W14">
        <v>8.8000000000000009E-2</v>
      </c>
      <c r="X14">
        <v>10</v>
      </c>
      <c r="Y14">
        <v>8.9</v>
      </c>
      <c r="Z14">
        <v>8.9</v>
      </c>
      <c r="AA14">
        <v>20</v>
      </c>
      <c r="AB14">
        <v>26</v>
      </c>
      <c r="AC14">
        <v>0.92700000000000005</v>
      </c>
      <c r="AD14">
        <v>67</v>
      </c>
      <c r="AE14">
        <v>0.14732994278448819</v>
      </c>
      <c r="AF14">
        <v>2.86</v>
      </c>
      <c r="AG14" t="s">
        <v>232</v>
      </c>
      <c r="AH14" t="s">
        <v>230</v>
      </c>
      <c r="AI14">
        <v>21</v>
      </c>
      <c r="AJ14">
        <v>7.0000000000000001E-3</v>
      </c>
      <c r="AK14">
        <v>7</v>
      </c>
      <c r="AL14" t="s">
        <v>239</v>
      </c>
      <c r="AM14">
        <v>60432.639517421092</v>
      </c>
      <c r="AN14">
        <v>1.0900000000000001</v>
      </c>
      <c r="AO14">
        <v>0.09</v>
      </c>
      <c r="AP14">
        <v>0.19</v>
      </c>
      <c r="AQ14">
        <v>0.8</v>
      </c>
      <c r="AR14">
        <v>0.74</v>
      </c>
      <c r="AS14">
        <v>0.04</v>
      </c>
      <c r="AT14">
        <v>0.01</v>
      </c>
      <c r="AU14">
        <v>0.02</v>
      </c>
      <c r="AV14">
        <v>2</v>
      </c>
      <c r="AW14">
        <v>1.01</v>
      </c>
      <c r="AX14">
        <v>0.21</v>
      </c>
      <c r="AY14">
        <v>0.53</v>
      </c>
      <c r="AZ14">
        <v>0</v>
      </c>
      <c r="BA14">
        <v>0.79</v>
      </c>
      <c r="BB14">
        <v>0.08</v>
      </c>
      <c r="BC14">
        <v>0.14000000000000001</v>
      </c>
      <c r="BD14">
        <v>0.27</v>
      </c>
      <c r="BE14">
        <v>5.72</v>
      </c>
      <c r="BF14">
        <v>5.03</v>
      </c>
      <c r="BG14">
        <v>0.24</v>
      </c>
      <c r="BH14">
        <v>0.45</v>
      </c>
      <c r="BI14">
        <v>0</v>
      </c>
      <c r="BJ14">
        <v>0.04</v>
      </c>
      <c r="BK14">
        <v>4.99</v>
      </c>
      <c r="BL14">
        <v>0</v>
      </c>
      <c r="BM14">
        <v>1.56</v>
      </c>
      <c r="BN14">
        <v>0.21</v>
      </c>
      <c r="BO14">
        <v>0.46</v>
      </c>
      <c r="BP14">
        <v>0.89</v>
      </c>
      <c r="BQ14">
        <v>0.73</v>
      </c>
      <c r="BR14">
        <v>0.06</v>
      </c>
      <c r="BS14">
        <v>0.1</v>
      </c>
      <c r="BT14">
        <v>0</v>
      </c>
      <c r="BU14">
        <v>6.12</v>
      </c>
      <c r="BV14">
        <v>5.0599999999999996</v>
      </c>
      <c r="BW14">
        <v>0.34</v>
      </c>
      <c r="BX14">
        <v>0.72</v>
      </c>
      <c r="BY14">
        <v>0</v>
      </c>
      <c r="BZ14">
        <v>0.04</v>
      </c>
      <c r="CA14">
        <v>5.0199999999999996</v>
      </c>
      <c r="CB14">
        <v>0</v>
      </c>
      <c r="CC14">
        <f t="shared" si="0"/>
        <v>2.75</v>
      </c>
      <c r="CD14">
        <v>3.96</v>
      </c>
      <c r="CE14">
        <v>0.34230769230769231</v>
      </c>
      <c r="CF14">
        <v>0.44500000000000001</v>
      </c>
      <c r="CG14">
        <v>0.1492537313432836</v>
      </c>
      <c r="CH14">
        <v>0.32412587412587418</v>
      </c>
      <c r="CI14">
        <v>0</v>
      </c>
      <c r="CJ14">
        <v>22893</v>
      </c>
      <c r="CK14" t="s">
        <v>141</v>
      </c>
      <c r="CL14" t="s">
        <v>240</v>
      </c>
      <c r="CM14" t="s">
        <v>143</v>
      </c>
      <c r="CN14">
        <v>0.35703470945499999</v>
      </c>
      <c r="CO14">
        <v>9.255960763376855</v>
      </c>
      <c r="CP14">
        <v>13</v>
      </c>
      <c r="CQ14" t="s">
        <v>188</v>
      </c>
      <c r="CR14">
        <v>85</v>
      </c>
      <c r="CS14" t="s">
        <v>172</v>
      </c>
      <c r="CT14" t="s">
        <v>173</v>
      </c>
      <c r="CU14" t="s">
        <v>167</v>
      </c>
      <c r="CV14" t="s">
        <v>174</v>
      </c>
      <c r="CW14" t="s">
        <v>175</v>
      </c>
      <c r="CX14" t="s">
        <v>176</v>
      </c>
      <c r="CY14" t="s">
        <v>177</v>
      </c>
      <c r="CZ14" t="s">
        <v>151</v>
      </c>
      <c r="DA14" t="s">
        <v>152</v>
      </c>
      <c r="DB14" t="s">
        <v>178</v>
      </c>
      <c r="DC14" t="s">
        <v>179</v>
      </c>
      <c r="DD14" t="s">
        <v>180</v>
      </c>
      <c r="DE14">
        <v>1762</v>
      </c>
      <c r="DF14">
        <v>-97.658204999999995</v>
      </c>
      <c r="DG14">
        <v>26.763223</v>
      </c>
      <c r="DH14">
        <v>9000</v>
      </c>
      <c r="DI14">
        <v>1000</v>
      </c>
      <c r="DL14">
        <v>19</v>
      </c>
      <c r="DM14">
        <v>15</v>
      </c>
      <c r="DN14">
        <v>25</v>
      </c>
      <c r="DO14">
        <v>420</v>
      </c>
      <c r="DP14">
        <v>50</v>
      </c>
      <c r="DQ14">
        <v>6000</v>
      </c>
      <c r="DR14">
        <v>75000</v>
      </c>
      <c r="DS14" t="s">
        <v>181</v>
      </c>
      <c r="DT14">
        <v>1.2500000000000001E-2</v>
      </c>
      <c r="DU14">
        <v>1.2500000000000001E-2</v>
      </c>
      <c r="DV14">
        <v>0.32500000000000001</v>
      </c>
      <c r="DW14">
        <v>0.32500000000000001</v>
      </c>
      <c r="DX14">
        <v>0.32500000000000001</v>
      </c>
      <c r="DY14">
        <v>0</v>
      </c>
      <c r="DZ14" s="4">
        <v>3.4790000000000001</v>
      </c>
      <c r="EA14" s="4" t="s">
        <v>235</v>
      </c>
      <c r="EB14" s="4" t="s">
        <v>236</v>
      </c>
      <c r="EC14">
        <v>4.4269999999999996</v>
      </c>
      <c r="ED14">
        <v>73</v>
      </c>
      <c r="EE14" t="s">
        <v>239</v>
      </c>
      <c r="EF14">
        <v>0.49854987005623319</v>
      </c>
      <c r="EH14">
        <f t="shared" si="1"/>
        <v>0.58000000000000007</v>
      </c>
      <c r="EI14">
        <v>3.38</v>
      </c>
      <c r="EJ14">
        <v>3.65</v>
      </c>
    </row>
    <row r="15" spans="1:140" x14ac:dyDescent="0.35">
      <c r="A15" s="1">
        <v>13</v>
      </c>
      <c r="B15">
        <v>-82.541529201418243</v>
      </c>
      <c r="C15">
        <v>28.537824999375129</v>
      </c>
      <c r="D15" t="s">
        <v>241</v>
      </c>
      <c r="E15">
        <v>0.02</v>
      </c>
      <c r="F15" t="s">
        <v>160</v>
      </c>
      <c r="G15">
        <v>5.7500000000000002E-2</v>
      </c>
      <c r="H15" t="s">
        <v>161</v>
      </c>
      <c r="I15">
        <v>-9188481</v>
      </c>
      <c r="J15">
        <v>3316952</v>
      </c>
      <c r="K15" t="s">
        <v>137</v>
      </c>
      <c r="L15" t="s">
        <v>242</v>
      </c>
      <c r="M15">
        <v>26</v>
      </c>
      <c r="N15">
        <v>3.8490000000000002</v>
      </c>
      <c r="O15">
        <v>3</v>
      </c>
      <c r="P15">
        <v>5</v>
      </c>
      <c r="Q15">
        <v>12</v>
      </c>
      <c r="R15">
        <v>53</v>
      </c>
      <c r="S15">
        <v>194515</v>
      </c>
      <c r="T15" t="s">
        <v>139</v>
      </c>
      <c r="U15">
        <v>7.3602943056585426</v>
      </c>
      <c r="V15" t="s">
        <v>137</v>
      </c>
      <c r="W15">
        <v>0.12529999999999999</v>
      </c>
      <c r="X15">
        <v>10</v>
      </c>
      <c r="Y15">
        <v>8.9</v>
      </c>
      <c r="Z15">
        <v>8.9</v>
      </c>
      <c r="AA15">
        <v>20</v>
      </c>
      <c r="AB15">
        <v>26</v>
      </c>
      <c r="AC15">
        <v>0.76500000000000001</v>
      </c>
      <c r="AD15">
        <v>67</v>
      </c>
      <c r="AE15">
        <v>0.1215829624920534</v>
      </c>
      <c r="AF15">
        <v>2.86</v>
      </c>
      <c r="AG15" t="s">
        <v>139</v>
      </c>
      <c r="AH15" t="s">
        <v>137</v>
      </c>
      <c r="AI15">
        <v>33</v>
      </c>
      <c r="AJ15">
        <v>1.0999999999999999E-2</v>
      </c>
      <c r="AK15">
        <v>11</v>
      </c>
      <c r="AL15" t="s">
        <v>243</v>
      </c>
      <c r="AM15">
        <v>0</v>
      </c>
      <c r="AN15">
        <v>1.51</v>
      </c>
      <c r="AO15">
        <v>0.09</v>
      </c>
      <c r="AP15">
        <v>0.19</v>
      </c>
      <c r="AQ15">
        <v>1.22</v>
      </c>
      <c r="AR15">
        <v>1.1599999999999999</v>
      </c>
      <c r="AS15">
        <v>0.04</v>
      </c>
      <c r="AT15">
        <v>0.02</v>
      </c>
      <c r="AU15">
        <v>0.02</v>
      </c>
      <c r="AV15">
        <v>2.5099999999999998</v>
      </c>
      <c r="AW15">
        <v>1.51</v>
      </c>
      <c r="AX15">
        <v>0.21</v>
      </c>
      <c r="AY15">
        <v>0.53</v>
      </c>
      <c r="AZ15">
        <v>0</v>
      </c>
      <c r="BA15">
        <v>1.24</v>
      </c>
      <c r="BB15">
        <v>0.08</v>
      </c>
      <c r="BC15">
        <v>0.2</v>
      </c>
      <c r="BD15">
        <v>0.27</v>
      </c>
      <c r="BE15">
        <v>7.94</v>
      </c>
      <c r="BF15">
        <v>7.25</v>
      </c>
      <c r="BG15">
        <v>0.24</v>
      </c>
      <c r="BH15">
        <v>0.45</v>
      </c>
      <c r="BI15">
        <v>0</v>
      </c>
      <c r="BJ15">
        <v>0.04</v>
      </c>
      <c r="BK15">
        <v>7.21</v>
      </c>
      <c r="BL15">
        <v>0</v>
      </c>
      <c r="BM15">
        <v>2.02</v>
      </c>
      <c r="BN15">
        <v>0.21</v>
      </c>
      <c r="BO15">
        <v>0.46</v>
      </c>
      <c r="BP15">
        <v>1.35</v>
      </c>
      <c r="BQ15">
        <v>1.1499999999999999</v>
      </c>
      <c r="BR15">
        <v>0.06</v>
      </c>
      <c r="BS15">
        <v>0.14000000000000001</v>
      </c>
      <c r="BT15">
        <v>0</v>
      </c>
      <c r="BU15">
        <v>8.35</v>
      </c>
      <c r="BV15">
        <v>7.29</v>
      </c>
      <c r="BW15">
        <v>0.34</v>
      </c>
      <c r="BX15">
        <v>0.72</v>
      </c>
      <c r="BY15">
        <v>0</v>
      </c>
      <c r="BZ15">
        <v>0.04</v>
      </c>
      <c r="CA15">
        <v>7.25</v>
      </c>
      <c r="CB15">
        <v>0</v>
      </c>
      <c r="CC15">
        <f t="shared" si="0"/>
        <v>2.75</v>
      </c>
      <c r="CD15">
        <v>3.96</v>
      </c>
      <c r="CE15">
        <v>0.34230769230769231</v>
      </c>
      <c r="CF15">
        <v>0.44500000000000001</v>
      </c>
      <c r="CG15">
        <v>0.1492537313432836</v>
      </c>
      <c r="CH15">
        <v>0.2674825174825175</v>
      </c>
      <c r="CI15">
        <v>0</v>
      </c>
      <c r="CJ15">
        <v>5571</v>
      </c>
      <c r="CK15" t="s">
        <v>141</v>
      </c>
      <c r="CL15" t="s">
        <v>142</v>
      </c>
      <c r="CM15" t="s">
        <v>143</v>
      </c>
      <c r="CN15">
        <v>0.74831903419599999</v>
      </c>
      <c r="CO15">
        <v>2.9369954137409988</v>
      </c>
      <c r="CP15">
        <v>14</v>
      </c>
      <c r="CQ15" t="s">
        <v>144</v>
      </c>
      <c r="CR15">
        <v>23</v>
      </c>
      <c r="CS15" t="s">
        <v>145</v>
      </c>
      <c r="CT15" t="s">
        <v>146</v>
      </c>
      <c r="CU15" t="s">
        <v>139</v>
      </c>
      <c r="CV15" t="s">
        <v>147</v>
      </c>
      <c r="CW15" t="s">
        <v>148</v>
      </c>
      <c r="CX15" t="s">
        <v>149</v>
      </c>
      <c r="CY15" t="s">
        <v>150</v>
      </c>
      <c r="CZ15" t="s">
        <v>151</v>
      </c>
      <c r="DA15" t="s">
        <v>152</v>
      </c>
      <c r="DB15" t="s">
        <v>153</v>
      </c>
      <c r="DC15" t="s">
        <v>154</v>
      </c>
      <c r="DD15" t="s">
        <v>155</v>
      </c>
      <c r="DE15">
        <v>889</v>
      </c>
      <c r="DF15">
        <v>-80.766133999999994</v>
      </c>
      <c r="DG15">
        <v>25.318594999999998</v>
      </c>
      <c r="DH15">
        <v>4600</v>
      </c>
      <c r="DI15">
        <v>300</v>
      </c>
      <c r="DK15">
        <v>111</v>
      </c>
      <c r="DL15">
        <v>23</v>
      </c>
      <c r="DM15">
        <v>18</v>
      </c>
      <c r="DN15">
        <v>25</v>
      </c>
      <c r="DO15">
        <v>25</v>
      </c>
      <c r="DP15">
        <v>5</v>
      </c>
      <c r="DQ15">
        <v>28</v>
      </c>
      <c r="DS15" t="s">
        <v>156</v>
      </c>
      <c r="DT15">
        <v>1.2500000000000001E-2</v>
      </c>
      <c r="DU15">
        <v>1.2500000000000001E-2</v>
      </c>
      <c r="DV15">
        <v>0.32500000000000001</v>
      </c>
      <c r="DW15">
        <v>0.32500000000000001</v>
      </c>
      <c r="DX15">
        <v>0.32500000000000001</v>
      </c>
      <c r="DY15">
        <v>0</v>
      </c>
      <c r="DZ15" s="4">
        <v>3.85</v>
      </c>
      <c r="EA15" s="4" t="s">
        <v>157</v>
      </c>
      <c r="EB15" s="4" t="s">
        <v>158</v>
      </c>
      <c r="EC15">
        <v>4.7039999999999997</v>
      </c>
      <c r="ED15">
        <v>925</v>
      </c>
      <c r="EE15" t="s">
        <v>243</v>
      </c>
      <c r="EF15">
        <v>0</v>
      </c>
      <c r="EH15">
        <f t="shared" si="1"/>
        <v>0.58000000000000007</v>
      </c>
      <c r="EI15">
        <v>3.38</v>
      </c>
      <c r="EJ15">
        <v>3.65</v>
      </c>
    </row>
    <row r="16" spans="1:140" x14ac:dyDescent="0.35">
      <c r="A16" s="1">
        <v>14</v>
      </c>
      <c r="B16">
        <v>-80.74489863317919</v>
      </c>
      <c r="C16">
        <v>28.537824999375129</v>
      </c>
      <c r="D16" t="s">
        <v>244</v>
      </c>
      <c r="E16">
        <v>0.02</v>
      </c>
      <c r="F16" t="s">
        <v>160</v>
      </c>
      <c r="G16">
        <v>5.7500000000000002E-2</v>
      </c>
      <c r="H16" t="s">
        <v>161</v>
      </c>
      <c r="I16">
        <v>-8988481</v>
      </c>
      <c r="J16">
        <v>3316952</v>
      </c>
      <c r="K16" t="s">
        <v>137</v>
      </c>
      <c r="L16" t="s">
        <v>245</v>
      </c>
      <c r="M16">
        <v>5</v>
      </c>
      <c r="N16">
        <v>3.7959999999999998</v>
      </c>
      <c r="O16">
        <v>3</v>
      </c>
      <c r="P16">
        <v>5</v>
      </c>
      <c r="Q16">
        <v>12</v>
      </c>
      <c r="R16">
        <v>9</v>
      </c>
      <c r="S16">
        <v>606603</v>
      </c>
      <c r="T16" t="s">
        <v>139</v>
      </c>
      <c r="U16">
        <v>7.3602943056585426</v>
      </c>
      <c r="V16" t="s">
        <v>137</v>
      </c>
      <c r="W16">
        <v>0.12529999999999999</v>
      </c>
      <c r="X16">
        <v>10</v>
      </c>
      <c r="Y16">
        <v>8.9</v>
      </c>
      <c r="Z16">
        <v>8.9</v>
      </c>
      <c r="AA16">
        <v>20</v>
      </c>
      <c r="AB16">
        <v>26</v>
      </c>
      <c r="AC16">
        <v>0.76500000000000001</v>
      </c>
      <c r="AD16">
        <v>67</v>
      </c>
      <c r="AE16">
        <v>0.1215829624920534</v>
      </c>
      <c r="AF16">
        <v>2.86</v>
      </c>
      <c r="AG16" t="s">
        <v>139</v>
      </c>
      <c r="AH16" t="s">
        <v>137</v>
      </c>
      <c r="AI16">
        <v>33</v>
      </c>
      <c r="AJ16">
        <v>1.0999999999999999E-2</v>
      </c>
      <c r="AK16">
        <v>11</v>
      </c>
      <c r="AL16" t="s">
        <v>246</v>
      </c>
      <c r="AM16">
        <v>0</v>
      </c>
      <c r="AN16">
        <v>1.51</v>
      </c>
      <c r="AO16">
        <v>0.09</v>
      </c>
      <c r="AP16">
        <v>0.19</v>
      </c>
      <c r="AQ16">
        <v>1.22</v>
      </c>
      <c r="AR16">
        <v>1.1599999999999999</v>
      </c>
      <c r="AS16">
        <v>0.04</v>
      </c>
      <c r="AT16">
        <v>0.02</v>
      </c>
      <c r="AU16">
        <v>0.02</v>
      </c>
      <c r="AV16">
        <v>2.5099999999999998</v>
      </c>
      <c r="AW16">
        <v>1.51</v>
      </c>
      <c r="AX16">
        <v>0.21</v>
      </c>
      <c r="AY16">
        <v>0.53</v>
      </c>
      <c r="AZ16">
        <v>0</v>
      </c>
      <c r="BA16">
        <v>1.24</v>
      </c>
      <c r="BB16">
        <v>0.08</v>
      </c>
      <c r="BC16">
        <v>0.2</v>
      </c>
      <c r="BD16">
        <v>0.27</v>
      </c>
      <c r="BE16">
        <v>7.94</v>
      </c>
      <c r="BF16">
        <v>7.25</v>
      </c>
      <c r="BG16">
        <v>0.24</v>
      </c>
      <c r="BH16">
        <v>0.45</v>
      </c>
      <c r="BI16">
        <v>0</v>
      </c>
      <c r="BJ16">
        <v>0.04</v>
      </c>
      <c r="BK16">
        <v>7.21</v>
      </c>
      <c r="BL16">
        <v>0</v>
      </c>
      <c r="BM16">
        <v>2.02</v>
      </c>
      <c r="BN16">
        <v>0.21</v>
      </c>
      <c r="BO16">
        <v>0.46</v>
      </c>
      <c r="BP16">
        <v>1.35</v>
      </c>
      <c r="BQ16">
        <v>1.1499999999999999</v>
      </c>
      <c r="BR16">
        <v>0.06</v>
      </c>
      <c r="BS16">
        <v>0.14000000000000001</v>
      </c>
      <c r="BT16">
        <v>0</v>
      </c>
      <c r="BU16">
        <v>8.35</v>
      </c>
      <c r="BV16">
        <v>7.29</v>
      </c>
      <c r="BW16">
        <v>0.34</v>
      </c>
      <c r="BX16">
        <v>0.72</v>
      </c>
      <c r="BY16">
        <v>0</v>
      </c>
      <c r="BZ16">
        <v>0.04</v>
      </c>
      <c r="CA16">
        <v>7.25</v>
      </c>
      <c r="CB16">
        <v>0</v>
      </c>
      <c r="CC16">
        <f t="shared" si="0"/>
        <v>2.75</v>
      </c>
      <c r="CD16">
        <v>3.96</v>
      </c>
      <c r="CE16">
        <v>0.34230769230769231</v>
      </c>
      <c r="CF16">
        <v>0.44500000000000001</v>
      </c>
      <c r="CG16">
        <v>0.1492537313432836</v>
      </c>
      <c r="CH16">
        <v>0.2674825174825175</v>
      </c>
      <c r="CI16">
        <v>0</v>
      </c>
      <c r="CJ16">
        <v>5273</v>
      </c>
      <c r="CK16" t="s">
        <v>141</v>
      </c>
      <c r="CL16" t="s">
        <v>142</v>
      </c>
      <c r="CM16" t="s">
        <v>143</v>
      </c>
      <c r="CN16">
        <v>0.15096904095899999</v>
      </c>
      <c r="CO16">
        <v>2.289492562031834</v>
      </c>
      <c r="CP16">
        <v>15</v>
      </c>
      <c r="CQ16" t="s">
        <v>144</v>
      </c>
      <c r="CR16">
        <v>23</v>
      </c>
      <c r="CS16" t="s">
        <v>145</v>
      </c>
      <c r="CT16" t="s">
        <v>146</v>
      </c>
      <c r="CU16" t="s">
        <v>139</v>
      </c>
      <c r="CV16" t="s">
        <v>147</v>
      </c>
      <c r="CW16" t="s">
        <v>148</v>
      </c>
      <c r="CX16" t="s">
        <v>149</v>
      </c>
      <c r="CY16" t="s">
        <v>150</v>
      </c>
      <c r="CZ16" t="s">
        <v>151</v>
      </c>
      <c r="DA16" t="s">
        <v>152</v>
      </c>
      <c r="DB16" t="s">
        <v>153</v>
      </c>
      <c r="DC16" t="s">
        <v>154</v>
      </c>
      <c r="DD16" t="s">
        <v>155</v>
      </c>
      <c r="DE16">
        <v>889</v>
      </c>
      <c r="DF16">
        <v>-80.766133999999994</v>
      </c>
      <c r="DG16">
        <v>25.318594999999998</v>
      </c>
      <c r="DH16">
        <v>4600</v>
      </c>
      <c r="DI16">
        <v>300</v>
      </c>
      <c r="DK16">
        <v>111</v>
      </c>
      <c r="DL16">
        <v>23</v>
      </c>
      <c r="DM16">
        <v>18</v>
      </c>
      <c r="DN16">
        <v>25</v>
      </c>
      <c r="DO16">
        <v>25</v>
      </c>
      <c r="DP16">
        <v>5</v>
      </c>
      <c r="DQ16">
        <v>28</v>
      </c>
      <c r="DS16" t="s">
        <v>156</v>
      </c>
      <c r="DT16">
        <v>1.2500000000000001E-2</v>
      </c>
      <c r="DU16">
        <v>1.2500000000000001E-2</v>
      </c>
      <c r="DV16">
        <v>0.32500000000000001</v>
      </c>
      <c r="DW16">
        <v>0.32500000000000001</v>
      </c>
      <c r="DX16">
        <v>0.32500000000000001</v>
      </c>
      <c r="DY16">
        <v>0</v>
      </c>
      <c r="DZ16" s="4">
        <v>3.85</v>
      </c>
      <c r="EA16" s="4" t="s">
        <v>157</v>
      </c>
      <c r="EB16" s="4" t="s">
        <v>158</v>
      </c>
      <c r="EC16">
        <v>4.7039999999999997</v>
      </c>
      <c r="ED16">
        <v>308</v>
      </c>
      <c r="EE16" t="s">
        <v>246</v>
      </c>
      <c r="EF16">
        <v>0</v>
      </c>
      <c r="EH16">
        <f t="shared" si="1"/>
        <v>0.58000000000000007</v>
      </c>
      <c r="EI16">
        <v>3.38</v>
      </c>
      <c r="EJ16">
        <v>3.65</v>
      </c>
    </row>
    <row r="17" spans="1:140" x14ac:dyDescent="0.35">
      <c r="A17" s="1">
        <v>15</v>
      </c>
      <c r="B17">
        <v>-104.1010960202868</v>
      </c>
      <c r="C17">
        <v>30.104209123715268</v>
      </c>
      <c r="D17" t="s">
        <v>247</v>
      </c>
      <c r="E17">
        <v>0.02</v>
      </c>
      <c r="F17" t="s">
        <v>160</v>
      </c>
      <c r="G17">
        <v>0.13250000000000001</v>
      </c>
      <c r="H17" t="s">
        <v>161</v>
      </c>
      <c r="I17">
        <v>-11588481</v>
      </c>
      <c r="J17">
        <v>3516952</v>
      </c>
      <c r="K17" t="s">
        <v>165</v>
      </c>
      <c r="L17" t="s">
        <v>248</v>
      </c>
      <c r="M17">
        <v>189</v>
      </c>
      <c r="N17">
        <v>3.8029999999999999</v>
      </c>
      <c r="O17">
        <v>3</v>
      </c>
      <c r="P17">
        <v>7</v>
      </c>
      <c r="Q17">
        <v>48</v>
      </c>
      <c r="R17">
        <v>377</v>
      </c>
      <c r="S17">
        <v>6134</v>
      </c>
      <c r="T17" t="s">
        <v>167</v>
      </c>
      <c r="U17">
        <v>4.3100995732574674</v>
      </c>
      <c r="V17" t="s">
        <v>165</v>
      </c>
      <c r="W17">
        <v>9.7899999999999987E-2</v>
      </c>
      <c r="X17">
        <v>10</v>
      </c>
      <c r="Y17">
        <v>8.9</v>
      </c>
      <c r="Z17">
        <v>8.9</v>
      </c>
      <c r="AA17">
        <v>20</v>
      </c>
      <c r="AB17">
        <v>26</v>
      </c>
      <c r="AC17">
        <v>0.82299999999999995</v>
      </c>
      <c r="AD17">
        <v>67</v>
      </c>
      <c r="AE17">
        <v>0.1308010171646535</v>
      </c>
      <c r="AF17">
        <v>2.86</v>
      </c>
      <c r="AG17" t="s">
        <v>167</v>
      </c>
      <c r="AH17" t="s">
        <v>165</v>
      </c>
      <c r="AI17">
        <v>37</v>
      </c>
      <c r="AJ17">
        <v>1.233333333333333E-2</v>
      </c>
      <c r="AK17">
        <v>12.33333333333333</v>
      </c>
      <c r="AL17" t="s">
        <v>249</v>
      </c>
      <c r="AM17">
        <v>103008.9859018212</v>
      </c>
      <c r="AN17">
        <v>1.03</v>
      </c>
      <c r="AO17">
        <v>0.09</v>
      </c>
      <c r="AP17">
        <v>0.19</v>
      </c>
      <c r="AQ17">
        <v>0.74</v>
      </c>
      <c r="AR17">
        <v>0.68</v>
      </c>
      <c r="AS17">
        <v>0.04</v>
      </c>
      <c r="AT17">
        <v>0.01</v>
      </c>
      <c r="AU17">
        <v>0.02</v>
      </c>
      <c r="AV17">
        <v>1.95</v>
      </c>
      <c r="AW17">
        <v>0.96</v>
      </c>
      <c r="AX17">
        <v>0.21</v>
      </c>
      <c r="AY17">
        <v>0.53</v>
      </c>
      <c r="AZ17">
        <v>0</v>
      </c>
      <c r="BA17">
        <v>0.72</v>
      </c>
      <c r="BB17">
        <v>0.08</v>
      </c>
      <c r="BC17">
        <v>0.15</v>
      </c>
      <c r="BD17">
        <v>0.27</v>
      </c>
      <c r="BE17">
        <v>6.28</v>
      </c>
      <c r="BF17">
        <v>5.59</v>
      </c>
      <c r="BG17">
        <v>0.24</v>
      </c>
      <c r="BH17">
        <v>0.45</v>
      </c>
      <c r="BI17">
        <v>0</v>
      </c>
      <c r="BJ17">
        <v>0.04</v>
      </c>
      <c r="BK17">
        <v>5.55</v>
      </c>
      <c r="BL17">
        <v>0</v>
      </c>
      <c r="BM17">
        <v>1.51</v>
      </c>
      <c r="BN17">
        <v>0.21</v>
      </c>
      <c r="BO17">
        <v>0.46</v>
      </c>
      <c r="BP17">
        <v>0.84</v>
      </c>
      <c r="BQ17">
        <v>0.67</v>
      </c>
      <c r="BR17">
        <v>0.06</v>
      </c>
      <c r="BS17">
        <v>0.11</v>
      </c>
      <c r="BT17">
        <v>0</v>
      </c>
      <c r="BU17">
        <v>6.68</v>
      </c>
      <c r="BV17">
        <v>5.62</v>
      </c>
      <c r="BW17">
        <v>0.34</v>
      </c>
      <c r="BX17">
        <v>0.72</v>
      </c>
      <c r="BY17">
        <v>0</v>
      </c>
      <c r="BZ17">
        <v>0.04</v>
      </c>
      <c r="CA17">
        <v>5.58</v>
      </c>
      <c r="CB17">
        <v>0</v>
      </c>
      <c r="CC17">
        <f t="shared" si="0"/>
        <v>2.75</v>
      </c>
      <c r="CD17">
        <v>3.96</v>
      </c>
      <c r="CE17">
        <v>0.34230769230769231</v>
      </c>
      <c r="CF17">
        <v>0.44500000000000001</v>
      </c>
      <c r="CG17">
        <v>0.1492537313432836</v>
      </c>
      <c r="CH17">
        <v>0.28776223776223769</v>
      </c>
      <c r="CI17">
        <v>0</v>
      </c>
      <c r="CJ17">
        <v>31725</v>
      </c>
      <c r="CK17" t="s">
        <v>169</v>
      </c>
      <c r="CL17" t="s">
        <v>198</v>
      </c>
      <c r="CM17" t="s">
        <v>143</v>
      </c>
      <c r="CN17">
        <v>2.1960042453600002</v>
      </c>
      <c r="CO17">
        <v>2.9377058259732922</v>
      </c>
      <c r="CP17">
        <v>16</v>
      </c>
      <c r="CQ17" t="s">
        <v>199</v>
      </c>
      <c r="CR17">
        <v>26</v>
      </c>
      <c r="CS17" t="s">
        <v>200</v>
      </c>
      <c r="CT17" t="s">
        <v>201</v>
      </c>
      <c r="CU17" t="s">
        <v>167</v>
      </c>
      <c r="CV17" t="s">
        <v>202</v>
      </c>
      <c r="CW17" t="s">
        <v>203</v>
      </c>
      <c r="CX17" t="s">
        <v>204</v>
      </c>
      <c r="CY17" t="s">
        <v>205</v>
      </c>
      <c r="CZ17" t="s">
        <v>206</v>
      </c>
      <c r="DA17" t="s">
        <v>152</v>
      </c>
      <c r="DB17" t="s">
        <v>153</v>
      </c>
      <c r="DC17" t="s">
        <v>207</v>
      </c>
      <c r="DD17" t="s">
        <v>208</v>
      </c>
      <c r="DE17">
        <v>49915</v>
      </c>
      <c r="DF17">
        <v>-102.456551</v>
      </c>
      <c r="DG17">
        <v>31.762763</v>
      </c>
      <c r="DH17">
        <v>7340</v>
      </c>
      <c r="DI17">
        <v>390</v>
      </c>
      <c r="DJ17">
        <v>3400</v>
      </c>
      <c r="DK17">
        <v>160</v>
      </c>
      <c r="DL17">
        <v>8.5</v>
      </c>
      <c r="DO17">
        <v>66</v>
      </c>
      <c r="DP17">
        <v>0.1</v>
      </c>
      <c r="DQ17">
        <v>1100</v>
      </c>
      <c r="DS17" t="s">
        <v>209</v>
      </c>
      <c r="DT17">
        <v>1.2500000000000001E-2</v>
      </c>
      <c r="DU17">
        <v>1.2500000000000001E-2</v>
      </c>
      <c r="DV17">
        <v>0.32500000000000001</v>
      </c>
      <c r="DW17">
        <v>0.32500000000000001</v>
      </c>
      <c r="DX17">
        <v>0.32500000000000001</v>
      </c>
      <c r="DY17">
        <v>0</v>
      </c>
      <c r="DZ17" s="4">
        <v>3.4470000000000001</v>
      </c>
      <c r="EA17" s="4" t="s">
        <v>182</v>
      </c>
      <c r="EB17" s="4" t="s">
        <v>183</v>
      </c>
      <c r="EC17">
        <v>4.4379999999999997</v>
      </c>
      <c r="ED17">
        <v>208</v>
      </c>
      <c r="EE17" t="s">
        <v>249</v>
      </c>
      <c r="EF17">
        <v>0.8370145634159698</v>
      </c>
      <c r="EH17">
        <f t="shared" si="1"/>
        <v>0.58000000000000007</v>
      </c>
      <c r="EI17">
        <v>3.38</v>
      </c>
      <c r="EJ17">
        <v>3.65</v>
      </c>
    </row>
    <row r="18" spans="1:140" x14ac:dyDescent="0.35">
      <c r="A18" s="1">
        <v>16</v>
      </c>
      <c r="B18">
        <v>-102.30446545204769</v>
      </c>
      <c r="C18">
        <v>30.104209123715268</v>
      </c>
      <c r="D18" t="s">
        <v>250</v>
      </c>
      <c r="E18">
        <v>0.1</v>
      </c>
      <c r="F18" t="s">
        <v>135</v>
      </c>
      <c r="G18">
        <v>0.13250000000000001</v>
      </c>
      <c r="H18" t="s">
        <v>161</v>
      </c>
      <c r="I18">
        <v>-11388481</v>
      </c>
      <c r="J18">
        <v>3516952</v>
      </c>
      <c r="K18" t="s">
        <v>165</v>
      </c>
      <c r="L18" t="s">
        <v>251</v>
      </c>
      <c r="M18">
        <v>222</v>
      </c>
      <c r="N18">
        <v>3.6989999999999998</v>
      </c>
      <c r="O18">
        <v>3</v>
      </c>
      <c r="P18">
        <v>7</v>
      </c>
      <c r="Q18">
        <v>48</v>
      </c>
      <c r="R18">
        <v>443</v>
      </c>
      <c r="S18">
        <v>760</v>
      </c>
      <c r="T18" t="s">
        <v>167</v>
      </c>
      <c r="U18">
        <v>4.3100995732574674</v>
      </c>
      <c r="V18" t="s">
        <v>165</v>
      </c>
      <c r="W18">
        <v>9.7899999999999987E-2</v>
      </c>
      <c r="X18">
        <v>10</v>
      </c>
      <c r="Y18">
        <v>8.9</v>
      </c>
      <c r="Z18">
        <v>8.9</v>
      </c>
      <c r="AA18">
        <v>20</v>
      </c>
      <c r="AB18">
        <v>26</v>
      </c>
      <c r="AC18">
        <v>0.82299999999999995</v>
      </c>
      <c r="AD18">
        <v>67</v>
      </c>
      <c r="AE18">
        <v>0.1308010171646535</v>
      </c>
      <c r="AF18">
        <v>2.86</v>
      </c>
      <c r="AG18" t="s">
        <v>167</v>
      </c>
      <c r="AH18" t="s">
        <v>165</v>
      </c>
      <c r="AI18">
        <v>37</v>
      </c>
      <c r="AJ18">
        <v>1.233333333333333E-2</v>
      </c>
      <c r="AK18">
        <v>12.33333333333333</v>
      </c>
      <c r="AL18" t="s">
        <v>252</v>
      </c>
      <c r="AM18">
        <v>60715.989034098013</v>
      </c>
      <c r="AN18">
        <v>1.03</v>
      </c>
      <c r="AO18">
        <v>0.09</v>
      </c>
      <c r="AP18">
        <v>0.19</v>
      </c>
      <c r="AQ18">
        <v>0.74</v>
      </c>
      <c r="AR18">
        <v>0.68</v>
      </c>
      <c r="AS18">
        <v>0.04</v>
      </c>
      <c r="AT18">
        <v>0.01</v>
      </c>
      <c r="AU18">
        <v>0.02</v>
      </c>
      <c r="AV18">
        <v>1.95</v>
      </c>
      <c r="AW18">
        <v>0.96</v>
      </c>
      <c r="AX18">
        <v>0.21</v>
      </c>
      <c r="AY18">
        <v>0.53</v>
      </c>
      <c r="AZ18">
        <v>0</v>
      </c>
      <c r="BA18">
        <v>0.72</v>
      </c>
      <c r="BB18">
        <v>0.08</v>
      </c>
      <c r="BC18">
        <v>0.15</v>
      </c>
      <c r="BD18">
        <v>0.27</v>
      </c>
      <c r="BE18">
        <v>6.28</v>
      </c>
      <c r="BF18">
        <v>5.59</v>
      </c>
      <c r="BG18">
        <v>0.24</v>
      </c>
      <c r="BH18">
        <v>0.45</v>
      </c>
      <c r="BI18">
        <v>0</v>
      </c>
      <c r="BJ18">
        <v>0.04</v>
      </c>
      <c r="BK18">
        <v>5.55</v>
      </c>
      <c r="BL18">
        <v>0</v>
      </c>
      <c r="BM18">
        <v>1.51</v>
      </c>
      <c r="BN18">
        <v>0.21</v>
      </c>
      <c r="BO18">
        <v>0.46</v>
      </c>
      <c r="BP18">
        <v>0.84</v>
      </c>
      <c r="BQ18">
        <v>0.67</v>
      </c>
      <c r="BR18">
        <v>0.06</v>
      </c>
      <c r="BS18">
        <v>0.11</v>
      </c>
      <c r="BT18">
        <v>0</v>
      </c>
      <c r="BU18">
        <v>6.68</v>
      </c>
      <c r="BV18">
        <v>5.62</v>
      </c>
      <c r="BW18">
        <v>0.34</v>
      </c>
      <c r="BX18">
        <v>0.72</v>
      </c>
      <c r="BY18">
        <v>0</v>
      </c>
      <c r="BZ18">
        <v>0.04</v>
      </c>
      <c r="CA18">
        <v>5.58</v>
      </c>
      <c r="CB18">
        <v>0</v>
      </c>
      <c r="CC18">
        <f t="shared" si="0"/>
        <v>2.75</v>
      </c>
      <c r="CD18">
        <v>3.96</v>
      </c>
      <c r="CE18">
        <v>0.34230769230769231</v>
      </c>
      <c r="CF18">
        <v>0.44500000000000001</v>
      </c>
      <c r="CG18">
        <v>0.1492537313432836</v>
      </c>
      <c r="CH18">
        <v>0.28776223776223769</v>
      </c>
      <c r="CI18">
        <v>0</v>
      </c>
      <c r="CJ18">
        <v>6908</v>
      </c>
      <c r="CK18" t="s">
        <v>169</v>
      </c>
      <c r="CL18" t="s">
        <v>170</v>
      </c>
      <c r="CM18" t="s">
        <v>143</v>
      </c>
      <c r="CN18">
        <v>0.65048914856700002</v>
      </c>
      <c r="CO18">
        <v>30.721629649243329</v>
      </c>
      <c r="CP18">
        <v>17</v>
      </c>
      <c r="CQ18" t="s">
        <v>199</v>
      </c>
      <c r="CR18">
        <v>26</v>
      </c>
      <c r="CS18" t="s">
        <v>200</v>
      </c>
      <c r="CT18" t="s">
        <v>201</v>
      </c>
      <c r="CU18" t="s">
        <v>167</v>
      </c>
      <c r="CV18" t="s">
        <v>202</v>
      </c>
      <c r="CW18" t="s">
        <v>203</v>
      </c>
      <c r="CX18" t="s">
        <v>204</v>
      </c>
      <c r="CY18" t="s">
        <v>205</v>
      </c>
      <c r="CZ18" t="s">
        <v>206</v>
      </c>
      <c r="DA18" t="s">
        <v>152</v>
      </c>
      <c r="DB18" t="s">
        <v>153</v>
      </c>
      <c r="DC18" t="s">
        <v>207</v>
      </c>
      <c r="DD18" t="s">
        <v>208</v>
      </c>
      <c r="DE18">
        <v>49915</v>
      </c>
      <c r="DF18">
        <v>-102.456551</v>
      </c>
      <c r="DG18">
        <v>31.762763</v>
      </c>
      <c r="DH18">
        <v>7340</v>
      </c>
      <c r="DI18">
        <v>390</v>
      </c>
      <c r="DJ18">
        <v>3400</v>
      </c>
      <c r="DK18">
        <v>160</v>
      </c>
      <c r="DL18">
        <v>8.5</v>
      </c>
      <c r="DO18">
        <v>66</v>
      </c>
      <c r="DP18">
        <v>0.1</v>
      </c>
      <c r="DQ18">
        <v>1100</v>
      </c>
      <c r="DS18" t="s">
        <v>209</v>
      </c>
      <c r="DT18">
        <v>1.2500000000000001E-2</v>
      </c>
      <c r="DU18">
        <v>1.2500000000000001E-2</v>
      </c>
      <c r="DV18">
        <v>0.32500000000000001</v>
      </c>
      <c r="DW18">
        <v>0.32500000000000001</v>
      </c>
      <c r="DX18">
        <v>0.32500000000000001</v>
      </c>
      <c r="DY18">
        <v>12.900285091519679</v>
      </c>
      <c r="DZ18" s="4">
        <v>3.4470000000000001</v>
      </c>
      <c r="EA18" s="4" t="s">
        <v>182</v>
      </c>
      <c r="EB18" s="4" t="s">
        <v>183</v>
      </c>
      <c r="EC18">
        <v>4.4379999999999997</v>
      </c>
      <c r="ED18">
        <v>221</v>
      </c>
      <c r="EE18" t="s">
        <v>252</v>
      </c>
      <c r="EF18">
        <v>0.54542051348368958</v>
      </c>
      <c r="EH18">
        <f t="shared" si="1"/>
        <v>0.58000000000000007</v>
      </c>
      <c r="EI18">
        <v>3.38</v>
      </c>
      <c r="EJ18">
        <v>3.65</v>
      </c>
    </row>
    <row r="19" spans="1:140" x14ac:dyDescent="0.35">
      <c r="A19" s="1">
        <v>17</v>
      </c>
      <c r="B19">
        <v>-100.5078348838087</v>
      </c>
      <c r="C19">
        <v>30.104209123715268</v>
      </c>
      <c r="D19" t="s">
        <v>253</v>
      </c>
      <c r="E19">
        <v>0.1</v>
      </c>
      <c r="F19" t="s">
        <v>135</v>
      </c>
      <c r="G19">
        <v>0.13250000000000001</v>
      </c>
      <c r="H19" t="s">
        <v>161</v>
      </c>
      <c r="I19">
        <v>-11188481</v>
      </c>
      <c r="J19">
        <v>3516952</v>
      </c>
      <c r="K19" t="s">
        <v>165</v>
      </c>
      <c r="L19" t="s">
        <v>254</v>
      </c>
      <c r="M19">
        <v>69</v>
      </c>
      <c r="N19">
        <v>3.8490000000000002</v>
      </c>
      <c r="O19">
        <v>3</v>
      </c>
      <c r="P19">
        <v>7</v>
      </c>
      <c r="Q19">
        <v>48</v>
      </c>
      <c r="R19">
        <v>137</v>
      </c>
      <c r="S19">
        <v>1427</v>
      </c>
      <c r="T19" t="s">
        <v>167</v>
      </c>
      <c r="U19">
        <v>4.3100995732574674</v>
      </c>
      <c r="V19" t="s">
        <v>165</v>
      </c>
      <c r="W19">
        <v>9.7899999999999987E-2</v>
      </c>
      <c r="X19">
        <v>10</v>
      </c>
      <c r="Y19">
        <v>8.9</v>
      </c>
      <c r="Z19">
        <v>8.9</v>
      </c>
      <c r="AA19">
        <v>20</v>
      </c>
      <c r="AB19">
        <v>26</v>
      </c>
      <c r="AC19">
        <v>0.82299999999999995</v>
      </c>
      <c r="AD19">
        <v>67</v>
      </c>
      <c r="AE19">
        <v>0.1308010171646535</v>
      </c>
      <c r="AF19">
        <v>2.86</v>
      </c>
      <c r="AG19" t="s">
        <v>167</v>
      </c>
      <c r="AH19" t="s">
        <v>165</v>
      </c>
      <c r="AI19">
        <v>37</v>
      </c>
      <c r="AJ19">
        <v>1.233333333333333E-2</v>
      </c>
      <c r="AK19">
        <v>12.33333333333333</v>
      </c>
      <c r="AL19" t="s">
        <v>252</v>
      </c>
      <c r="AM19">
        <v>21413.372270286422</v>
      </c>
      <c r="AN19">
        <v>1.03</v>
      </c>
      <c r="AO19">
        <v>0.09</v>
      </c>
      <c r="AP19">
        <v>0.19</v>
      </c>
      <c r="AQ19">
        <v>0.74</v>
      </c>
      <c r="AR19">
        <v>0.68</v>
      </c>
      <c r="AS19">
        <v>0.04</v>
      </c>
      <c r="AT19">
        <v>0.01</v>
      </c>
      <c r="AU19">
        <v>0.02</v>
      </c>
      <c r="AV19">
        <v>1.95</v>
      </c>
      <c r="AW19">
        <v>0.96</v>
      </c>
      <c r="AX19">
        <v>0.21</v>
      </c>
      <c r="AY19">
        <v>0.53</v>
      </c>
      <c r="AZ19">
        <v>0</v>
      </c>
      <c r="BA19">
        <v>0.72</v>
      </c>
      <c r="BB19">
        <v>0.08</v>
      </c>
      <c r="BC19">
        <v>0.15</v>
      </c>
      <c r="BD19">
        <v>0.27</v>
      </c>
      <c r="BE19">
        <v>6.28</v>
      </c>
      <c r="BF19">
        <v>5.59</v>
      </c>
      <c r="BG19">
        <v>0.24</v>
      </c>
      <c r="BH19">
        <v>0.45</v>
      </c>
      <c r="BI19">
        <v>0</v>
      </c>
      <c r="BJ19">
        <v>0.04</v>
      </c>
      <c r="BK19">
        <v>5.55</v>
      </c>
      <c r="BL19">
        <v>0</v>
      </c>
      <c r="BM19">
        <v>1.51</v>
      </c>
      <c r="BN19">
        <v>0.21</v>
      </c>
      <c r="BO19">
        <v>0.46</v>
      </c>
      <c r="BP19">
        <v>0.84</v>
      </c>
      <c r="BQ19">
        <v>0.67</v>
      </c>
      <c r="BR19">
        <v>0.06</v>
      </c>
      <c r="BS19">
        <v>0.11</v>
      </c>
      <c r="BT19">
        <v>0</v>
      </c>
      <c r="BU19">
        <v>6.68</v>
      </c>
      <c r="BV19">
        <v>5.62</v>
      </c>
      <c r="BW19">
        <v>0.34</v>
      </c>
      <c r="BX19">
        <v>0.72</v>
      </c>
      <c r="BY19">
        <v>0</v>
      </c>
      <c r="BZ19">
        <v>0.04</v>
      </c>
      <c r="CA19">
        <v>5.58</v>
      </c>
      <c r="CB19">
        <v>0</v>
      </c>
      <c r="CC19">
        <f t="shared" si="0"/>
        <v>2.75</v>
      </c>
      <c r="CD19">
        <v>3.96</v>
      </c>
      <c r="CE19">
        <v>0.34230769230769231</v>
      </c>
      <c r="CF19">
        <v>0.44500000000000001</v>
      </c>
      <c r="CG19">
        <v>0.1492537313432836</v>
      </c>
      <c r="CH19">
        <v>0.28776223776223769</v>
      </c>
      <c r="CI19">
        <v>0</v>
      </c>
      <c r="CJ19">
        <v>6484</v>
      </c>
      <c r="CK19" t="s">
        <v>169</v>
      </c>
      <c r="CL19" t="s">
        <v>170</v>
      </c>
      <c r="CM19" t="s">
        <v>143</v>
      </c>
      <c r="CN19">
        <v>0.52743552606099997</v>
      </c>
      <c r="CO19">
        <v>11.21858885965775</v>
      </c>
      <c r="CP19">
        <v>18</v>
      </c>
      <c r="CQ19" t="s">
        <v>199</v>
      </c>
      <c r="CR19">
        <v>26</v>
      </c>
      <c r="CS19" t="s">
        <v>200</v>
      </c>
      <c r="CT19" t="s">
        <v>201</v>
      </c>
      <c r="CU19" t="s">
        <v>167</v>
      </c>
      <c r="CV19" t="s">
        <v>202</v>
      </c>
      <c r="CW19" t="s">
        <v>203</v>
      </c>
      <c r="CX19" t="s">
        <v>204</v>
      </c>
      <c r="CY19" t="s">
        <v>205</v>
      </c>
      <c r="CZ19" t="s">
        <v>206</v>
      </c>
      <c r="DA19" t="s">
        <v>152</v>
      </c>
      <c r="DB19" t="s">
        <v>153</v>
      </c>
      <c r="DC19" t="s">
        <v>207</v>
      </c>
      <c r="DD19" t="s">
        <v>208</v>
      </c>
      <c r="DE19">
        <v>49915</v>
      </c>
      <c r="DF19">
        <v>-102.456551</v>
      </c>
      <c r="DG19">
        <v>31.762763</v>
      </c>
      <c r="DH19">
        <v>7340</v>
      </c>
      <c r="DI19">
        <v>390</v>
      </c>
      <c r="DJ19">
        <v>3400</v>
      </c>
      <c r="DK19">
        <v>160</v>
      </c>
      <c r="DL19">
        <v>8.5</v>
      </c>
      <c r="DO19">
        <v>66</v>
      </c>
      <c r="DP19">
        <v>0.1</v>
      </c>
      <c r="DQ19">
        <v>1100</v>
      </c>
      <c r="DS19" t="s">
        <v>209</v>
      </c>
      <c r="DT19">
        <v>1.2500000000000001E-2</v>
      </c>
      <c r="DU19">
        <v>1.2500000000000001E-2</v>
      </c>
      <c r="DV19">
        <v>0.32500000000000001</v>
      </c>
      <c r="DW19">
        <v>0.32500000000000001</v>
      </c>
      <c r="DX19">
        <v>0.32500000000000001</v>
      </c>
      <c r="DY19">
        <v>31.03831793621983</v>
      </c>
      <c r="DZ19" s="4">
        <v>3.4470000000000001</v>
      </c>
      <c r="EA19" s="4" t="s">
        <v>182</v>
      </c>
      <c r="EB19" s="4" t="s">
        <v>183</v>
      </c>
      <c r="EC19">
        <v>4.4379999999999997</v>
      </c>
      <c r="ED19">
        <v>221</v>
      </c>
      <c r="EE19" t="s">
        <v>252</v>
      </c>
      <c r="EF19">
        <v>0.19235982833061641</v>
      </c>
      <c r="EH19">
        <f t="shared" si="1"/>
        <v>0.58000000000000007</v>
      </c>
      <c r="EI19">
        <v>3.38</v>
      </c>
      <c r="EJ19">
        <v>3.65</v>
      </c>
    </row>
    <row r="20" spans="1:140" x14ac:dyDescent="0.35">
      <c r="A20" s="1">
        <v>18</v>
      </c>
      <c r="B20">
        <v>-98.711204315569631</v>
      </c>
      <c r="C20">
        <v>30.104209123715268</v>
      </c>
      <c r="D20" t="s">
        <v>255</v>
      </c>
      <c r="E20">
        <v>0.1</v>
      </c>
      <c r="F20" t="s">
        <v>135</v>
      </c>
      <c r="G20">
        <v>3.7400000000000003E-2</v>
      </c>
      <c r="H20" t="s">
        <v>161</v>
      </c>
      <c r="I20">
        <v>-10988481</v>
      </c>
      <c r="J20">
        <v>3516952</v>
      </c>
      <c r="K20" t="s">
        <v>165</v>
      </c>
      <c r="L20" t="s">
        <v>256</v>
      </c>
      <c r="M20">
        <v>130</v>
      </c>
      <c r="N20">
        <v>3.5190000000000001</v>
      </c>
      <c r="O20">
        <v>3</v>
      </c>
      <c r="P20">
        <v>7</v>
      </c>
      <c r="Q20">
        <v>48</v>
      </c>
      <c r="R20">
        <v>259</v>
      </c>
      <c r="S20">
        <v>44281</v>
      </c>
      <c r="T20" t="s">
        <v>167</v>
      </c>
      <c r="U20">
        <v>4.3100995732574674</v>
      </c>
      <c r="V20" t="s">
        <v>165</v>
      </c>
      <c r="W20">
        <v>9.7899999999999987E-2</v>
      </c>
      <c r="X20">
        <v>10</v>
      </c>
      <c r="Y20">
        <v>8.9</v>
      </c>
      <c r="Z20">
        <v>8.9</v>
      </c>
      <c r="AA20">
        <v>20</v>
      </c>
      <c r="AB20">
        <v>26</v>
      </c>
      <c r="AC20">
        <v>0.82299999999999995</v>
      </c>
      <c r="AD20">
        <v>67</v>
      </c>
      <c r="AE20">
        <v>0.1308010171646535</v>
      </c>
      <c r="AF20">
        <v>2.86</v>
      </c>
      <c r="AG20" t="s">
        <v>167</v>
      </c>
      <c r="AH20" t="s">
        <v>165</v>
      </c>
      <c r="AI20">
        <v>37</v>
      </c>
      <c r="AJ20">
        <v>1.233333333333333E-2</v>
      </c>
      <c r="AK20">
        <v>12.33333333333333</v>
      </c>
      <c r="AL20" t="s">
        <v>222</v>
      </c>
      <c r="AM20">
        <v>0</v>
      </c>
      <c r="AN20">
        <v>1.03</v>
      </c>
      <c r="AO20">
        <v>0.09</v>
      </c>
      <c r="AP20">
        <v>0.19</v>
      </c>
      <c r="AQ20">
        <v>0.74</v>
      </c>
      <c r="AR20">
        <v>0.68</v>
      </c>
      <c r="AS20">
        <v>0.04</v>
      </c>
      <c r="AT20">
        <v>0.01</v>
      </c>
      <c r="AU20">
        <v>0.02</v>
      </c>
      <c r="AV20">
        <v>1.95</v>
      </c>
      <c r="AW20">
        <v>0.96</v>
      </c>
      <c r="AX20">
        <v>0.21</v>
      </c>
      <c r="AY20">
        <v>0.53</v>
      </c>
      <c r="AZ20">
        <v>0</v>
      </c>
      <c r="BA20">
        <v>0.72</v>
      </c>
      <c r="BB20">
        <v>0.08</v>
      </c>
      <c r="BC20">
        <v>0.15</v>
      </c>
      <c r="BD20">
        <v>0.27</v>
      </c>
      <c r="BE20">
        <v>6.28</v>
      </c>
      <c r="BF20">
        <v>5.59</v>
      </c>
      <c r="BG20">
        <v>0.24</v>
      </c>
      <c r="BH20">
        <v>0.45</v>
      </c>
      <c r="BI20">
        <v>0</v>
      </c>
      <c r="BJ20">
        <v>0.04</v>
      </c>
      <c r="BK20">
        <v>5.55</v>
      </c>
      <c r="BL20">
        <v>0</v>
      </c>
      <c r="BM20">
        <v>1.51</v>
      </c>
      <c r="BN20">
        <v>0.21</v>
      </c>
      <c r="BO20">
        <v>0.46</v>
      </c>
      <c r="BP20">
        <v>0.84</v>
      </c>
      <c r="BQ20">
        <v>0.67</v>
      </c>
      <c r="BR20">
        <v>0.06</v>
      </c>
      <c r="BS20">
        <v>0.11</v>
      </c>
      <c r="BT20">
        <v>0</v>
      </c>
      <c r="BU20">
        <v>6.68</v>
      </c>
      <c r="BV20">
        <v>5.62</v>
      </c>
      <c r="BW20">
        <v>0.34</v>
      </c>
      <c r="BX20">
        <v>0.72</v>
      </c>
      <c r="BY20">
        <v>0</v>
      </c>
      <c r="BZ20">
        <v>0.04</v>
      </c>
      <c r="CA20">
        <v>5.58</v>
      </c>
      <c r="CB20">
        <v>0</v>
      </c>
      <c r="CC20">
        <f t="shared" si="0"/>
        <v>2.75</v>
      </c>
      <c r="CD20">
        <v>3.96</v>
      </c>
      <c r="CE20">
        <v>0.34230769230769231</v>
      </c>
      <c r="CF20">
        <v>0.44500000000000001</v>
      </c>
      <c r="CG20">
        <v>0.1492537313432836</v>
      </c>
      <c r="CH20">
        <v>0.28776223776223769</v>
      </c>
      <c r="CI20">
        <v>0</v>
      </c>
      <c r="CJ20">
        <v>9852</v>
      </c>
      <c r="CK20" t="s">
        <v>169</v>
      </c>
      <c r="CL20" t="s">
        <v>257</v>
      </c>
      <c r="CM20" t="s">
        <v>143</v>
      </c>
      <c r="CN20">
        <v>0.84789259441999998</v>
      </c>
      <c r="CO20">
        <v>8.1364851061931116</v>
      </c>
      <c r="CP20">
        <v>19</v>
      </c>
      <c r="CQ20" t="s">
        <v>213</v>
      </c>
      <c r="CR20">
        <v>110</v>
      </c>
      <c r="CS20" t="s">
        <v>214</v>
      </c>
      <c r="CT20" t="s">
        <v>215</v>
      </c>
      <c r="CU20" t="s">
        <v>216</v>
      </c>
      <c r="CV20" t="s">
        <v>217</v>
      </c>
      <c r="CW20" t="s">
        <v>175</v>
      </c>
      <c r="CX20" t="s">
        <v>218</v>
      </c>
      <c r="CY20" t="s">
        <v>219</v>
      </c>
      <c r="CZ20" t="s">
        <v>151</v>
      </c>
      <c r="DA20" t="s">
        <v>152</v>
      </c>
      <c r="DB20" t="s">
        <v>178</v>
      </c>
      <c r="DC20" t="s">
        <v>179</v>
      </c>
      <c r="DD20" t="s">
        <v>155</v>
      </c>
      <c r="DE20">
        <v>4393</v>
      </c>
      <c r="DF20">
        <v>-89.078338000000002</v>
      </c>
      <c r="DG20">
        <v>30.725223</v>
      </c>
      <c r="DH20">
        <v>8000</v>
      </c>
      <c r="DI20">
        <v>650</v>
      </c>
      <c r="DJ20">
        <v>3600</v>
      </c>
      <c r="DL20">
        <v>21</v>
      </c>
      <c r="DM20">
        <v>16</v>
      </c>
      <c r="DN20">
        <v>29</v>
      </c>
      <c r="DO20">
        <v>400</v>
      </c>
      <c r="DP20">
        <v>67</v>
      </c>
      <c r="DQ20">
        <v>3080</v>
      </c>
      <c r="DS20">
        <v>11</v>
      </c>
      <c r="DT20">
        <v>1.2500000000000001E-2</v>
      </c>
      <c r="DU20">
        <v>1.2500000000000001E-2</v>
      </c>
      <c r="DV20">
        <v>0.32500000000000001</v>
      </c>
      <c r="DW20">
        <v>0.32500000000000001</v>
      </c>
      <c r="DX20">
        <v>0.32500000000000001</v>
      </c>
      <c r="DY20">
        <v>62.359992967418407</v>
      </c>
      <c r="DZ20" s="4">
        <v>3.4470000000000001</v>
      </c>
      <c r="EA20" s="4" t="s">
        <v>182</v>
      </c>
      <c r="EB20" s="4" t="s">
        <v>183</v>
      </c>
      <c r="EC20">
        <v>4.4379999999999997</v>
      </c>
      <c r="ED20">
        <v>178</v>
      </c>
      <c r="EE20" t="s">
        <v>222</v>
      </c>
      <c r="EF20">
        <v>0</v>
      </c>
      <c r="EH20">
        <f t="shared" si="1"/>
        <v>0.58000000000000007</v>
      </c>
      <c r="EI20">
        <v>3.38</v>
      </c>
      <c r="EJ20">
        <v>3.65</v>
      </c>
    </row>
    <row r="21" spans="1:140" x14ac:dyDescent="0.35">
      <c r="A21" s="1">
        <v>19</v>
      </c>
      <c r="B21">
        <v>-96.914573747330593</v>
      </c>
      <c r="C21">
        <v>30.104209123715268</v>
      </c>
      <c r="D21" t="s">
        <v>258</v>
      </c>
      <c r="E21">
        <v>0.02</v>
      </c>
      <c r="F21" t="s">
        <v>160</v>
      </c>
      <c r="G21">
        <v>3.7400000000000003E-2</v>
      </c>
      <c r="H21" t="s">
        <v>161</v>
      </c>
      <c r="I21">
        <v>-10788481</v>
      </c>
      <c r="J21">
        <v>3516952</v>
      </c>
      <c r="K21" t="s">
        <v>165</v>
      </c>
      <c r="L21" t="s">
        <v>259</v>
      </c>
      <c r="M21">
        <v>144</v>
      </c>
      <c r="N21">
        <v>3.4140000000000001</v>
      </c>
      <c r="O21">
        <v>3</v>
      </c>
      <c r="P21">
        <v>7</v>
      </c>
      <c r="Q21">
        <v>48</v>
      </c>
      <c r="R21">
        <v>287</v>
      </c>
      <c r="S21">
        <v>17480</v>
      </c>
      <c r="T21" t="s">
        <v>167</v>
      </c>
      <c r="U21">
        <v>4.3100995732574674</v>
      </c>
      <c r="V21" t="s">
        <v>165</v>
      </c>
      <c r="W21">
        <v>9.7899999999999987E-2</v>
      </c>
      <c r="X21">
        <v>10</v>
      </c>
      <c r="Y21">
        <v>8.9</v>
      </c>
      <c r="Z21">
        <v>8.9</v>
      </c>
      <c r="AA21">
        <v>20</v>
      </c>
      <c r="AB21">
        <v>26</v>
      </c>
      <c r="AC21">
        <v>0.82299999999999995</v>
      </c>
      <c r="AD21">
        <v>67</v>
      </c>
      <c r="AE21">
        <v>0.1308010171646535</v>
      </c>
      <c r="AF21">
        <v>2.86</v>
      </c>
      <c r="AG21" t="s">
        <v>167</v>
      </c>
      <c r="AH21" t="s">
        <v>165</v>
      </c>
      <c r="AI21">
        <v>37</v>
      </c>
      <c r="AJ21">
        <v>1.233333333333333E-2</v>
      </c>
      <c r="AK21">
        <v>12.33333333333333</v>
      </c>
      <c r="AL21" t="s">
        <v>260</v>
      </c>
      <c r="AM21">
        <v>13470.317065981249</v>
      </c>
      <c r="AN21">
        <v>1.03</v>
      </c>
      <c r="AO21">
        <v>0.09</v>
      </c>
      <c r="AP21">
        <v>0.19</v>
      </c>
      <c r="AQ21">
        <v>0.74</v>
      </c>
      <c r="AR21">
        <v>0.68</v>
      </c>
      <c r="AS21">
        <v>0.04</v>
      </c>
      <c r="AT21">
        <v>0.01</v>
      </c>
      <c r="AU21">
        <v>0.02</v>
      </c>
      <c r="AV21">
        <v>1.95</v>
      </c>
      <c r="AW21">
        <v>0.96</v>
      </c>
      <c r="AX21">
        <v>0.21</v>
      </c>
      <c r="AY21">
        <v>0.53</v>
      </c>
      <c r="AZ21">
        <v>0</v>
      </c>
      <c r="BA21">
        <v>0.72</v>
      </c>
      <c r="BB21">
        <v>0.08</v>
      </c>
      <c r="BC21">
        <v>0.15</v>
      </c>
      <c r="BD21">
        <v>0.27</v>
      </c>
      <c r="BE21">
        <v>6.28</v>
      </c>
      <c r="BF21">
        <v>5.59</v>
      </c>
      <c r="BG21">
        <v>0.24</v>
      </c>
      <c r="BH21">
        <v>0.45</v>
      </c>
      <c r="BI21">
        <v>0</v>
      </c>
      <c r="BJ21">
        <v>0.04</v>
      </c>
      <c r="BK21">
        <v>5.55</v>
      </c>
      <c r="BL21">
        <v>0</v>
      </c>
      <c r="BM21">
        <v>1.51</v>
      </c>
      <c r="BN21">
        <v>0.21</v>
      </c>
      <c r="BO21">
        <v>0.46</v>
      </c>
      <c r="BP21">
        <v>0.84</v>
      </c>
      <c r="BQ21">
        <v>0.67</v>
      </c>
      <c r="BR21">
        <v>0.06</v>
      </c>
      <c r="BS21">
        <v>0.11</v>
      </c>
      <c r="BT21">
        <v>0</v>
      </c>
      <c r="BU21">
        <v>6.68</v>
      </c>
      <c r="BV21">
        <v>5.62</v>
      </c>
      <c r="BW21">
        <v>0.34</v>
      </c>
      <c r="BX21">
        <v>0.72</v>
      </c>
      <c r="BY21">
        <v>0</v>
      </c>
      <c r="BZ21">
        <v>0.04</v>
      </c>
      <c r="CA21">
        <v>5.58</v>
      </c>
      <c r="CB21">
        <v>0</v>
      </c>
      <c r="CC21">
        <f t="shared" si="0"/>
        <v>2.75</v>
      </c>
      <c r="CD21">
        <v>3.96</v>
      </c>
      <c r="CE21">
        <v>0.34230769230769231</v>
      </c>
      <c r="CF21">
        <v>0.44500000000000001</v>
      </c>
      <c r="CG21">
        <v>0.1492537313432836</v>
      </c>
      <c r="CH21">
        <v>0.28776223776223769</v>
      </c>
      <c r="CI21">
        <v>0</v>
      </c>
      <c r="CJ21">
        <v>32567</v>
      </c>
      <c r="CK21" t="s">
        <v>169</v>
      </c>
      <c r="CL21" t="s">
        <v>261</v>
      </c>
      <c r="CM21" t="s">
        <v>143</v>
      </c>
      <c r="CN21">
        <v>0.21273778262900001</v>
      </c>
      <c r="CO21">
        <v>0.3283974940360363</v>
      </c>
      <c r="CP21">
        <v>20</v>
      </c>
      <c r="CQ21" t="s">
        <v>213</v>
      </c>
      <c r="CR21">
        <v>110</v>
      </c>
      <c r="CS21" t="s">
        <v>214</v>
      </c>
      <c r="CT21" t="s">
        <v>215</v>
      </c>
      <c r="CU21" t="s">
        <v>216</v>
      </c>
      <c r="CV21" t="s">
        <v>217</v>
      </c>
      <c r="CW21" t="s">
        <v>175</v>
      </c>
      <c r="CX21" t="s">
        <v>218</v>
      </c>
      <c r="CY21" t="s">
        <v>219</v>
      </c>
      <c r="CZ21" t="s">
        <v>151</v>
      </c>
      <c r="DA21" t="s">
        <v>152</v>
      </c>
      <c r="DB21" t="s">
        <v>178</v>
      </c>
      <c r="DC21" t="s">
        <v>179</v>
      </c>
      <c r="DD21" t="s">
        <v>155</v>
      </c>
      <c r="DE21">
        <v>4393</v>
      </c>
      <c r="DF21">
        <v>-89.078338000000002</v>
      </c>
      <c r="DG21">
        <v>30.725223</v>
      </c>
      <c r="DH21">
        <v>8000</v>
      </c>
      <c r="DI21">
        <v>650</v>
      </c>
      <c r="DJ21">
        <v>3600</v>
      </c>
      <c r="DL21">
        <v>21</v>
      </c>
      <c r="DM21">
        <v>16</v>
      </c>
      <c r="DN21">
        <v>29</v>
      </c>
      <c r="DO21">
        <v>400</v>
      </c>
      <c r="DP21">
        <v>67</v>
      </c>
      <c r="DQ21">
        <v>3080</v>
      </c>
      <c r="DS21">
        <v>11</v>
      </c>
      <c r="DT21">
        <v>1.2500000000000001E-2</v>
      </c>
      <c r="DU21">
        <v>1.2500000000000001E-2</v>
      </c>
      <c r="DV21">
        <v>0.32500000000000001</v>
      </c>
      <c r="DW21">
        <v>0.32500000000000001</v>
      </c>
      <c r="DX21">
        <v>0.32500000000000001</v>
      </c>
      <c r="DY21">
        <v>0</v>
      </c>
      <c r="DZ21" s="4">
        <v>3.4470000000000001</v>
      </c>
      <c r="EA21" s="4" t="s">
        <v>182</v>
      </c>
      <c r="EB21" s="4" t="s">
        <v>183</v>
      </c>
      <c r="EC21">
        <v>4.4379999999999997</v>
      </c>
      <c r="ED21">
        <v>404</v>
      </c>
      <c r="EE21" t="s">
        <v>260</v>
      </c>
      <c r="EF21">
        <v>0.1199375002670186</v>
      </c>
      <c r="EH21">
        <f t="shared" si="1"/>
        <v>0.58000000000000007</v>
      </c>
      <c r="EI21">
        <v>3.38</v>
      </c>
      <c r="EJ21">
        <v>3.65</v>
      </c>
    </row>
    <row r="22" spans="1:140" x14ac:dyDescent="0.35">
      <c r="A22" s="1">
        <v>20</v>
      </c>
      <c r="B22">
        <v>-95.11794317909154</v>
      </c>
      <c r="C22">
        <v>30.104209123715268</v>
      </c>
      <c r="D22" t="s">
        <v>262</v>
      </c>
      <c r="E22">
        <v>0.02</v>
      </c>
      <c r="F22" t="s">
        <v>160</v>
      </c>
      <c r="G22">
        <v>3.1099999999999999E-2</v>
      </c>
      <c r="H22" t="s">
        <v>161</v>
      </c>
      <c r="I22">
        <v>-10588481</v>
      </c>
      <c r="J22">
        <v>3516952</v>
      </c>
      <c r="K22" t="s">
        <v>165</v>
      </c>
      <c r="L22" t="s">
        <v>263</v>
      </c>
      <c r="M22">
        <v>101</v>
      </c>
      <c r="N22">
        <v>3.335</v>
      </c>
      <c r="O22">
        <v>3</v>
      </c>
      <c r="P22">
        <v>7</v>
      </c>
      <c r="Q22">
        <v>48</v>
      </c>
      <c r="R22">
        <v>201</v>
      </c>
      <c r="S22">
        <v>4731129</v>
      </c>
      <c r="T22" t="s">
        <v>167</v>
      </c>
      <c r="U22">
        <v>4.3100995732574674</v>
      </c>
      <c r="V22" t="s">
        <v>165</v>
      </c>
      <c r="W22">
        <v>9.7899999999999987E-2</v>
      </c>
      <c r="X22">
        <v>10</v>
      </c>
      <c r="Y22">
        <v>8.9</v>
      </c>
      <c r="Z22">
        <v>8.9</v>
      </c>
      <c r="AA22">
        <v>20</v>
      </c>
      <c r="AB22">
        <v>26</v>
      </c>
      <c r="AC22">
        <v>0.82299999999999995</v>
      </c>
      <c r="AD22">
        <v>67</v>
      </c>
      <c r="AE22">
        <v>0.1308010171646535</v>
      </c>
      <c r="AF22">
        <v>2.86</v>
      </c>
      <c r="AG22" t="s">
        <v>167</v>
      </c>
      <c r="AH22" t="s">
        <v>165</v>
      </c>
      <c r="AI22">
        <v>37</v>
      </c>
      <c r="AJ22">
        <v>1.233333333333333E-2</v>
      </c>
      <c r="AK22">
        <v>12.33333333333333</v>
      </c>
      <c r="AL22" t="s">
        <v>228</v>
      </c>
      <c r="AM22">
        <v>0</v>
      </c>
      <c r="AN22">
        <v>1.03</v>
      </c>
      <c r="AO22">
        <v>0.09</v>
      </c>
      <c r="AP22">
        <v>0.19</v>
      </c>
      <c r="AQ22">
        <v>0.74</v>
      </c>
      <c r="AR22">
        <v>0.68</v>
      </c>
      <c r="AS22">
        <v>0.04</v>
      </c>
      <c r="AT22">
        <v>0.01</v>
      </c>
      <c r="AU22">
        <v>0.02</v>
      </c>
      <c r="AV22">
        <v>1.95</v>
      </c>
      <c r="AW22">
        <v>0.96</v>
      </c>
      <c r="AX22">
        <v>0.21</v>
      </c>
      <c r="AY22">
        <v>0.53</v>
      </c>
      <c r="AZ22">
        <v>0</v>
      </c>
      <c r="BA22">
        <v>0.72</v>
      </c>
      <c r="BB22">
        <v>0.08</v>
      </c>
      <c r="BC22">
        <v>0.15</v>
      </c>
      <c r="BD22">
        <v>0.27</v>
      </c>
      <c r="BE22">
        <v>6.28</v>
      </c>
      <c r="BF22">
        <v>5.59</v>
      </c>
      <c r="BG22">
        <v>0.24</v>
      </c>
      <c r="BH22">
        <v>0.45</v>
      </c>
      <c r="BI22">
        <v>0</v>
      </c>
      <c r="BJ22">
        <v>0.04</v>
      </c>
      <c r="BK22">
        <v>5.55</v>
      </c>
      <c r="BL22">
        <v>0</v>
      </c>
      <c r="BM22">
        <v>1.51</v>
      </c>
      <c r="BN22">
        <v>0.21</v>
      </c>
      <c r="BO22">
        <v>0.46</v>
      </c>
      <c r="BP22">
        <v>0.84</v>
      </c>
      <c r="BQ22">
        <v>0.67</v>
      </c>
      <c r="BR22">
        <v>0.06</v>
      </c>
      <c r="BS22">
        <v>0.11</v>
      </c>
      <c r="BT22">
        <v>0</v>
      </c>
      <c r="BU22">
        <v>6.68</v>
      </c>
      <c r="BV22">
        <v>5.62</v>
      </c>
      <c r="BW22">
        <v>0.34</v>
      </c>
      <c r="BX22">
        <v>0.72</v>
      </c>
      <c r="BY22">
        <v>0</v>
      </c>
      <c r="BZ22">
        <v>0.04</v>
      </c>
      <c r="CA22">
        <v>5.58</v>
      </c>
      <c r="CB22">
        <v>0</v>
      </c>
      <c r="CC22">
        <f t="shared" si="0"/>
        <v>2.75</v>
      </c>
      <c r="CD22">
        <v>3.96</v>
      </c>
      <c r="CE22">
        <v>0.34230769230769231</v>
      </c>
      <c r="CF22">
        <v>0.44500000000000001</v>
      </c>
      <c r="CG22">
        <v>0.1492537313432836</v>
      </c>
      <c r="CH22">
        <v>0.28776223776223769</v>
      </c>
      <c r="CI22">
        <v>0</v>
      </c>
      <c r="CJ22">
        <v>28254</v>
      </c>
      <c r="CK22" t="s">
        <v>141</v>
      </c>
      <c r="CL22" t="s">
        <v>187</v>
      </c>
      <c r="CM22" t="s">
        <v>143</v>
      </c>
      <c r="CN22">
        <v>0.735340162164</v>
      </c>
      <c r="CO22">
        <v>4.324012549379383E-2</v>
      </c>
      <c r="CP22">
        <v>21</v>
      </c>
      <c r="CQ22" t="s">
        <v>171</v>
      </c>
      <c r="CR22">
        <v>85</v>
      </c>
      <c r="CS22" t="s">
        <v>172</v>
      </c>
      <c r="CT22" t="s">
        <v>173</v>
      </c>
      <c r="CU22" t="s">
        <v>167</v>
      </c>
      <c r="CV22" t="s">
        <v>174</v>
      </c>
      <c r="CW22" t="s">
        <v>175</v>
      </c>
      <c r="CX22" t="s">
        <v>176</v>
      </c>
      <c r="CY22" t="s">
        <v>177</v>
      </c>
      <c r="CZ22" t="s">
        <v>151</v>
      </c>
      <c r="DA22" t="s">
        <v>152</v>
      </c>
      <c r="DB22" t="s">
        <v>178</v>
      </c>
      <c r="DC22" t="s">
        <v>179</v>
      </c>
      <c r="DD22" t="s">
        <v>180</v>
      </c>
      <c r="DE22">
        <v>1762</v>
      </c>
      <c r="DF22">
        <v>-97.658204999999995</v>
      </c>
      <c r="DG22">
        <v>26.763223</v>
      </c>
      <c r="DH22">
        <v>9000</v>
      </c>
      <c r="DI22">
        <v>1000</v>
      </c>
      <c r="DL22">
        <v>19</v>
      </c>
      <c r="DM22">
        <v>15</v>
      </c>
      <c r="DN22">
        <v>25</v>
      </c>
      <c r="DO22">
        <v>420</v>
      </c>
      <c r="DP22">
        <v>50</v>
      </c>
      <c r="DQ22">
        <v>6000</v>
      </c>
      <c r="DR22">
        <v>75000</v>
      </c>
      <c r="DS22" t="s">
        <v>181</v>
      </c>
      <c r="DT22">
        <v>1.2500000000000001E-2</v>
      </c>
      <c r="DU22">
        <v>1.2500000000000001E-2</v>
      </c>
      <c r="DV22">
        <v>0.32500000000000001</v>
      </c>
      <c r="DW22">
        <v>0.32500000000000001</v>
      </c>
      <c r="DX22">
        <v>0.32500000000000001</v>
      </c>
      <c r="DY22">
        <v>0</v>
      </c>
      <c r="DZ22" s="4">
        <v>3.4470000000000001</v>
      </c>
      <c r="EA22" s="4" t="s">
        <v>182</v>
      </c>
      <c r="EB22" s="4" t="s">
        <v>183</v>
      </c>
      <c r="EC22">
        <v>4.4379999999999997</v>
      </c>
      <c r="ED22">
        <v>380</v>
      </c>
      <c r="EE22" t="s">
        <v>228</v>
      </c>
      <c r="EF22">
        <v>0</v>
      </c>
      <c r="EH22">
        <f t="shared" si="1"/>
        <v>0.58000000000000007</v>
      </c>
      <c r="EI22">
        <v>3.38</v>
      </c>
      <c r="EJ22">
        <v>3.65</v>
      </c>
    </row>
    <row r="23" spans="1:140" x14ac:dyDescent="0.35">
      <c r="A23" s="1">
        <v>21</v>
      </c>
      <c r="B23">
        <v>-93.321312610852502</v>
      </c>
      <c r="C23">
        <v>30.104209123715268</v>
      </c>
      <c r="D23" t="s">
        <v>264</v>
      </c>
      <c r="E23">
        <v>0.02</v>
      </c>
      <c r="F23" t="s">
        <v>160</v>
      </c>
      <c r="G23">
        <v>3.1099999999999999E-2</v>
      </c>
      <c r="H23" t="s">
        <v>161</v>
      </c>
      <c r="I23">
        <v>-10388481</v>
      </c>
      <c r="J23">
        <v>3516952</v>
      </c>
      <c r="K23" t="s">
        <v>230</v>
      </c>
      <c r="L23" t="s">
        <v>265</v>
      </c>
      <c r="M23">
        <v>10</v>
      </c>
      <c r="N23">
        <v>3.56</v>
      </c>
      <c r="T23" t="s">
        <v>232</v>
      </c>
      <c r="U23">
        <v>4.7114090123958539</v>
      </c>
      <c r="V23" t="s">
        <v>230</v>
      </c>
      <c r="W23">
        <v>8.8000000000000009E-2</v>
      </c>
      <c r="X23">
        <v>10</v>
      </c>
      <c r="Y23">
        <v>8.9</v>
      </c>
      <c r="Z23">
        <v>8.9</v>
      </c>
      <c r="AA23">
        <v>20</v>
      </c>
      <c r="AB23">
        <v>26</v>
      </c>
      <c r="AC23">
        <v>0.92700000000000005</v>
      </c>
      <c r="AD23">
        <v>67</v>
      </c>
      <c r="AE23">
        <v>0.14732994278448819</v>
      </c>
      <c r="AF23">
        <v>2.86</v>
      </c>
      <c r="AG23" t="s">
        <v>232</v>
      </c>
      <c r="AH23" t="s">
        <v>230</v>
      </c>
      <c r="AI23">
        <v>21</v>
      </c>
      <c r="AJ23">
        <v>7.0000000000000001E-3</v>
      </c>
      <c r="AK23">
        <v>7</v>
      </c>
      <c r="AL23" t="s">
        <v>266</v>
      </c>
      <c r="AM23">
        <v>0</v>
      </c>
      <c r="AN23">
        <v>1.0900000000000001</v>
      </c>
      <c r="AO23">
        <v>0.09</v>
      </c>
      <c r="AP23">
        <v>0.19</v>
      </c>
      <c r="AQ23">
        <v>0.8</v>
      </c>
      <c r="AR23">
        <v>0.74</v>
      </c>
      <c r="AS23">
        <v>0.04</v>
      </c>
      <c r="AT23">
        <v>0.01</v>
      </c>
      <c r="AU23">
        <v>0.02</v>
      </c>
      <c r="AV23">
        <v>2</v>
      </c>
      <c r="AW23">
        <v>1.01</v>
      </c>
      <c r="AX23">
        <v>0.21</v>
      </c>
      <c r="AY23">
        <v>0.53</v>
      </c>
      <c r="AZ23">
        <v>0</v>
      </c>
      <c r="BA23">
        <v>0.79</v>
      </c>
      <c r="BB23">
        <v>0.08</v>
      </c>
      <c r="BC23">
        <v>0.14000000000000001</v>
      </c>
      <c r="BD23">
        <v>0.27</v>
      </c>
      <c r="BE23">
        <v>5.72</v>
      </c>
      <c r="BF23">
        <v>5.03</v>
      </c>
      <c r="BG23">
        <v>0.24</v>
      </c>
      <c r="BH23">
        <v>0.45</v>
      </c>
      <c r="BI23">
        <v>0</v>
      </c>
      <c r="BJ23">
        <v>0.04</v>
      </c>
      <c r="BK23">
        <v>4.99</v>
      </c>
      <c r="BL23">
        <v>0</v>
      </c>
      <c r="BM23">
        <v>1.56</v>
      </c>
      <c r="BN23">
        <v>0.21</v>
      </c>
      <c r="BO23">
        <v>0.46</v>
      </c>
      <c r="BP23">
        <v>0.89</v>
      </c>
      <c r="BQ23">
        <v>0.73</v>
      </c>
      <c r="BR23">
        <v>0.06</v>
      </c>
      <c r="BS23">
        <v>0.1</v>
      </c>
      <c r="BT23">
        <v>0</v>
      </c>
      <c r="BU23">
        <v>6.12</v>
      </c>
      <c r="BV23">
        <v>5.0599999999999996</v>
      </c>
      <c r="BW23">
        <v>0.34</v>
      </c>
      <c r="BX23">
        <v>0.72</v>
      </c>
      <c r="BY23">
        <v>0</v>
      </c>
      <c r="BZ23">
        <v>0.04</v>
      </c>
      <c r="CA23">
        <v>5.0199999999999996</v>
      </c>
      <c r="CB23">
        <v>0</v>
      </c>
      <c r="CC23">
        <f t="shared" si="0"/>
        <v>2.75</v>
      </c>
      <c r="CD23">
        <v>3.96</v>
      </c>
      <c r="CE23">
        <v>0.34230769230769231</v>
      </c>
      <c r="CF23">
        <v>0.44500000000000001</v>
      </c>
      <c r="CG23">
        <v>0.1492537313432836</v>
      </c>
      <c r="CH23">
        <v>0.32412587412587418</v>
      </c>
      <c r="CI23">
        <v>0</v>
      </c>
      <c r="CJ23">
        <v>5721</v>
      </c>
      <c r="CK23" t="s">
        <v>141</v>
      </c>
      <c r="CL23" t="s">
        <v>267</v>
      </c>
      <c r="CM23" t="s">
        <v>143</v>
      </c>
      <c r="CN23">
        <v>0.113781848821</v>
      </c>
      <c r="CO23">
        <v>8.5124745967826571E-2</v>
      </c>
      <c r="CP23">
        <v>22</v>
      </c>
      <c r="CQ23" t="s">
        <v>188</v>
      </c>
      <c r="CR23">
        <v>85</v>
      </c>
      <c r="CS23" t="s">
        <v>172</v>
      </c>
      <c r="CT23" t="s">
        <v>173</v>
      </c>
      <c r="CU23" t="s">
        <v>167</v>
      </c>
      <c r="CV23" t="s">
        <v>174</v>
      </c>
      <c r="CW23" t="s">
        <v>175</v>
      </c>
      <c r="CX23" t="s">
        <v>176</v>
      </c>
      <c r="CY23" t="s">
        <v>177</v>
      </c>
      <c r="CZ23" t="s">
        <v>151</v>
      </c>
      <c r="DA23" t="s">
        <v>152</v>
      </c>
      <c r="DB23" t="s">
        <v>178</v>
      </c>
      <c r="DC23" t="s">
        <v>179</v>
      </c>
      <c r="DD23" t="s">
        <v>180</v>
      </c>
      <c r="DE23">
        <v>1762</v>
      </c>
      <c r="DF23">
        <v>-97.658204999999995</v>
      </c>
      <c r="DG23">
        <v>26.763223</v>
      </c>
      <c r="DH23">
        <v>9000</v>
      </c>
      <c r="DI23">
        <v>1000</v>
      </c>
      <c r="DL23">
        <v>19</v>
      </c>
      <c r="DM23">
        <v>15</v>
      </c>
      <c r="DN23">
        <v>25</v>
      </c>
      <c r="DO23">
        <v>420</v>
      </c>
      <c r="DP23">
        <v>50</v>
      </c>
      <c r="DQ23">
        <v>6000</v>
      </c>
      <c r="DR23">
        <v>75000</v>
      </c>
      <c r="DS23" t="s">
        <v>181</v>
      </c>
      <c r="DT23">
        <v>1.2500000000000001E-2</v>
      </c>
      <c r="DU23">
        <v>1.2500000000000001E-2</v>
      </c>
      <c r="DV23">
        <v>0.32500000000000001</v>
      </c>
      <c r="DW23">
        <v>0.32500000000000001</v>
      </c>
      <c r="DX23">
        <v>0.32500000000000001</v>
      </c>
      <c r="DY23">
        <v>0</v>
      </c>
      <c r="DZ23" s="4">
        <v>3.4790000000000001</v>
      </c>
      <c r="EA23" s="4" t="s">
        <v>235</v>
      </c>
      <c r="EB23" s="4" t="s">
        <v>236</v>
      </c>
      <c r="EC23">
        <v>4.4269999999999996</v>
      </c>
      <c r="ED23">
        <v>33</v>
      </c>
      <c r="EE23" t="s">
        <v>266</v>
      </c>
      <c r="EF23">
        <v>0</v>
      </c>
      <c r="EH23">
        <f t="shared" si="1"/>
        <v>0.58000000000000007</v>
      </c>
      <c r="EI23">
        <v>3.38</v>
      </c>
      <c r="EJ23">
        <v>3.65</v>
      </c>
    </row>
    <row r="24" spans="1:140" x14ac:dyDescent="0.35">
      <c r="A24" s="1">
        <v>22</v>
      </c>
      <c r="B24">
        <v>-91.524682042613449</v>
      </c>
      <c r="C24">
        <v>30.104209123715268</v>
      </c>
      <c r="D24" t="s">
        <v>268</v>
      </c>
      <c r="E24">
        <v>0.02</v>
      </c>
      <c r="F24" t="s">
        <v>160</v>
      </c>
      <c r="G24">
        <v>3.1099999999999999E-2</v>
      </c>
      <c r="H24" t="s">
        <v>161</v>
      </c>
      <c r="I24">
        <v>-10188481</v>
      </c>
      <c r="J24">
        <v>3516952</v>
      </c>
      <c r="K24" t="s">
        <v>230</v>
      </c>
      <c r="L24" t="s">
        <v>269</v>
      </c>
      <c r="M24">
        <v>50</v>
      </c>
      <c r="N24">
        <v>3.38</v>
      </c>
      <c r="T24" t="s">
        <v>232</v>
      </c>
      <c r="U24">
        <v>4.7114090123958539</v>
      </c>
      <c r="V24" t="s">
        <v>230</v>
      </c>
      <c r="W24">
        <v>8.8000000000000009E-2</v>
      </c>
      <c r="X24">
        <v>10</v>
      </c>
      <c r="Y24">
        <v>8.9</v>
      </c>
      <c r="Z24">
        <v>8.9</v>
      </c>
      <c r="AA24">
        <v>20</v>
      </c>
      <c r="AB24">
        <v>26</v>
      </c>
      <c r="AC24">
        <v>0.92700000000000005</v>
      </c>
      <c r="AD24">
        <v>67</v>
      </c>
      <c r="AE24">
        <v>0.14732994278448819</v>
      </c>
      <c r="AF24">
        <v>2.86</v>
      </c>
      <c r="AG24" t="s">
        <v>232</v>
      </c>
      <c r="AH24" t="s">
        <v>230</v>
      </c>
      <c r="AI24">
        <v>21</v>
      </c>
      <c r="AJ24">
        <v>7.0000000000000001E-3</v>
      </c>
      <c r="AK24">
        <v>7</v>
      </c>
      <c r="AL24" t="s">
        <v>270</v>
      </c>
      <c r="AM24">
        <v>0</v>
      </c>
      <c r="AN24">
        <v>1.0900000000000001</v>
      </c>
      <c r="AO24">
        <v>0.09</v>
      </c>
      <c r="AP24">
        <v>0.19</v>
      </c>
      <c r="AQ24">
        <v>0.8</v>
      </c>
      <c r="AR24">
        <v>0.74</v>
      </c>
      <c r="AS24">
        <v>0.04</v>
      </c>
      <c r="AT24">
        <v>0.01</v>
      </c>
      <c r="AU24">
        <v>0.02</v>
      </c>
      <c r="AV24">
        <v>2</v>
      </c>
      <c r="AW24">
        <v>1.01</v>
      </c>
      <c r="AX24">
        <v>0.21</v>
      </c>
      <c r="AY24">
        <v>0.53</v>
      </c>
      <c r="AZ24">
        <v>0</v>
      </c>
      <c r="BA24">
        <v>0.79</v>
      </c>
      <c r="BB24">
        <v>0.08</v>
      </c>
      <c r="BC24">
        <v>0.14000000000000001</v>
      </c>
      <c r="BD24">
        <v>0.27</v>
      </c>
      <c r="BE24">
        <v>5.72</v>
      </c>
      <c r="BF24">
        <v>5.03</v>
      </c>
      <c r="BG24">
        <v>0.24</v>
      </c>
      <c r="BH24">
        <v>0.45</v>
      </c>
      <c r="BI24">
        <v>0</v>
      </c>
      <c r="BJ24">
        <v>0.04</v>
      </c>
      <c r="BK24">
        <v>4.99</v>
      </c>
      <c r="BL24">
        <v>0</v>
      </c>
      <c r="BM24">
        <v>1.56</v>
      </c>
      <c r="BN24">
        <v>0.21</v>
      </c>
      <c r="BO24">
        <v>0.46</v>
      </c>
      <c r="BP24">
        <v>0.89</v>
      </c>
      <c r="BQ24">
        <v>0.73</v>
      </c>
      <c r="BR24">
        <v>0.06</v>
      </c>
      <c r="BS24">
        <v>0.1</v>
      </c>
      <c r="BT24">
        <v>0</v>
      </c>
      <c r="BU24">
        <v>6.12</v>
      </c>
      <c r="BV24">
        <v>5.0599999999999996</v>
      </c>
      <c r="BW24">
        <v>0.34</v>
      </c>
      <c r="BX24">
        <v>0.72</v>
      </c>
      <c r="BY24">
        <v>0</v>
      </c>
      <c r="BZ24">
        <v>0.04</v>
      </c>
      <c r="CA24">
        <v>5.0199999999999996</v>
      </c>
      <c r="CB24">
        <v>0</v>
      </c>
      <c r="CC24">
        <f t="shared" si="0"/>
        <v>2.75</v>
      </c>
      <c r="CD24">
        <v>3.96</v>
      </c>
      <c r="CE24">
        <v>0.34230769230769231</v>
      </c>
      <c r="CF24">
        <v>0.44500000000000001</v>
      </c>
      <c r="CG24">
        <v>0.1492537313432836</v>
      </c>
      <c r="CH24">
        <v>0.32412587412587418</v>
      </c>
      <c r="CI24">
        <v>0</v>
      </c>
      <c r="CJ24">
        <v>22740</v>
      </c>
      <c r="CK24" t="s">
        <v>141</v>
      </c>
      <c r="CL24" t="s">
        <v>240</v>
      </c>
      <c r="CM24" t="s">
        <v>143</v>
      </c>
      <c r="CN24">
        <v>0.202512541036</v>
      </c>
      <c r="CO24">
        <v>4.2013288712166412</v>
      </c>
      <c r="CP24">
        <v>23</v>
      </c>
      <c r="CQ24" t="s">
        <v>188</v>
      </c>
      <c r="CR24">
        <v>85</v>
      </c>
      <c r="CS24" t="s">
        <v>172</v>
      </c>
      <c r="CT24" t="s">
        <v>173</v>
      </c>
      <c r="CU24" t="s">
        <v>167</v>
      </c>
      <c r="CV24" t="s">
        <v>174</v>
      </c>
      <c r="CW24" t="s">
        <v>175</v>
      </c>
      <c r="CX24" t="s">
        <v>176</v>
      </c>
      <c r="CY24" t="s">
        <v>177</v>
      </c>
      <c r="CZ24" t="s">
        <v>151</v>
      </c>
      <c r="DA24" t="s">
        <v>152</v>
      </c>
      <c r="DB24" t="s">
        <v>178</v>
      </c>
      <c r="DC24" t="s">
        <v>179</v>
      </c>
      <c r="DD24" t="s">
        <v>180</v>
      </c>
      <c r="DE24">
        <v>1762</v>
      </c>
      <c r="DF24">
        <v>-97.658204999999995</v>
      </c>
      <c r="DG24">
        <v>26.763223</v>
      </c>
      <c r="DH24">
        <v>9000</v>
      </c>
      <c r="DI24">
        <v>1000</v>
      </c>
      <c r="DL24">
        <v>19</v>
      </c>
      <c r="DM24">
        <v>15</v>
      </c>
      <c r="DN24">
        <v>25</v>
      </c>
      <c r="DO24">
        <v>420</v>
      </c>
      <c r="DP24">
        <v>50</v>
      </c>
      <c r="DQ24">
        <v>6000</v>
      </c>
      <c r="DR24">
        <v>75000</v>
      </c>
      <c r="DS24" t="s">
        <v>181</v>
      </c>
      <c r="DT24">
        <v>1.2500000000000001E-2</v>
      </c>
      <c r="DU24">
        <v>1.2500000000000001E-2</v>
      </c>
      <c r="DV24">
        <v>0.32500000000000001</v>
      </c>
      <c r="DW24">
        <v>0.32500000000000001</v>
      </c>
      <c r="DX24">
        <v>0.32500000000000001</v>
      </c>
      <c r="DY24">
        <v>0</v>
      </c>
      <c r="DZ24" s="4">
        <v>3.4790000000000001</v>
      </c>
      <c r="EA24" s="4" t="s">
        <v>235</v>
      </c>
      <c r="EB24" s="4" t="s">
        <v>236</v>
      </c>
      <c r="EC24">
        <v>4.4269999999999996</v>
      </c>
      <c r="ED24">
        <v>71</v>
      </c>
      <c r="EE24" t="s">
        <v>270</v>
      </c>
      <c r="EF24">
        <v>0</v>
      </c>
      <c r="EH24">
        <f t="shared" si="1"/>
        <v>0.58000000000000007</v>
      </c>
      <c r="EI24">
        <v>3.38</v>
      </c>
      <c r="EJ24">
        <v>3.65</v>
      </c>
    </row>
    <row r="25" spans="1:140" x14ac:dyDescent="0.35">
      <c r="A25" s="1">
        <v>23</v>
      </c>
      <c r="B25">
        <v>-89.728051474374411</v>
      </c>
      <c r="C25">
        <v>30.104209123715268</v>
      </c>
      <c r="D25" t="s">
        <v>271</v>
      </c>
      <c r="E25">
        <v>0.02</v>
      </c>
      <c r="F25" t="s">
        <v>160</v>
      </c>
      <c r="G25">
        <v>3.1099999999999999E-2</v>
      </c>
      <c r="H25" t="s">
        <v>161</v>
      </c>
      <c r="I25">
        <v>-9988481</v>
      </c>
      <c r="J25">
        <v>3516952</v>
      </c>
      <c r="K25" t="s">
        <v>230</v>
      </c>
      <c r="L25" t="s">
        <v>272</v>
      </c>
      <c r="M25">
        <v>36</v>
      </c>
      <c r="N25">
        <v>3.4409999999999998</v>
      </c>
      <c r="T25" t="s">
        <v>232</v>
      </c>
      <c r="U25">
        <v>4.7114090123958539</v>
      </c>
      <c r="V25" t="s">
        <v>230</v>
      </c>
      <c r="W25">
        <v>8.8000000000000009E-2</v>
      </c>
      <c r="X25">
        <v>10</v>
      </c>
      <c r="Y25">
        <v>8.9</v>
      </c>
      <c r="Z25">
        <v>8.9</v>
      </c>
      <c r="AA25">
        <v>20</v>
      </c>
      <c r="AB25">
        <v>26</v>
      </c>
      <c r="AC25">
        <v>0.92700000000000005</v>
      </c>
      <c r="AD25">
        <v>67</v>
      </c>
      <c r="AE25">
        <v>0.14732994278448819</v>
      </c>
      <c r="AF25">
        <v>2.86</v>
      </c>
      <c r="AG25" t="s">
        <v>232</v>
      </c>
      <c r="AH25" t="s">
        <v>230</v>
      </c>
      <c r="AI25">
        <v>21</v>
      </c>
      <c r="AJ25">
        <v>7.0000000000000001E-3</v>
      </c>
      <c r="AK25">
        <v>7</v>
      </c>
      <c r="AL25" t="s">
        <v>239</v>
      </c>
      <c r="AM25">
        <v>0</v>
      </c>
      <c r="AN25">
        <v>1.0900000000000001</v>
      </c>
      <c r="AO25">
        <v>0.09</v>
      </c>
      <c r="AP25">
        <v>0.19</v>
      </c>
      <c r="AQ25">
        <v>0.8</v>
      </c>
      <c r="AR25">
        <v>0.74</v>
      </c>
      <c r="AS25">
        <v>0.04</v>
      </c>
      <c r="AT25">
        <v>0.01</v>
      </c>
      <c r="AU25">
        <v>0.02</v>
      </c>
      <c r="AV25">
        <v>2</v>
      </c>
      <c r="AW25">
        <v>1.01</v>
      </c>
      <c r="AX25">
        <v>0.21</v>
      </c>
      <c r="AY25">
        <v>0.53</v>
      </c>
      <c r="AZ25">
        <v>0</v>
      </c>
      <c r="BA25">
        <v>0.79</v>
      </c>
      <c r="BB25">
        <v>0.08</v>
      </c>
      <c r="BC25">
        <v>0.14000000000000001</v>
      </c>
      <c r="BD25">
        <v>0.27</v>
      </c>
      <c r="BE25">
        <v>5.72</v>
      </c>
      <c r="BF25">
        <v>5.03</v>
      </c>
      <c r="BG25">
        <v>0.24</v>
      </c>
      <c r="BH25">
        <v>0.45</v>
      </c>
      <c r="BI25">
        <v>0</v>
      </c>
      <c r="BJ25">
        <v>0.04</v>
      </c>
      <c r="BK25">
        <v>4.99</v>
      </c>
      <c r="BL25">
        <v>0</v>
      </c>
      <c r="BM25">
        <v>1.56</v>
      </c>
      <c r="BN25">
        <v>0.21</v>
      </c>
      <c r="BO25">
        <v>0.46</v>
      </c>
      <c r="BP25">
        <v>0.89</v>
      </c>
      <c r="BQ25">
        <v>0.73</v>
      </c>
      <c r="BR25">
        <v>0.06</v>
      </c>
      <c r="BS25">
        <v>0.1</v>
      </c>
      <c r="BT25">
        <v>0</v>
      </c>
      <c r="BU25">
        <v>6.12</v>
      </c>
      <c r="BV25">
        <v>5.0599999999999996</v>
      </c>
      <c r="BW25">
        <v>0.34</v>
      </c>
      <c r="BX25">
        <v>0.72</v>
      </c>
      <c r="BY25">
        <v>0</v>
      </c>
      <c r="BZ25">
        <v>0.04</v>
      </c>
      <c r="CA25">
        <v>5.0199999999999996</v>
      </c>
      <c r="CB25">
        <v>0</v>
      </c>
      <c r="CC25">
        <f t="shared" si="0"/>
        <v>2.75</v>
      </c>
      <c r="CD25">
        <v>3.96</v>
      </c>
      <c r="CE25">
        <v>0.34230769230769231</v>
      </c>
      <c r="CF25">
        <v>0.44500000000000001</v>
      </c>
      <c r="CG25">
        <v>0.1492537313432836</v>
      </c>
      <c r="CH25">
        <v>0.32412587412587418</v>
      </c>
      <c r="CI25">
        <v>0</v>
      </c>
      <c r="CJ25">
        <v>22910</v>
      </c>
      <c r="CK25" t="s">
        <v>141</v>
      </c>
      <c r="CL25" t="s">
        <v>240</v>
      </c>
      <c r="CM25" t="s">
        <v>143</v>
      </c>
      <c r="CN25">
        <v>0.200117765093</v>
      </c>
      <c r="CO25">
        <v>0.62581497501121008</v>
      </c>
      <c r="CP25">
        <v>24</v>
      </c>
      <c r="CQ25" t="s">
        <v>188</v>
      </c>
      <c r="CR25">
        <v>85</v>
      </c>
      <c r="CS25" t="s">
        <v>172</v>
      </c>
      <c r="CT25" t="s">
        <v>173</v>
      </c>
      <c r="CU25" t="s">
        <v>167</v>
      </c>
      <c r="CV25" t="s">
        <v>174</v>
      </c>
      <c r="CW25" t="s">
        <v>175</v>
      </c>
      <c r="CX25" t="s">
        <v>176</v>
      </c>
      <c r="CY25" t="s">
        <v>177</v>
      </c>
      <c r="CZ25" t="s">
        <v>151</v>
      </c>
      <c r="DA25" t="s">
        <v>152</v>
      </c>
      <c r="DB25" t="s">
        <v>178</v>
      </c>
      <c r="DC25" t="s">
        <v>179</v>
      </c>
      <c r="DD25" t="s">
        <v>180</v>
      </c>
      <c r="DE25">
        <v>1762</v>
      </c>
      <c r="DF25">
        <v>-97.658204999999995</v>
      </c>
      <c r="DG25">
        <v>26.763223</v>
      </c>
      <c r="DH25">
        <v>9000</v>
      </c>
      <c r="DI25">
        <v>1000</v>
      </c>
      <c r="DL25">
        <v>19</v>
      </c>
      <c r="DM25">
        <v>15</v>
      </c>
      <c r="DN25">
        <v>25</v>
      </c>
      <c r="DO25">
        <v>420</v>
      </c>
      <c r="DP25">
        <v>50</v>
      </c>
      <c r="DQ25">
        <v>6000</v>
      </c>
      <c r="DR25">
        <v>75000</v>
      </c>
      <c r="DS25" t="s">
        <v>181</v>
      </c>
      <c r="DT25">
        <v>1.2500000000000001E-2</v>
      </c>
      <c r="DU25">
        <v>1.2500000000000001E-2</v>
      </c>
      <c r="DV25">
        <v>0.32500000000000001</v>
      </c>
      <c r="DW25">
        <v>0.32500000000000001</v>
      </c>
      <c r="DX25">
        <v>0.32500000000000001</v>
      </c>
      <c r="DY25">
        <v>0</v>
      </c>
      <c r="DZ25" s="4">
        <v>3.4790000000000001</v>
      </c>
      <c r="EA25" s="4" t="s">
        <v>235</v>
      </c>
      <c r="EB25" s="4" t="s">
        <v>236</v>
      </c>
      <c r="EC25">
        <v>4.4269999999999996</v>
      </c>
      <c r="ED25">
        <v>73</v>
      </c>
      <c r="EE25" t="s">
        <v>239</v>
      </c>
      <c r="EF25">
        <v>0</v>
      </c>
      <c r="EH25">
        <f t="shared" si="1"/>
        <v>0.58000000000000007</v>
      </c>
      <c r="EI25">
        <v>3.38</v>
      </c>
      <c r="EJ25">
        <v>3.65</v>
      </c>
    </row>
    <row r="26" spans="1:140" x14ac:dyDescent="0.35">
      <c r="A26" s="1">
        <v>24</v>
      </c>
      <c r="B26">
        <v>-87.931420906135358</v>
      </c>
      <c r="C26">
        <v>30.104209123715268</v>
      </c>
      <c r="D26" t="s">
        <v>273</v>
      </c>
      <c r="E26">
        <v>0.02</v>
      </c>
      <c r="F26" t="s">
        <v>160</v>
      </c>
      <c r="G26">
        <v>3.7400000000000003E-2</v>
      </c>
      <c r="H26" t="s">
        <v>161</v>
      </c>
      <c r="I26">
        <v>-9788481</v>
      </c>
      <c r="J26">
        <v>3516952</v>
      </c>
      <c r="K26" t="s">
        <v>274</v>
      </c>
      <c r="L26" t="s">
        <v>275</v>
      </c>
      <c r="M26">
        <v>2</v>
      </c>
      <c r="N26">
        <v>3.4769999999999999</v>
      </c>
      <c r="O26">
        <v>3</v>
      </c>
      <c r="P26">
        <v>6</v>
      </c>
      <c r="Q26">
        <v>1</v>
      </c>
      <c r="R26">
        <v>3</v>
      </c>
      <c r="S26">
        <v>231761</v>
      </c>
      <c r="T26" t="s">
        <v>276</v>
      </c>
      <c r="U26">
        <v>5.7134919223735006</v>
      </c>
      <c r="V26" t="s">
        <v>274</v>
      </c>
      <c r="W26">
        <v>0.11899999999999999</v>
      </c>
      <c r="X26">
        <v>10</v>
      </c>
      <c r="Y26">
        <v>8.9</v>
      </c>
      <c r="Z26">
        <v>8.9</v>
      </c>
      <c r="AA26">
        <v>20</v>
      </c>
      <c r="AB26">
        <v>26</v>
      </c>
      <c r="AC26">
        <v>0.747</v>
      </c>
      <c r="AD26">
        <v>67</v>
      </c>
      <c r="AE26">
        <v>0.1187221869040051</v>
      </c>
      <c r="AF26">
        <v>2.86</v>
      </c>
      <c r="AG26" t="s">
        <v>276</v>
      </c>
      <c r="AH26" t="s">
        <v>274</v>
      </c>
      <c r="AI26">
        <v>30</v>
      </c>
      <c r="AJ26">
        <v>0.01</v>
      </c>
      <c r="AK26">
        <v>10</v>
      </c>
      <c r="AL26" t="s">
        <v>277</v>
      </c>
      <c r="AM26">
        <v>16222.535462719299</v>
      </c>
      <c r="AN26">
        <v>1.25</v>
      </c>
      <c r="AO26">
        <v>0.09</v>
      </c>
      <c r="AP26">
        <v>0.19</v>
      </c>
      <c r="AQ26">
        <v>0.96</v>
      </c>
      <c r="AR26">
        <v>0.9</v>
      </c>
      <c r="AS26">
        <v>0.04</v>
      </c>
      <c r="AT26">
        <v>0.02</v>
      </c>
      <c r="AU26">
        <v>0.02</v>
      </c>
      <c r="AV26">
        <v>2.2200000000000002</v>
      </c>
      <c r="AW26">
        <v>1.22</v>
      </c>
      <c r="AX26">
        <v>0.21</v>
      </c>
      <c r="AY26">
        <v>0.53</v>
      </c>
      <c r="AZ26">
        <v>0</v>
      </c>
      <c r="BA26">
        <v>0.96</v>
      </c>
      <c r="BB26">
        <v>0.08</v>
      </c>
      <c r="BC26">
        <v>0.18</v>
      </c>
      <c r="BD26">
        <v>0.27</v>
      </c>
      <c r="BE26">
        <v>7.39</v>
      </c>
      <c r="BF26">
        <v>6.7</v>
      </c>
      <c r="BG26">
        <v>0.24</v>
      </c>
      <c r="BH26">
        <v>0.45</v>
      </c>
      <c r="BI26">
        <v>0</v>
      </c>
      <c r="BJ26">
        <v>0.04</v>
      </c>
      <c r="BK26">
        <v>6.66</v>
      </c>
      <c r="BL26">
        <v>0</v>
      </c>
      <c r="BM26">
        <v>1.75</v>
      </c>
      <c r="BN26">
        <v>0.21</v>
      </c>
      <c r="BO26">
        <v>0.46</v>
      </c>
      <c r="BP26">
        <v>1.08</v>
      </c>
      <c r="BQ26">
        <v>0.89</v>
      </c>
      <c r="BR26">
        <v>0.06</v>
      </c>
      <c r="BS26">
        <v>0.13</v>
      </c>
      <c r="BT26">
        <v>0</v>
      </c>
      <c r="BU26">
        <v>7.79</v>
      </c>
      <c r="BV26">
        <v>6.73</v>
      </c>
      <c r="BW26">
        <v>0.34</v>
      </c>
      <c r="BX26">
        <v>0.72</v>
      </c>
      <c r="BY26">
        <v>0</v>
      </c>
      <c r="BZ26">
        <v>0.04</v>
      </c>
      <c r="CA26">
        <v>6.7</v>
      </c>
      <c r="CB26">
        <v>0</v>
      </c>
      <c r="CC26">
        <f t="shared" si="0"/>
        <v>2.75</v>
      </c>
      <c r="CD26">
        <v>3.96</v>
      </c>
      <c r="CE26">
        <v>0.34230769230769231</v>
      </c>
      <c r="CF26">
        <v>0.44500000000000001</v>
      </c>
      <c r="CG26">
        <v>0.1492537313432836</v>
      </c>
      <c r="CH26">
        <v>0.26118881118881121</v>
      </c>
      <c r="CI26">
        <v>0</v>
      </c>
      <c r="CJ26">
        <v>4120</v>
      </c>
      <c r="CK26" t="s">
        <v>141</v>
      </c>
      <c r="CL26" t="s">
        <v>278</v>
      </c>
      <c r="CM26" t="s">
        <v>143</v>
      </c>
      <c r="CN26">
        <v>0.143819879516</v>
      </c>
      <c r="CO26">
        <v>0.5646182427712424</v>
      </c>
      <c r="CP26">
        <v>25</v>
      </c>
      <c r="CQ26" t="s">
        <v>213</v>
      </c>
      <c r="CR26">
        <v>110</v>
      </c>
      <c r="CS26" t="s">
        <v>214</v>
      </c>
      <c r="CT26" t="s">
        <v>215</v>
      </c>
      <c r="CU26" t="s">
        <v>216</v>
      </c>
      <c r="CV26" t="s">
        <v>217</v>
      </c>
      <c r="CW26" t="s">
        <v>175</v>
      </c>
      <c r="CX26" t="s">
        <v>218</v>
      </c>
      <c r="CY26" t="s">
        <v>219</v>
      </c>
      <c r="CZ26" t="s">
        <v>151</v>
      </c>
      <c r="DA26" t="s">
        <v>152</v>
      </c>
      <c r="DB26" t="s">
        <v>178</v>
      </c>
      <c r="DC26" t="s">
        <v>179</v>
      </c>
      <c r="DD26" t="s">
        <v>155</v>
      </c>
      <c r="DE26">
        <v>4393</v>
      </c>
      <c r="DF26">
        <v>-89.078338000000002</v>
      </c>
      <c r="DG26">
        <v>30.725223</v>
      </c>
      <c r="DH26">
        <v>8000</v>
      </c>
      <c r="DI26">
        <v>650</v>
      </c>
      <c r="DJ26">
        <v>3600</v>
      </c>
      <c r="DL26">
        <v>21</v>
      </c>
      <c r="DM26">
        <v>16</v>
      </c>
      <c r="DN26">
        <v>29</v>
      </c>
      <c r="DO26">
        <v>400</v>
      </c>
      <c r="DP26">
        <v>67</v>
      </c>
      <c r="DQ26">
        <v>3080</v>
      </c>
      <c r="DS26">
        <v>11</v>
      </c>
      <c r="DT26">
        <v>1.2500000000000001E-2</v>
      </c>
      <c r="DU26">
        <v>1.2500000000000001E-2</v>
      </c>
      <c r="DV26">
        <v>0.32500000000000001</v>
      </c>
      <c r="DW26">
        <v>0.32500000000000001</v>
      </c>
      <c r="DX26">
        <v>0.32500000000000001</v>
      </c>
      <c r="DY26">
        <v>0</v>
      </c>
      <c r="DZ26" s="4">
        <v>3.504</v>
      </c>
      <c r="EA26" s="4" t="s">
        <v>279</v>
      </c>
      <c r="EB26" s="4" t="s">
        <v>280</v>
      </c>
      <c r="EC26">
        <v>4.53</v>
      </c>
      <c r="ED26">
        <v>137</v>
      </c>
      <c r="EE26" t="s">
        <v>277</v>
      </c>
      <c r="EF26">
        <v>0.1260040700151919</v>
      </c>
      <c r="EH26">
        <f t="shared" si="1"/>
        <v>0.58000000000000007</v>
      </c>
      <c r="EI26">
        <v>3.38</v>
      </c>
      <c r="EJ26">
        <v>3.65</v>
      </c>
    </row>
    <row r="27" spans="1:140" x14ac:dyDescent="0.35">
      <c r="A27" s="1">
        <v>25</v>
      </c>
      <c r="B27">
        <v>-86.13479033789632</v>
      </c>
      <c r="C27">
        <v>30.104209123715268</v>
      </c>
      <c r="D27" t="s">
        <v>281</v>
      </c>
      <c r="E27">
        <v>0.1</v>
      </c>
      <c r="F27" t="s">
        <v>135</v>
      </c>
      <c r="G27">
        <v>3.6400000000000002E-2</v>
      </c>
      <c r="H27" t="s">
        <v>161</v>
      </c>
      <c r="I27">
        <v>-9588481</v>
      </c>
      <c r="J27">
        <v>3516952</v>
      </c>
      <c r="K27" t="s">
        <v>137</v>
      </c>
      <c r="L27" t="s">
        <v>282</v>
      </c>
      <c r="M27">
        <v>66</v>
      </c>
      <c r="N27">
        <v>3.6760000000000002</v>
      </c>
      <c r="O27">
        <v>3</v>
      </c>
      <c r="P27">
        <v>5</v>
      </c>
      <c r="Q27">
        <v>12</v>
      </c>
      <c r="R27">
        <v>131</v>
      </c>
      <c r="S27">
        <v>75306</v>
      </c>
      <c r="T27" t="s">
        <v>139</v>
      </c>
      <c r="U27">
        <v>7.3602943056585426</v>
      </c>
      <c r="V27" t="s">
        <v>137</v>
      </c>
      <c r="W27">
        <v>0.12529999999999999</v>
      </c>
      <c r="X27">
        <v>10</v>
      </c>
      <c r="Y27">
        <v>8.9</v>
      </c>
      <c r="Z27">
        <v>8.9</v>
      </c>
      <c r="AA27">
        <v>20</v>
      </c>
      <c r="AB27">
        <v>26</v>
      </c>
      <c r="AC27">
        <v>0.76500000000000001</v>
      </c>
      <c r="AD27">
        <v>67</v>
      </c>
      <c r="AE27">
        <v>0.1215829624920534</v>
      </c>
      <c r="AF27">
        <v>2.86</v>
      </c>
      <c r="AG27" t="s">
        <v>139</v>
      </c>
      <c r="AH27" t="s">
        <v>137</v>
      </c>
      <c r="AI27">
        <v>33</v>
      </c>
      <c r="AJ27">
        <v>1.0999999999999999E-2</v>
      </c>
      <c r="AK27">
        <v>11</v>
      </c>
      <c r="AL27" t="s">
        <v>283</v>
      </c>
      <c r="AM27">
        <v>25599.43528792707</v>
      </c>
      <c r="AN27">
        <v>1.51</v>
      </c>
      <c r="AO27">
        <v>0.09</v>
      </c>
      <c r="AP27">
        <v>0.19</v>
      </c>
      <c r="AQ27">
        <v>1.22</v>
      </c>
      <c r="AR27">
        <v>1.1599999999999999</v>
      </c>
      <c r="AS27">
        <v>0.04</v>
      </c>
      <c r="AT27">
        <v>0.02</v>
      </c>
      <c r="AU27">
        <v>0.02</v>
      </c>
      <c r="AV27">
        <v>2.5099999999999998</v>
      </c>
      <c r="AW27">
        <v>1.51</v>
      </c>
      <c r="AX27">
        <v>0.21</v>
      </c>
      <c r="AY27">
        <v>0.53</v>
      </c>
      <c r="AZ27">
        <v>0</v>
      </c>
      <c r="BA27">
        <v>1.24</v>
      </c>
      <c r="BB27">
        <v>0.08</v>
      </c>
      <c r="BC27">
        <v>0.2</v>
      </c>
      <c r="BD27">
        <v>0.27</v>
      </c>
      <c r="BE27">
        <v>7.94</v>
      </c>
      <c r="BF27">
        <v>7.25</v>
      </c>
      <c r="BG27">
        <v>0.24</v>
      </c>
      <c r="BH27">
        <v>0.45</v>
      </c>
      <c r="BI27">
        <v>0</v>
      </c>
      <c r="BJ27">
        <v>0.04</v>
      </c>
      <c r="BK27">
        <v>7.21</v>
      </c>
      <c r="BL27">
        <v>0</v>
      </c>
      <c r="BM27">
        <v>2.02</v>
      </c>
      <c r="BN27">
        <v>0.21</v>
      </c>
      <c r="BO27">
        <v>0.46</v>
      </c>
      <c r="BP27">
        <v>1.35</v>
      </c>
      <c r="BQ27">
        <v>1.1499999999999999</v>
      </c>
      <c r="BR27">
        <v>0.06</v>
      </c>
      <c r="BS27">
        <v>0.14000000000000001</v>
      </c>
      <c r="BT27">
        <v>0</v>
      </c>
      <c r="BU27">
        <v>8.35</v>
      </c>
      <c r="BV27">
        <v>7.29</v>
      </c>
      <c r="BW27">
        <v>0.34</v>
      </c>
      <c r="BX27">
        <v>0.72</v>
      </c>
      <c r="BY27">
        <v>0</v>
      </c>
      <c r="BZ27">
        <v>0.04</v>
      </c>
      <c r="CA27">
        <v>7.25</v>
      </c>
      <c r="CB27">
        <v>0</v>
      </c>
      <c r="CC27">
        <f t="shared" si="0"/>
        <v>2.75</v>
      </c>
      <c r="CD27">
        <v>3.96</v>
      </c>
      <c r="CE27">
        <v>0.34230769230769231</v>
      </c>
      <c r="CF27">
        <v>0.44500000000000001</v>
      </c>
      <c r="CG27">
        <v>0.1492537313432836</v>
      </c>
      <c r="CH27">
        <v>0.2674825174825175</v>
      </c>
      <c r="CI27">
        <v>0</v>
      </c>
      <c r="CJ27">
        <v>5565</v>
      </c>
      <c r="CK27" t="s">
        <v>141</v>
      </c>
      <c r="CL27" t="s">
        <v>142</v>
      </c>
      <c r="CM27" t="s">
        <v>143</v>
      </c>
      <c r="CN27">
        <v>0.38687405123899998</v>
      </c>
      <c r="CO27">
        <v>31.45410650530787</v>
      </c>
      <c r="CP27">
        <v>26</v>
      </c>
      <c r="CQ27" t="s">
        <v>284</v>
      </c>
      <c r="CR27">
        <v>216</v>
      </c>
      <c r="CS27" t="s">
        <v>285</v>
      </c>
      <c r="CT27" t="s">
        <v>286</v>
      </c>
      <c r="CU27" t="s">
        <v>139</v>
      </c>
      <c r="CV27" t="s">
        <v>287</v>
      </c>
      <c r="CW27" t="s">
        <v>175</v>
      </c>
      <c r="CX27" t="s">
        <v>288</v>
      </c>
      <c r="CY27" t="s">
        <v>289</v>
      </c>
      <c r="CZ27" t="s">
        <v>151</v>
      </c>
      <c r="DA27" t="s">
        <v>152</v>
      </c>
      <c r="DB27" t="s">
        <v>178</v>
      </c>
      <c r="DC27" t="s">
        <v>179</v>
      </c>
      <c r="DD27" t="s">
        <v>155</v>
      </c>
      <c r="DE27">
        <v>10473</v>
      </c>
      <c r="DF27">
        <v>-85.779600000000002</v>
      </c>
      <c r="DG27">
        <v>30.510999999999999</v>
      </c>
      <c r="DH27">
        <v>5460</v>
      </c>
      <c r="DI27">
        <v>678</v>
      </c>
      <c r="DL27">
        <v>25</v>
      </c>
      <c r="DO27">
        <v>13.3</v>
      </c>
      <c r="DS27" t="s">
        <v>290</v>
      </c>
      <c r="DT27">
        <v>1.2500000000000001E-2</v>
      </c>
      <c r="DU27">
        <v>1.2500000000000001E-2</v>
      </c>
      <c r="DV27">
        <v>0.32500000000000001</v>
      </c>
      <c r="DW27">
        <v>0.32500000000000001</v>
      </c>
      <c r="DX27">
        <v>0.32500000000000001</v>
      </c>
      <c r="DY27">
        <v>16.132056262624349</v>
      </c>
      <c r="DZ27" s="4">
        <v>3.85</v>
      </c>
      <c r="EA27" s="4" t="s">
        <v>157</v>
      </c>
      <c r="EB27" s="4" t="s">
        <v>158</v>
      </c>
      <c r="EC27">
        <v>4.7039999999999997</v>
      </c>
      <c r="ED27">
        <v>753</v>
      </c>
      <c r="EE27" t="s">
        <v>283</v>
      </c>
      <c r="EF27">
        <v>0.20266317398568059</v>
      </c>
      <c r="EH27">
        <f t="shared" si="1"/>
        <v>0.58000000000000007</v>
      </c>
      <c r="EI27">
        <v>3.38</v>
      </c>
      <c r="EJ27">
        <v>3.65</v>
      </c>
    </row>
    <row r="28" spans="1:140" x14ac:dyDescent="0.35">
      <c r="A28" s="1">
        <v>26</v>
      </c>
      <c r="B28">
        <v>-84.338159769657281</v>
      </c>
      <c r="C28">
        <v>30.104209123715268</v>
      </c>
      <c r="D28" t="s">
        <v>291</v>
      </c>
      <c r="E28">
        <v>0.02</v>
      </c>
      <c r="F28" t="s">
        <v>160</v>
      </c>
      <c r="G28">
        <v>3.7400000000000003E-2</v>
      </c>
      <c r="H28" t="s">
        <v>161</v>
      </c>
      <c r="I28">
        <v>-9388481</v>
      </c>
      <c r="J28">
        <v>3516952</v>
      </c>
      <c r="K28" t="s">
        <v>137</v>
      </c>
      <c r="L28" t="s">
        <v>292</v>
      </c>
      <c r="M28">
        <v>65</v>
      </c>
      <c r="N28">
        <v>3.61</v>
      </c>
      <c r="O28">
        <v>3</v>
      </c>
      <c r="P28">
        <v>5</v>
      </c>
      <c r="Q28">
        <v>12</v>
      </c>
      <c r="R28">
        <v>129</v>
      </c>
      <c r="S28">
        <v>33766</v>
      </c>
      <c r="T28" t="s">
        <v>139</v>
      </c>
      <c r="U28">
        <v>7.3602943056585426</v>
      </c>
      <c r="V28" t="s">
        <v>137</v>
      </c>
      <c r="W28">
        <v>0.12529999999999999</v>
      </c>
      <c r="X28">
        <v>10</v>
      </c>
      <c r="Y28">
        <v>8.9</v>
      </c>
      <c r="Z28">
        <v>8.9</v>
      </c>
      <c r="AA28">
        <v>20</v>
      </c>
      <c r="AB28">
        <v>26</v>
      </c>
      <c r="AC28">
        <v>0.76500000000000001</v>
      </c>
      <c r="AD28">
        <v>67</v>
      </c>
      <c r="AE28">
        <v>0.1215829624920534</v>
      </c>
      <c r="AF28">
        <v>2.86</v>
      </c>
      <c r="AG28" t="s">
        <v>139</v>
      </c>
      <c r="AH28" t="s">
        <v>137</v>
      </c>
      <c r="AI28">
        <v>33</v>
      </c>
      <c r="AJ28">
        <v>1.0999999999999999E-2</v>
      </c>
      <c r="AK28">
        <v>11</v>
      </c>
      <c r="AL28" t="s">
        <v>293</v>
      </c>
      <c r="AM28">
        <v>0</v>
      </c>
      <c r="AN28">
        <v>1.51</v>
      </c>
      <c r="AO28">
        <v>0.09</v>
      </c>
      <c r="AP28">
        <v>0.19</v>
      </c>
      <c r="AQ28">
        <v>1.22</v>
      </c>
      <c r="AR28">
        <v>1.1599999999999999</v>
      </c>
      <c r="AS28">
        <v>0.04</v>
      </c>
      <c r="AT28">
        <v>0.02</v>
      </c>
      <c r="AU28">
        <v>0.02</v>
      </c>
      <c r="AV28">
        <v>2.5099999999999998</v>
      </c>
      <c r="AW28">
        <v>1.51</v>
      </c>
      <c r="AX28">
        <v>0.21</v>
      </c>
      <c r="AY28">
        <v>0.53</v>
      </c>
      <c r="AZ28">
        <v>0</v>
      </c>
      <c r="BA28">
        <v>1.24</v>
      </c>
      <c r="BB28">
        <v>0.08</v>
      </c>
      <c r="BC28">
        <v>0.2</v>
      </c>
      <c r="BD28">
        <v>0.27</v>
      </c>
      <c r="BE28">
        <v>7.94</v>
      </c>
      <c r="BF28">
        <v>7.25</v>
      </c>
      <c r="BG28">
        <v>0.24</v>
      </c>
      <c r="BH28">
        <v>0.45</v>
      </c>
      <c r="BI28">
        <v>0</v>
      </c>
      <c r="BJ28">
        <v>0.04</v>
      </c>
      <c r="BK28">
        <v>7.21</v>
      </c>
      <c r="BL28">
        <v>0</v>
      </c>
      <c r="BM28">
        <v>2.02</v>
      </c>
      <c r="BN28">
        <v>0.21</v>
      </c>
      <c r="BO28">
        <v>0.46</v>
      </c>
      <c r="BP28">
        <v>1.35</v>
      </c>
      <c r="BQ28">
        <v>1.1499999999999999</v>
      </c>
      <c r="BR28">
        <v>0.06</v>
      </c>
      <c r="BS28">
        <v>0.14000000000000001</v>
      </c>
      <c r="BT28">
        <v>0</v>
      </c>
      <c r="BU28">
        <v>8.35</v>
      </c>
      <c r="BV28">
        <v>7.29</v>
      </c>
      <c r="BW28">
        <v>0.34</v>
      </c>
      <c r="BX28">
        <v>0.72</v>
      </c>
      <c r="BY28">
        <v>0</v>
      </c>
      <c r="BZ28">
        <v>0.04</v>
      </c>
      <c r="CA28">
        <v>7.25</v>
      </c>
      <c r="CB28">
        <v>0</v>
      </c>
      <c r="CC28">
        <f t="shared" si="0"/>
        <v>2.75</v>
      </c>
      <c r="CD28">
        <v>3.96</v>
      </c>
      <c r="CE28">
        <v>0.34230769230769231</v>
      </c>
      <c r="CF28">
        <v>0.44500000000000001</v>
      </c>
      <c r="CG28">
        <v>0.1492537313432836</v>
      </c>
      <c r="CH28">
        <v>0.2674825174825175</v>
      </c>
      <c r="CI28">
        <v>0</v>
      </c>
      <c r="CJ28">
        <v>5348</v>
      </c>
      <c r="CK28" t="s">
        <v>141</v>
      </c>
      <c r="CL28" t="s">
        <v>142</v>
      </c>
      <c r="CM28" t="s">
        <v>143</v>
      </c>
      <c r="CN28">
        <v>0.208872155502</v>
      </c>
      <c r="CO28">
        <v>3.5733326794577138</v>
      </c>
      <c r="CP28">
        <v>27</v>
      </c>
      <c r="CQ28" t="s">
        <v>294</v>
      </c>
      <c r="CR28">
        <v>104</v>
      </c>
      <c r="CS28" t="s">
        <v>295</v>
      </c>
      <c r="CT28" t="s">
        <v>215</v>
      </c>
      <c r="CU28" t="s">
        <v>139</v>
      </c>
      <c r="CV28" t="s">
        <v>296</v>
      </c>
      <c r="CW28" t="s">
        <v>175</v>
      </c>
      <c r="CX28" t="s">
        <v>288</v>
      </c>
      <c r="CY28" t="s">
        <v>289</v>
      </c>
      <c r="CZ28" t="s">
        <v>151</v>
      </c>
      <c r="DA28" t="s">
        <v>152</v>
      </c>
      <c r="DB28" t="s">
        <v>178</v>
      </c>
      <c r="DC28" t="s">
        <v>207</v>
      </c>
      <c r="DD28" t="s">
        <v>155</v>
      </c>
      <c r="DE28">
        <v>1889</v>
      </c>
      <c r="DF28">
        <v>-84.247302000000005</v>
      </c>
      <c r="DG28">
        <v>30.432466999999999</v>
      </c>
      <c r="DH28">
        <v>4000</v>
      </c>
      <c r="DI28">
        <v>200</v>
      </c>
      <c r="DL28">
        <v>28</v>
      </c>
      <c r="DM28">
        <v>26</v>
      </c>
      <c r="DN28">
        <v>28</v>
      </c>
      <c r="DO28">
        <v>300</v>
      </c>
      <c r="DS28">
        <v>11</v>
      </c>
      <c r="DT28">
        <v>1.2500000000000001E-2</v>
      </c>
      <c r="DU28">
        <v>1.2500000000000001E-2</v>
      </c>
      <c r="DV28">
        <v>0.32500000000000001</v>
      </c>
      <c r="DW28">
        <v>0.32500000000000001</v>
      </c>
      <c r="DX28">
        <v>0.32500000000000001</v>
      </c>
      <c r="DY28">
        <v>0</v>
      </c>
      <c r="DZ28" s="4">
        <v>3.85</v>
      </c>
      <c r="EA28" s="4" t="s">
        <v>157</v>
      </c>
      <c r="EB28" s="4" t="s">
        <v>158</v>
      </c>
      <c r="EC28">
        <v>4.7039999999999997</v>
      </c>
      <c r="ED28">
        <v>593</v>
      </c>
      <c r="EE28" t="s">
        <v>293</v>
      </c>
      <c r="EF28">
        <v>0</v>
      </c>
      <c r="EH28">
        <f t="shared" si="1"/>
        <v>0.58000000000000007</v>
      </c>
      <c r="EI28">
        <v>3.38</v>
      </c>
      <c r="EJ28">
        <v>3.65</v>
      </c>
    </row>
    <row r="29" spans="1:140" x14ac:dyDescent="0.35">
      <c r="A29" s="1">
        <v>27</v>
      </c>
      <c r="B29">
        <v>-82.541529201418243</v>
      </c>
      <c r="C29">
        <v>30.104209123715268</v>
      </c>
      <c r="D29" t="s">
        <v>297</v>
      </c>
      <c r="E29">
        <v>0.1</v>
      </c>
      <c r="F29" t="s">
        <v>135</v>
      </c>
      <c r="G29">
        <v>3.7400000000000003E-2</v>
      </c>
      <c r="H29" t="s">
        <v>161</v>
      </c>
      <c r="I29">
        <v>-9188481</v>
      </c>
      <c r="J29">
        <v>3516952</v>
      </c>
      <c r="K29" t="s">
        <v>137</v>
      </c>
      <c r="L29" t="s">
        <v>298</v>
      </c>
      <c r="M29">
        <v>12</v>
      </c>
      <c r="N29">
        <v>3.7519999999999998</v>
      </c>
      <c r="O29">
        <v>3</v>
      </c>
      <c r="P29">
        <v>5</v>
      </c>
      <c r="Q29">
        <v>12</v>
      </c>
      <c r="R29">
        <v>23</v>
      </c>
      <c r="S29">
        <v>69701</v>
      </c>
      <c r="T29" t="s">
        <v>139</v>
      </c>
      <c r="U29">
        <v>7.3602943056585426</v>
      </c>
      <c r="V29" t="s">
        <v>137</v>
      </c>
      <c r="W29">
        <v>0.12529999999999999</v>
      </c>
      <c r="X29">
        <v>10</v>
      </c>
      <c r="Y29">
        <v>8.9</v>
      </c>
      <c r="Z29">
        <v>8.9</v>
      </c>
      <c r="AA29">
        <v>20</v>
      </c>
      <c r="AB29">
        <v>26</v>
      </c>
      <c r="AC29">
        <v>0.76500000000000001</v>
      </c>
      <c r="AD29">
        <v>67</v>
      </c>
      <c r="AE29">
        <v>0.1215829624920534</v>
      </c>
      <c r="AF29">
        <v>2.86</v>
      </c>
      <c r="AG29" t="s">
        <v>139</v>
      </c>
      <c r="AH29" t="s">
        <v>137</v>
      </c>
      <c r="AI29">
        <v>33</v>
      </c>
      <c r="AJ29">
        <v>1.0999999999999999E-2</v>
      </c>
      <c r="AK29">
        <v>11</v>
      </c>
      <c r="AL29" t="s">
        <v>299</v>
      </c>
      <c r="AM29">
        <v>0</v>
      </c>
      <c r="AN29">
        <v>1.51</v>
      </c>
      <c r="AO29">
        <v>0.09</v>
      </c>
      <c r="AP29">
        <v>0.19</v>
      </c>
      <c r="AQ29">
        <v>1.22</v>
      </c>
      <c r="AR29">
        <v>1.1599999999999999</v>
      </c>
      <c r="AS29">
        <v>0.04</v>
      </c>
      <c r="AT29">
        <v>0.02</v>
      </c>
      <c r="AU29">
        <v>0.02</v>
      </c>
      <c r="AV29">
        <v>2.5099999999999998</v>
      </c>
      <c r="AW29">
        <v>1.51</v>
      </c>
      <c r="AX29">
        <v>0.21</v>
      </c>
      <c r="AY29">
        <v>0.53</v>
      </c>
      <c r="AZ29">
        <v>0</v>
      </c>
      <c r="BA29">
        <v>1.24</v>
      </c>
      <c r="BB29">
        <v>0.08</v>
      </c>
      <c r="BC29">
        <v>0.2</v>
      </c>
      <c r="BD29">
        <v>0.27</v>
      </c>
      <c r="BE29">
        <v>7.94</v>
      </c>
      <c r="BF29">
        <v>7.25</v>
      </c>
      <c r="BG29">
        <v>0.24</v>
      </c>
      <c r="BH29">
        <v>0.45</v>
      </c>
      <c r="BI29">
        <v>0</v>
      </c>
      <c r="BJ29">
        <v>0.04</v>
      </c>
      <c r="BK29">
        <v>7.21</v>
      </c>
      <c r="BL29">
        <v>0</v>
      </c>
      <c r="BM29">
        <v>2.02</v>
      </c>
      <c r="BN29">
        <v>0.21</v>
      </c>
      <c r="BO29">
        <v>0.46</v>
      </c>
      <c r="BP29">
        <v>1.35</v>
      </c>
      <c r="BQ29">
        <v>1.1499999999999999</v>
      </c>
      <c r="BR29">
        <v>0.06</v>
      </c>
      <c r="BS29">
        <v>0.14000000000000001</v>
      </c>
      <c r="BT29">
        <v>0</v>
      </c>
      <c r="BU29">
        <v>8.35</v>
      </c>
      <c r="BV29">
        <v>7.29</v>
      </c>
      <c r="BW29">
        <v>0.34</v>
      </c>
      <c r="BX29">
        <v>0.72</v>
      </c>
      <c r="BY29">
        <v>0</v>
      </c>
      <c r="BZ29">
        <v>0.04</v>
      </c>
      <c r="CA29">
        <v>7.25</v>
      </c>
      <c r="CB29">
        <v>0</v>
      </c>
      <c r="CC29">
        <f t="shared" si="0"/>
        <v>2.75</v>
      </c>
      <c r="CD29">
        <v>3.96</v>
      </c>
      <c r="CE29">
        <v>0.34230769230769231</v>
      </c>
      <c r="CF29">
        <v>0.44500000000000001</v>
      </c>
      <c r="CG29">
        <v>0.1492537313432836</v>
      </c>
      <c r="CH29">
        <v>0.2674825174825175</v>
      </c>
      <c r="CI29">
        <v>0</v>
      </c>
      <c r="CJ29">
        <v>22371</v>
      </c>
      <c r="CK29" t="s">
        <v>141</v>
      </c>
      <c r="CL29" t="s">
        <v>300</v>
      </c>
      <c r="CM29" t="s">
        <v>143</v>
      </c>
      <c r="CN29">
        <v>0.103457261978</v>
      </c>
      <c r="CO29">
        <v>6.2456521809314687</v>
      </c>
      <c r="CP29">
        <v>28</v>
      </c>
      <c r="CQ29" t="s">
        <v>301</v>
      </c>
      <c r="CR29">
        <v>104</v>
      </c>
      <c r="CS29" t="s">
        <v>295</v>
      </c>
      <c r="CT29" t="s">
        <v>215</v>
      </c>
      <c r="CU29" t="s">
        <v>139</v>
      </c>
      <c r="CV29" t="s">
        <v>296</v>
      </c>
      <c r="CW29" t="s">
        <v>175</v>
      </c>
      <c r="CX29" t="s">
        <v>288</v>
      </c>
      <c r="CY29" t="s">
        <v>289</v>
      </c>
      <c r="CZ29" t="s">
        <v>151</v>
      </c>
      <c r="DA29" t="s">
        <v>152</v>
      </c>
      <c r="DB29" t="s">
        <v>178</v>
      </c>
      <c r="DC29" t="s">
        <v>207</v>
      </c>
      <c r="DD29" t="s">
        <v>155</v>
      </c>
      <c r="DE29">
        <v>1889</v>
      </c>
      <c r="DF29">
        <v>-84.247302000000005</v>
      </c>
      <c r="DG29">
        <v>30.432466999999999</v>
      </c>
      <c r="DH29">
        <v>4000</v>
      </c>
      <c r="DI29">
        <v>200</v>
      </c>
      <c r="DL29">
        <v>28</v>
      </c>
      <c r="DM29">
        <v>26</v>
      </c>
      <c r="DN29">
        <v>28</v>
      </c>
      <c r="DO29">
        <v>300</v>
      </c>
      <c r="DS29">
        <v>11</v>
      </c>
      <c r="DT29">
        <v>1.2500000000000001E-2</v>
      </c>
      <c r="DU29">
        <v>1.2500000000000001E-2</v>
      </c>
      <c r="DV29">
        <v>0.32500000000000001</v>
      </c>
      <c r="DW29">
        <v>0.32500000000000001</v>
      </c>
      <c r="DX29">
        <v>0.32500000000000001</v>
      </c>
      <c r="DY29">
        <v>43.433974705323479</v>
      </c>
      <c r="DZ29" s="4">
        <v>3.85</v>
      </c>
      <c r="EA29" s="4" t="s">
        <v>157</v>
      </c>
      <c r="EB29" s="4" t="s">
        <v>158</v>
      </c>
      <c r="EC29">
        <v>4.7039999999999997</v>
      </c>
      <c r="ED29">
        <v>209</v>
      </c>
      <c r="EE29" t="s">
        <v>299</v>
      </c>
      <c r="EF29">
        <v>0</v>
      </c>
      <c r="EH29">
        <f t="shared" si="1"/>
        <v>0.58000000000000007</v>
      </c>
      <c r="EI29">
        <v>3.38</v>
      </c>
      <c r="EJ29">
        <v>3.65</v>
      </c>
    </row>
    <row r="30" spans="1:140" x14ac:dyDescent="0.35">
      <c r="A30" s="1">
        <v>28</v>
      </c>
      <c r="B30">
        <v>-80.74489863317919</v>
      </c>
      <c r="C30">
        <v>30.104209123715268</v>
      </c>
      <c r="D30" t="s">
        <v>302</v>
      </c>
      <c r="E30">
        <v>0.1</v>
      </c>
      <c r="F30" t="s">
        <v>135</v>
      </c>
      <c r="G30">
        <v>5.7500000000000002E-2</v>
      </c>
      <c r="H30" t="s">
        <v>161</v>
      </c>
      <c r="I30">
        <v>-8988481</v>
      </c>
      <c r="J30">
        <v>3516952</v>
      </c>
      <c r="K30" t="s">
        <v>137</v>
      </c>
      <c r="L30" t="s">
        <v>303</v>
      </c>
      <c r="M30">
        <v>58</v>
      </c>
      <c r="N30">
        <v>3.8340000000000001</v>
      </c>
      <c r="T30" t="s">
        <v>139</v>
      </c>
      <c r="U30">
        <v>7.3602943056585426</v>
      </c>
      <c r="V30" t="s">
        <v>137</v>
      </c>
      <c r="W30">
        <v>0.12529999999999999</v>
      </c>
      <c r="X30">
        <v>10</v>
      </c>
      <c r="Y30">
        <v>8.9</v>
      </c>
      <c r="Z30">
        <v>8.9</v>
      </c>
      <c r="AA30">
        <v>20</v>
      </c>
      <c r="AB30">
        <v>26</v>
      </c>
      <c r="AC30">
        <v>0.76500000000000001</v>
      </c>
      <c r="AD30">
        <v>67</v>
      </c>
      <c r="AE30">
        <v>0.1215829624920534</v>
      </c>
      <c r="AF30">
        <v>2.86</v>
      </c>
      <c r="AG30" t="s">
        <v>139</v>
      </c>
      <c r="AH30" t="s">
        <v>137</v>
      </c>
      <c r="AI30">
        <v>33</v>
      </c>
      <c r="AJ30">
        <v>1.0999999999999999E-2</v>
      </c>
      <c r="AK30">
        <v>11</v>
      </c>
      <c r="AL30" t="s">
        <v>304</v>
      </c>
      <c r="AM30">
        <v>64621.196119518158</v>
      </c>
      <c r="AN30">
        <v>1.51</v>
      </c>
      <c r="AO30">
        <v>0.09</v>
      </c>
      <c r="AP30">
        <v>0.19</v>
      </c>
      <c r="AQ30">
        <v>1.22</v>
      </c>
      <c r="AR30">
        <v>1.1599999999999999</v>
      </c>
      <c r="AS30">
        <v>0.04</v>
      </c>
      <c r="AT30">
        <v>0.02</v>
      </c>
      <c r="AU30">
        <v>0.02</v>
      </c>
      <c r="AV30">
        <v>2.5099999999999998</v>
      </c>
      <c r="AW30">
        <v>1.51</v>
      </c>
      <c r="AX30">
        <v>0.21</v>
      </c>
      <c r="AY30">
        <v>0.53</v>
      </c>
      <c r="AZ30">
        <v>0</v>
      </c>
      <c r="BA30">
        <v>1.24</v>
      </c>
      <c r="BB30">
        <v>0.08</v>
      </c>
      <c r="BC30">
        <v>0.2</v>
      </c>
      <c r="BD30">
        <v>0.27</v>
      </c>
      <c r="BE30">
        <v>7.94</v>
      </c>
      <c r="BF30">
        <v>7.25</v>
      </c>
      <c r="BG30">
        <v>0.24</v>
      </c>
      <c r="BH30">
        <v>0.45</v>
      </c>
      <c r="BI30">
        <v>0</v>
      </c>
      <c r="BJ30">
        <v>0.04</v>
      </c>
      <c r="BK30">
        <v>7.21</v>
      </c>
      <c r="BL30">
        <v>0</v>
      </c>
      <c r="BM30">
        <v>2.02</v>
      </c>
      <c r="BN30">
        <v>0.21</v>
      </c>
      <c r="BO30">
        <v>0.46</v>
      </c>
      <c r="BP30">
        <v>1.35</v>
      </c>
      <c r="BQ30">
        <v>1.1499999999999999</v>
      </c>
      <c r="BR30">
        <v>0.06</v>
      </c>
      <c r="BS30">
        <v>0.14000000000000001</v>
      </c>
      <c r="BT30">
        <v>0</v>
      </c>
      <c r="BU30">
        <v>8.35</v>
      </c>
      <c r="BV30">
        <v>7.29</v>
      </c>
      <c r="BW30">
        <v>0.34</v>
      </c>
      <c r="BX30">
        <v>0.72</v>
      </c>
      <c r="BY30">
        <v>0</v>
      </c>
      <c r="BZ30">
        <v>0.04</v>
      </c>
      <c r="CA30">
        <v>7.25</v>
      </c>
      <c r="CB30">
        <v>0</v>
      </c>
      <c r="CC30">
        <f t="shared" si="0"/>
        <v>2.75</v>
      </c>
      <c r="CD30">
        <v>3.96</v>
      </c>
      <c r="CE30">
        <v>0.34230769230769231</v>
      </c>
      <c r="CF30">
        <v>0.44500000000000001</v>
      </c>
      <c r="CG30">
        <v>0.1492537313432836</v>
      </c>
      <c r="CH30">
        <v>0.2674825174825175</v>
      </c>
      <c r="CI30">
        <v>0</v>
      </c>
      <c r="CJ30">
        <v>5371</v>
      </c>
      <c r="CK30" t="s">
        <v>141</v>
      </c>
      <c r="CL30" t="s">
        <v>142</v>
      </c>
      <c r="CM30" t="s">
        <v>143</v>
      </c>
      <c r="CN30">
        <v>0.24651537246999999</v>
      </c>
      <c r="CO30">
        <v>65.13280200010243</v>
      </c>
      <c r="CP30">
        <v>29</v>
      </c>
      <c r="CQ30" t="s">
        <v>144</v>
      </c>
      <c r="CR30">
        <v>23</v>
      </c>
      <c r="CS30" t="s">
        <v>145</v>
      </c>
      <c r="CT30" t="s">
        <v>146</v>
      </c>
      <c r="CU30" t="s">
        <v>139</v>
      </c>
      <c r="CV30" t="s">
        <v>147</v>
      </c>
      <c r="CW30" t="s">
        <v>148</v>
      </c>
      <c r="CX30" t="s">
        <v>149</v>
      </c>
      <c r="CY30" t="s">
        <v>150</v>
      </c>
      <c r="CZ30" t="s">
        <v>151</v>
      </c>
      <c r="DA30" t="s">
        <v>152</v>
      </c>
      <c r="DB30" t="s">
        <v>153</v>
      </c>
      <c r="DC30" t="s">
        <v>154</v>
      </c>
      <c r="DD30" t="s">
        <v>155</v>
      </c>
      <c r="DE30">
        <v>889</v>
      </c>
      <c r="DF30">
        <v>-80.766133999999994</v>
      </c>
      <c r="DG30">
        <v>25.318594999999998</v>
      </c>
      <c r="DH30">
        <v>4600</v>
      </c>
      <c r="DI30">
        <v>300</v>
      </c>
      <c r="DK30">
        <v>111</v>
      </c>
      <c r="DL30">
        <v>23</v>
      </c>
      <c r="DM30">
        <v>18</v>
      </c>
      <c r="DN30">
        <v>25</v>
      </c>
      <c r="DO30">
        <v>25</v>
      </c>
      <c r="DP30">
        <v>5</v>
      </c>
      <c r="DQ30">
        <v>28</v>
      </c>
      <c r="DS30" t="s">
        <v>156</v>
      </c>
      <c r="DT30">
        <v>1.2500000000000001E-2</v>
      </c>
      <c r="DU30">
        <v>1.2500000000000001E-2</v>
      </c>
      <c r="DV30">
        <v>0.32500000000000001</v>
      </c>
      <c r="DW30">
        <v>0.32500000000000001</v>
      </c>
      <c r="DX30">
        <v>0.32500000000000001</v>
      </c>
      <c r="DY30">
        <v>56.416190131905573</v>
      </c>
      <c r="DZ30" s="4">
        <v>3.85</v>
      </c>
      <c r="EA30" s="4" t="s">
        <v>157</v>
      </c>
      <c r="EB30" s="4" t="s">
        <v>158</v>
      </c>
      <c r="EC30">
        <v>4.7039999999999997</v>
      </c>
      <c r="ED30">
        <v>582</v>
      </c>
      <c r="EE30" t="s">
        <v>304</v>
      </c>
      <c r="EF30">
        <v>0.56859878054675472</v>
      </c>
      <c r="EH30">
        <f t="shared" si="1"/>
        <v>0.58000000000000007</v>
      </c>
      <c r="EI30">
        <v>3.38</v>
      </c>
      <c r="EJ30">
        <v>3.65</v>
      </c>
    </row>
    <row r="31" spans="1:140" x14ac:dyDescent="0.35">
      <c r="A31" s="1">
        <v>29</v>
      </c>
      <c r="B31">
        <v>-113.084248861482</v>
      </c>
      <c r="C31">
        <v>31.64615446189292</v>
      </c>
      <c r="D31" t="s">
        <v>305</v>
      </c>
      <c r="E31">
        <v>0.1</v>
      </c>
      <c r="F31" t="s">
        <v>306</v>
      </c>
      <c r="G31">
        <v>7.1599999999999997E-2</v>
      </c>
      <c r="H31" t="s">
        <v>161</v>
      </c>
      <c r="I31">
        <v>-12588481</v>
      </c>
      <c r="J31">
        <v>3716952</v>
      </c>
      <c r="K31" t="s">
        <v>307</v>
      </c>
      <c r="L31" t="s">
        <v>308</v>
      </c>
      <c r="M31">
        <v>11</v>
      </c>
      <c r="N31">
        <v>3.7650000000000001</v>
      </c>
      <c r="O31">
        <v>4</v>
      </c>
      <c r="P31">
        <v>8</v>
      </c>
      <c r="Q31">
        <v>4</v>
      </c>
      <c r="R31">
        <v>19</v>
      </c>
      <c r="S31">
        <v>1043434</v>
      </c>
      <c r="T31" t="s">
        <v>309</v>
      </c>
      <c r="U31">
        <v>6.5998399715504972</v>
      </c>
      <c r="V31" t="s">
        <v>307</v>
      </c>
      <c r="W31">
        <v>0.12740000000000001</v>
      </c>
      <c r="X31">
        <v>10</v>
      </c>
      <c r="Y31">
        <v>8.9</v>
      </c>
      <c r="Z31">
        <v>8.9</v>
      </c>
      <c r="AA31">
        <v>20</v>
      </c>
      <c r="AB31">
        <v>26</v>
      </c>
      <c r="AC31">
        <v>0.63400000000000001</v>
      </c>
      <c r="AD31">
        <v>67</v>
      </c>
      <c r="AE31">
        <v>0.1007628734901462</v>
      </c>
      <c r="AF31">
        <v>2.86</v>
      </c>
      <c r="AG31" t="s">
        <v>309</v>
      </c>
      <c r="AH31" t="s">
        <v>307</v>
      </c>
      <c r="AI31">
        <v>64</v>
      </c>
      <c r="AJ31">
        <v>2.1333333333333329E-2</v>
      </c>
      <c r="AK31">
        <v>21.333333333333329</v>
      </c>
      <c r="AL31" t="s">
        <v>310</v>
      </c>
      <c r="AM31">
        <v>38820.406911218022</v>
      </c>
      <c r="AN31">
        <v>1.43</v>
      </c>
      <c r="AO31">
        <v>0.09</v>
      </c>
      <c r="AP31">
        <v>0.19</v>
      </c>
      <c r="AQ31">
        <v>1.1499999999999999</v>
      </c>
      <c r="AR31">
        <v>1.04</v>
      </c>
      <c r="AS31">
        <v>0.09</v>
      </c>
      <c r="AT31">
        <v>0.02</v>
      </c>
      <c r="AU31">
        <v>0.02</v>
      </c>
      <c r="AV31">
        <v>2.46</v>
      </c>
      <c r="AW31">
        <v>1.47</v>
      </c>
      <c r="AX31">
        <v>0.21</v>
      </c>
      <c r="AY31">
        <v>0.53</v>
      </c>
      <c r="AZ31">
        <v>0</v>
      </c>
      <c r="BA31">
        <v>1.1100000000000001</v>
      </c>
      <c r="BB31">
        <v>0.16</v>
      </c>
      <c r="BC31">
        <v>0.2</v>
      </c>
      <c r="BD31">
        <v>0.27</v>
      </c>
      <c r="BE31">
        <v>7.98</v>
      </c>
      <c r="BF31">
        <v>7.29</v>
      </c>
      <c r="BG31">
        <v>0.24</v>
      </c>
      <c r="BH31">
        <v>0.45</v>
      </c>
      <c r="BI31">
        <v>0</v>
      </c>
      <c r="BJ31">
        <v>0.08</v>
      </c>
      <c r="BK31">
        <v>7.21</v>
      </c>
      <c r="BL31">
        <v>0</v>
      </c>
      <c r="BM31">
        <v>1.96</v>
      </c>
      <c r="BN31">
        <v>0.21</v>
      </c>
      <c r="BO31">
        <v>0.46</v>
      </c>
      <c r="BP31">
        <v>1.29</v>
      </c>
      <c r="BQ31">
        <v>1.03</v>
      </c>
      <c r="BR31">
        <v>0.12</v>
      </c>
      <c r="BS31">
        <v>0.14000000000000001</v>
      </c>
      <c r="BT31">
        <v>0</v>
      </c>
      <c r="BU31">
        <v>8.39</v>
      </c>
      <c r="BV31">
        <v>7.33</v>
      </c>
      <c r="BW31">
        <v>0.34</v>
      </c>
      <c r="BX31">
        <v>0.72</v>
      </c>
      <c r="BY31">
        <v>0</v>
      </c>
      <c r="BZ31">
        <v>0.08</v>
      </c>
      <c r="CA31">
        <v>7.25</v>
      </c>
      <c r="CB31">
        <v>0</v>
      </c>
      <c r="CC31">
        <f t="shared" si="0"/>
        <v>2.75</v>
      </c>
      <c r="CD31">
        <v>3.96</v>
      </c>
      <c r="CE31">
        <v>0.34230769230769231</v>
      </c>
      <c r="CF31">
        <v>0.44500000000000001</v>
      </c>
      <c r="CG31">
        <v>0.1492537313432836</v>
      </c>
      <c r="CH31">
        <v>0.22167832167832169</v>
      </c>
      <c r="CI31">
        <v>0</v>
      </c>
      <c r="CJ31">
        <v>1769</v>
      </c>
      <c r="CK31" t="s">
        <v>141</v>
      </c>
      <c r="CL31" t="s">
        <v>311</v>
      </c>
      <c r="CM31" t="s">
        <v>143</v>
      </c>
      <c r="CN31">
        <v>0.226572224258</v>
      </c>
      <c r="CO31">
        <v>62.508918801209923</v>
      </c>
      <c r="CP31">
        <v>30</v>
      </c>
      <c r="CQ31" t="s">
        <v>312</v>
      </c>
      <c r="CR31">
        <v>174</v>
      </c>
      <c r="CS31" t="s">
        <v>313</v>
      </c>
      <c r="CT31" t="s">
        <v>314</v>
      </c>
      <c r="CU31" t="s">
        <v>315</v>
      </c>
      <c r="CV31" t="s">
        <v>316</v>
      </c>
      <c r="CW31" t="s">
        <v>317</v>
      </c>
      <c r="CX31" t="s">
        <v>318</v>
      </c>
      <c r="CY31" t="s">
        <v>317</v>
      </c>
      <c r="CZ31" t="s">
        <v>319</v>
      </c>
      <c r="DA31" t="s">
        <v>152</v>
      </c>
      <c r="DB31" t="s">
        <v>178</v>
      </c>
      <c r="DC31" t="s">
        <v>320</v>
      </c>
      <c r="DD31" t="s">
        <v>180</v>
      </c>
      <c r="DE31">
        <v>51</v>
      </c>
      <c r="DF31">
        <v>-118.161213</v>
      </c>
      <c r="DG31">
        <v>33.886425000000003</v>
      </c>
      <c r="DH31">
        <v>4000</v>
      </c>
      <c r="DI31">
        <v>1000</v>
      </c>
      <c r="DL31">
        <v>30</v>
      </c>
      <c r="DM31">
        <v>22</v>
      </c>
      <c r="DN31">
        <v>35</v>
      </c>
      <c r="DO31">
        <v>400</v>
      </c>
      <c r="DP31">
        <v>10</v>
      </c>
      <c r="DQ31">
        <v>2300</v>
      </c>
      <c r="DR31" t="s">
        <v>321</v>
      </c>
      <c r="DS31" t="s">
        <v>322</v>
      </c>
      <c r="DT31">
        <v>1.2500000000000001E-2</v>
      </c>
      <c r="DU31">
        <v>1.2500000000000001E-2</v>
      </c>
      <c r="DV31">
        <v>0.32500000000000001</v>
      </c>
      <c r="DW31">
        <v>0.32500000000000001</v>
      </c>
      <c r="DX31">
        <v>0.32500000000000001</v>
      </c>
      <c r="DY31">
        <v>143.6151745226334</v>
      </c>
      <c r="DZ31" s="4">
        <v>3.9140000000000001</v>
      </c>
      <c r="EA31" s="4" t="s">
        <v>323</v>
      </c>
      <c r="EB31" s="4" t="s">
        <v>324</v>
      </c>
      <c r="EC31">
        <v>4.8630000000000004</v>
      </c>
      <c r="ED31">
        <v>428</v>
      </c>
      <c r="EE31" t="s">
        <v>310</v>
      </c>
      <c r="EF31">
        <v>0.30104182862688</v>
      </c>
      <c r="EH31">
        <f t="shared" si="1"/>
        <v>0.58000000000000007</v>
      </c>
      <c r="EI31">
        <v>3.38</v>
      </c>
      <c r="EJ31">
        <v>3.65</v>
      </c>
    </row>
    <row r="32" spans="1:140" x14ac:dyDescent="0.35">
      <c r="A32" s="1">
        <v>30</v>
      </c>
      <c r="B32">
        <v>-111.2876182932429</v>
      </c>
      <c r="C32">
        <v>31.64615446189292</v>
      </c>
      <c r="D32" t="s">
        <v>325</v>
      </c>
      <c r="E32">
        <v>0.1</v>
      </c>
      <c r="F32" t="s">
        <v>326</v>
      </c>
      <c r="G32">
        <v>7.1599999999999997E-2</v>
      </c>
      <c r="H32" t="s">
        <v>161</v>
      </c>
      <c r="I32">
        <v>-12388481</v>
      </c>
      <c r="J32">
        <v>3716952</v>
      </c>
      <c r="K32" t="s">
        <v>307</v>
      </c>
      <c r="L32" t="s">
        <v>308</v>
      </c>
      <c r="M32">
        <v>11</v>
      </c>
      <c r="N32">
        <v>3.7650000000000001</v>
      </c>
      <c r="O32">
        <v>4</v>
      </c>
      <c r="P32">
        <v>8</v>
      </c>
      <c r="Q32">
        <v>4</v>
      </c>
      <c r="R32">
        <v>19</v>
      </c>
      <c r="S32">
        <v>1043434</v>
      </c>
      <c r="T32" t="s">
        <v>309</v>
      </c>
      <c r="U32">
        <v>6.5998399715504972</v>
      </c>
      <c r="V32" t="s">
        <v>307</v>
      </c>
      <c r="W32">
        <v>0.12740000000000001</v>
      </c>
      <c r="X32">
        <v>10</v>
      </c>
      <c r="Y32">
        <v>8.9</v>
      </c>
      <c r="Z32">
        <v>8.9</v>
      </c>
      <c r="AA32">
        <v>20</v>
      </c>
      <c r="AB32">
        <v>26</v>
      </c>
      <c r="AC32">
        <v>0.63400000000000001</v>
      </c>
      <c r="AD32">
        <v>67</v>
      </c>
      <c r="AE32">
        <v>0.1007628734901462</v>
      </c>
      <c r="AF32">
        <v>2.86</v>
      </c>
      <c r="AG32" t="s">
        <v>309</v>
      </c>
      <c r="AH32" t="s">
        <v>307</v>
      </c>
      <c r="AI32">
        <v>64</v>
      </c>
      <c r="AJ32">
        <v>2.1333333333333329E-2</v>
      </c>
      <c r="AK32">
        <v>21.333333333333329</v>
      </c>
      <c r="AL32" t="s">
        <v>310</v>
      </c>
      <c r="AM32">
        <v>0</v>
      </c>
      <c r="AN32">
        <v>1.43</v>
      </c>
      <c r="AO32">
        <v>0.09</v>
      </c>
      <c r="AP32">
        <v>0.19</v>
      </c>
      <c r="AQ32">
        <v>1.1499999999999999</v>
      </c>
      <c r="AR32">
        <v>1.04</v>
      </c>
      <c r="AS32">
        <v>0.09</v>
      </c>
      <c r="AT32">
        <v>0.02</v>
      </c>
      <c r="AU32">
        <v>0.02</v>
      </c>
      <c r="AV32">
        <v>2.46</v>
      </c>
      <c r="AW32">
        <v>1.47</v>
      </c>
      <c r="AX32">
        <v>0.21</v>
      </c>
      <c r="AY32">
        <v>0.53</v>
      </c>
      <c r="AZ32">
        <v>0</v>
      </c>
      <c r="BA32">
        <v>1.1100000000000001</v>
      </c>
      <c r="BB32">
        <v>0.16</v>
      </c>
      <c r="BC32">
        <v>0.2</v>
      </c>
      <c r="BD32">
        <v>0.27</v>
      </c>
      <c r="BE32">
        <v>7.98</v>
      </c>
      <c r="BF32">
        <v>7.29</v>
      </c>
      <c r="BG32">
        <v>0.24</v>
      </c>
      <c r="BH32">
        <v>0.45</v>
      </c>
      <c r="BI32">
        <v>0</v>
      </c>
      <c r="BJ32">
        <v>0.08</v>
      </c>
      <c r="BK32">
        <v>7.21</v>
      </c>
      <c r="BL32">
        <v>0</v>
      </c>
      <c r="BM32">
        <v>1.96</v>
      </c>
      <c r="BN32">
        <v>0.21</v>
      </c>
      <c r="BO32">
        <v>0.46</v>
      </c>
      <c r="BP32">
        <v>1.29</v>
      </c>
      <c r="BQ32">
        <v>1.03</v>
      </c>
      <c r="BR32">
        <v>0.12</v>
      </c>
      <c r="BS32">
        <v>0.14000000000000001</v>
      </c>
      <c r="BT32">
        <v>0</v>
      </c>
      <c r="BU32">
        <v>8.39</v>
      </c>
      <c r="BV32">
        <v>7.33</v>
      </c>
      <c r="BW32">
        <v>0.34</v>
      </c>
      <c r="BX32">
        <v>0.72</v>
      </c>
      <c r="BY32">
        <v>0</v>
      </c>
      <c r="BZ32">
        <v>0.08</v>
      </c>
      <c r="CA32">
        <v>7.25</v>
      </c>
      <c r="CB32">
        <v>0</v>
      </c>
      <c r="CC32">
        <f t="shared" si="0"/>
        <v>2.75</v>
      </c>
      <c r="CD32">
        <v>3.96</v>
      </c>
      <c r="CE32">
        <v>0.34230769230769231</v>
      </c>
      <c r="CF32">
        <v>0.44500000000000001</v>
      </c>
      <c r="CG32">
        <v>0.1492537313432836</v>
      </c>
      <c r="CH32">
        <v>0.22167832167832169</v>
      </c>
      <c r="CI32">
        <v>0</v>
      </c>
      <c r="CJ32">
        <v>1660</v>
      </c>
      <c r="CK32" t="s">
        <v>141</v>
      </c>
      <c r="CL32" t="s">
        <v>311</v>
      </c>
      <c r="CM32" t="s">
        <v>143</v>
      </c>
      <c r="CN32">
        <v>0.44540342005200001</v>
      </c>
      <c r="CO32">
        <v>14.35331753873219</v>
      </c>
      <c r="CP32">
        <v>31</v>
      </c>
      <c r="CQ32" t="s">
        <v>312</v>
      </c>
      <c r="CR32">
        <v>174</v>
      </c>
      <c r="CS32" t="s">
        <v>313</v>
      </c>
      <c r="CT32" t="s">
        <v>314</v>
      </c>
      <c r="CU32" t="s">
        <v>315</v>
      </c>
      <c r="CV32" t="s">
        <v>316</v>
      </c>
      <c r="CW32" t="s">
        <v>317</v>
      </c>
      <c r="CX32" t="s">
        <v>318</v>
      </c>
      <c r="CY32" t="s">
        <v>317</v>
      </c>
      <c r="CZ32" t="s">
        <v>319</v>
      </c>
      <c r="DA32" t="s">
        <v>152</v>
      </c>
      <c r="DB32" t="s">
        <v>178</v>
      </c>
      <c r="DC32" t="s">
        <v>320</v>
      </c>
      <c r="DD32" t="s">
        <v>180</v>
      </c>
      <c r="DE32">
        <v>51</v>
      </c>
      <c r="DF32">
        <v>-118.161213</v>
      </c>
      <c r="DG32">
        <v>33.886425000000003</v>
      </c>
      <c r="DH32">
        <v>4000</v>
      </c>
      <c r="DI32">
        <v>1000</v>
      </c>
      <c r="DL32">
        <v>30</v>
      </c>
      <c r="DM32">
        <v>22</v>
      </c>
      <c r="DN32">
        <v>35</v>
      </c>
      <c r="DO32">
        <v>400</v>
      </c>
      <c r="DP32">
        <v>10</v>
      </c>
      <c r="DQ32">
        <v>2300</v>
      </c>
      <c r="DR32" t="s">
        <v>321</v>
      </c>
      <c r="DS32" t="s">
        <v>322</v>
      </c>
      <c r="DT32">
        <v>1.2500000000000001E-2</v>
      </c>
      <c r="DU32">
        <v>1.2500000000000001E-2</v>
      </c>
      <c r="DV32">
        <v>0.32500000000000001</v>
      </c>
      <c r="DW32">
        <v>0.32500000000000001</v>
      </c>
      <c r="DX32">
        <v>0.32500000000000001</v>
      </c>
      <c r="DY32">
        <v>253.6615414332432</v>
      </c>
      <c r="DZ32" s="4">
        <v>3.9140000000000001</v>
      </c>
      <c r="EA32" s="4" t="s">
        <v>323</v>
      </c>
      <c r="EB32" s="4" t="s">
        <v>324</v>
      </c>
      <c r="EC32">
        <v>4.8630000000000004</v>
      </c>
      <c r="ED32">
        <v>428</v>
      </c>
      <c r="EE32" t="s">
        <v>310</v>
      </c>
      <c r="EF32">
        <v>0</v>
      </c>
      <c r="EH32">
        <f t="shared" si="1"/>
        <v>0.58000000000000007</v>
      </c>
      <c r="EI32">
        <v>3.38</v>
      </c>
      <c r="EJ32">
        <v>3.65</v>
      </c>
    </row>
    <row r="33" spans="1:140" x14ac:dyDescent="0.35">
      <c r="A33" s="1">
        <v>31</v>
      </c>
      <c r="B33">
        <v>-109.4909877250039</v>
      </c>
      <c r="C33">
        <v>31.64615446189292</v>
      </c>
      <c r="D33" t="s">
        <v>327</v>
      </c>
      <c r="E33">
        <v>0.1</v>
      </c>
      <c r="F33" t="s">
        <v>306</v>
      </c>
      <c r="G33">
        <v>6.5299999999999997E-2</v>
      </c>
      <c r="H33" t="s">
        <v>161</v>
      </c>
      <c r="I33">
        <v>-12188481</v>
      </c>
      <c r="J33">
        <v>3716952</v>
      </c>
      <c r="K33" t="s">
        <v>307</v>
      </c>
      <c r="L33" t="s">
        <v>328</v>
      </c>
      <c r="M33">
        <v>2</v>
      </c>
      <c r="N33">
        <v>4.157</v>
      </c>
      <c r="O33">
        <v>4</v>
      </c>
      <c r="P33">
        <v>8</v>
      </c>
      <c r="Q33">
        <v>4</v>
      </c>
      <c r="R33">
        <v>3</v>
      </c>
      <c r="S33">
        <v>125448</v>
      </c>
      <c r="T33" t="s">
        <v>309</v>
      </c>
      <c r="U33">
        <v>6.5998399715504972</v>
      </c>
      <c r="V33" t="s">
        <v>307</v>
      </c>
      <c r="W33">
        <v>0.12740000000000001</v>
      </c>
      <c r="X33">
        <v>10</v>
      </c>
      <c r="Y33">
        <v>8.9</v>
      </c>
      <c r="Z33">
        <v>8.9</v>
      </c>
      <c r="AA33">
        <v>20</v>
      </c>
      <c r="AB33">
        <v>26</v>
      </c>
      <c r="AC33">
        <v>0.63400000000000001</v>
      </c>
      <c r="AD33">
        <v>67</v>
      </c>
      <c r="AE33">
        <v>0.1007628734901462</v>
      </c>
      <c r="AF33">
        <v>2.86</v>
      </c>
      <c r="AG33" t="s">
        <v>309</v>
      </c>
      <c r="AH33" t="s">
        <v>307</v>
      </c>
      <c r="AI33">
        <v>64</v>
      </c>
      <c r="AJ33">
        <v>2.1333333333333329E-2</v>
      </c>
      <c r="AK33">
        <v>21.333333333333329</v>
      </c>
      <c r="AL33" t="s">
        <v>329</v>
      </c>
      <c r="AM33">
        <v>0</v>
      </c>
      <c r="AN33">
        <v>1.43</v>
      </c>
      <c r="AO33">
        <v>0.09</v>
      </c>
      <c r="AP33">
        <v>0.19</v>
      </c>
      <c r="AQ33">
        <v>1.1499999999999999</v>
      </c>
      <c r="AR33">
        <v>1.04</v>
      </c>
      <c r="AS33">
        <v>0.09</v>
      </c>
      <c r="AT33">
        <v>0.02</v>
      </c>
      <c r="AU33">
        <v>0.02</v>
      </c>
      <c r="AV33">
        <v>2.46</v>
      </c>
      <c r="AW33">
        <v>1.47</v>
      </c>
      <c r="AX33">
        <v>0.21</v>
      </c>
      <c r="AY33">
        <v>0.53</v>
      </c>
      <c r="AZ33">
        <v>0</v>
      </c>
      <c r="BA33">
        <v>1.1100000000000001</v>
      </c>
      <c r="BB33">
        <v>0.16</v>
      </c>
      <c r="BC33">
        <v>0.2</v>
      </c>
      <c r="BD33">
        <v>0.27</v>
      </c>
      <c r="BE33">
        <v>7.98</v>
      </c>
      <c r="BF33">
        <v>7.29</v>
      </c>
      <c r="BG33">
        <v>0.24</v>
      </c>
      <c r="BH33">
        <v>0.45</v>
      </c>
      <c r="BI33">
        <v>0</v>
      </c>
      <c r="BJ33">
        <v>0.08</v>
      </c>
      <c r="BK33">
        <v>7.21</v>
      </c>
      <c r="BL33">
        <v>0</v>
      </c>
      <c r="BM33">
        <v>1.96</v>
      </c>
      <c r="BN33">
        <v>0.21</v>
      </c>
      <c r="BO33">
        <v>0.46</v>
      </c>
      <c r="BP33">
        <v>1.29</v>
      </c>
      <c r="BQ33">
        <v>1.03</v>
      </c>
      <c r="BR33">
        <v>0.12</v>
      </c>
      <c r="BS33">
        <v>0.14000000000000001</v>
      </c>
      <c r="BT33">
        <v>0</v>
      </c>
      <c r="BU33">
        <v>8.39</v>
      </c>
      <c r="BV33">
        <v>7.33</v>
      </c>
      <c r="BW33">
        <v>0.34</v>
      </c>
      <c r="BX33">
        <v>0.72</v>
      </c>
      <c r="BY33">
        <v>0</v>
      </c>
      <c r="BZ33">
        <v>0.08</v>
      </c>
      <c r="CA33">
        <v>7.25</v>
      </c>
      <c r="CB33">
        <v>0</v>
      </c>
      <c r="CC33">
        <f t="shared" si="0"/>
        <v>2.75</v>
      </c>
      <c r="CD33">
        <v>3.96</v>
      </c>
      <c r="CE33">
        <v>0.34230769230769231</v>
      </c>
      <c r="CF33">
        <v>0.44500000000000001</v>
      </c>
      <c r="CG33">
        <v>0.1492537313432836</v>
      </c>
      <c r="CH33">
        <v>0.22167832167832169</v>
      </c>
      <c r="CI33">
        <v>0</v>
      </c>
      <c r="CJ33">
        <v>1955</v>
      </c>
      <c r="CK33" t="s">
        <v>141</v>
      </c>
      <c r="CL33" t="s">
        <v>311</v>
      </c>
      <c r="CM33" t="s">
        <v>143</v>
      </c>
      <c r="CN33">
        <v>8.4868250833499997E-2</v>
      </c>
      <c r="CO33">
        <v>13.22475949746465</v>
      </c>
      <c r="CP33">
        <v>32</v>
      </c>
      <c r="CQ33" t="s">
        <v>330</v>
      </c>
      <c r="CR33">
        <v>20</v>
      </c>
      <c r="CS33" t="s">
        <v>331</v>
      </c>
      <c r="CT33" t="s">
        <v>332</v>
      </c>
      <c r="CU33" t="s">
        <v>333</v>
      </c>
      <c r="CV33" t="s">
        <v>334</v>
      </c>
      <c r="CW33" t="s">
        <v>203</v>
      </c>
      <c r="CX33" t="s">
        <v>335</v>
      </c>
      <c r="CY33" t="s">
        <v>205</v>
      </c>
      <c r="CZ33" t="s">
        <v>206</v>
      </c>
      <c r="DA33" t="s">
        <v>152</v>
      </c>
      <c r="DB33" t="s">
        <v>153</v>
      </c>
      <c r="DC33" t="s">
        <v>207</v>
      </c>
      <c r="DD33" t="s">
        <v>208</v>
      </c>
      <c r="DE33">
        <v>8984</v>
      </c>
      <c r="DF33">
        <v>-103.637044</v>
      </c>
      <c r="DG33">
        <v>32.933798000000003</v>
      </c>
      <c r="DH33">
        <v>7850</v>
      </c>
      <c r="DI33">
        <v>1000</v>
      </c>
      <c r="DJ33">
        <v>3180</v>
      </c>
      <c r="DK33">
        <v>153</v>
      </c>
      <c r="DL33">
        <v>8.5</v>
      </c>
      <c r="DO33">
        <v>42</v>
      </c>
      <c r="DP33">
        <v>0.6</v>
      </c>
      <c r="DQ33">
        <v>746</v>
      </c>
      <c r="DS33" t="s">
        <v>209</v>
      </c>
      <c r="DT33">
        <v>1.2500000000000001E-2</v>
      </c>
      <c r="DU33">
        <v>1.2500000000000001E-2</v>
      </c>
      <c r="DV33">
        <v>0.32500000000000001</v>
      </c>
      <c r="DW33">
        <v>0.32500000000000001</v>
      </c>
      <c r="DX33">
        <v>0.32500000000000001</v>
      </c>
      <c r="DY33">
        <v>153.55386837933429</v>
      </c>
      <c r="DZ33" s="4">
        <v>3.9140000000000001</v>
      </c>
      <c r="EA33" s="4" t="s">
        <v>323</v>
      </c>
      <c r="EB33" s="4" t="s">
        <v>324</v>
      </c>
      <c r="EC33">
        <v>4.8630000000000004</v>
      </c>
      <c r="ED33">
        <v>647</v>
      </c>
      <c r="EE33" t="s">
        <v>329</v>
      </c>
      <c r="EF33">
        <v>0</v>
      </c>
      <c r="EH33">
        <f t="shared" si="1"/>
        <v>0.58000000000000007</v>
      </c>
      <c r="EI33">
        <v>3.38</v>
      </c>
      <c r="EJ33">
        <v>3.65</v>
      </c>
    </row>
    <row r="34" spans="1:140" x14ac:dyDescent="0.35">
      <c r="A34" s="1">
        <v>32</v>
      </c>
      <c r="B34">
        <v>-107.6943571567648</v>
      </c>
      <c r="C34">
        <v>31.64615446189292</v>
      </c>
      <c r="D34" t="s">
        <v>336</v>
      </c>
      <c r="E34">
        <v>0.1</v>
      </c>
      <c r="F34" t="s">
        <v>135</v>
      </c>
      <c r="G34">
        <v>6.5299999999999997E-2</v>
      </c>
      <c r="H34" t="s">
        <v>161</v>
      </c>
      <c r="I34">
        <v>-11988481</v>
      </c>
      <c r="J34">
        <v>3716952</v>
      </c>
      <c r="K34" t="s">
        <v>337</v>
      </c>
      <c r="L34" t="s">
        <v>338</v>
      </c>
      <c r="M34">
        <v>17</v>
      </c>
      <c r="N34">
        <v>3.9350000000000001</v>
      </c>
      <c r="O34">
        <v>4</v>
      </c>
      <c r="P34">
        <v>8</v>
      </c>
      <c r="Q34">
        <v>35</v>
      </c>
      <c r="R34">
        <v>29</v>
      </c>
      <c r="S34">
        <v>25422</v>
      </c>
      <c r="T34" t="s">
        <v>333</v>
      </c>
      <c r="U34">
        <v>5.7453557453557451</v>
      </c>
      <c r="V34" t="s">
        <v>337</v>
      </c>
      <c r="W34">
        <v>9.1799999999999993E-2</v>
      </c>
      <c r="X34">
        <v>10</v>
      </c>
      <c r="Y34">
        <v>8.9</v>
      </c>
      <c r="Z34">
        <v>8.9</v>
      </c>
      <c r="AA34">
        <v>20</v>
      </c>
      <c r="AB34">
        <v>26</v>
      </c>
      <c r="AC34">
        <v>0.74299999999999999</v>
      </c>
      <c r="AD34">
        <v>67</v>
      </c>
      <c r="AE34">
        <v>0.1180864589955499</v>
      </c>
      <c r="AF34">
        <v>2.86</v>
      </c>
      <c r="AG34" t="s">
        <v>333</v>
      </c>
      <c r="AH34" t="s">
        <v>337</v>
      </c>
      <c r="AI34">
        <v>32</v>
      </c>
      <c r="AJ34">
        <v>1.066666666666667E-2</v>
      </c>
      <c r="AK34">
        <v>10.66666666666667</v>
      </c>
      <c r="AL34" t="s">
        <v>339</v>
      </c>
      <c r="AM34">
        <v>17986.0333075216</v>
      </c>
      <c r="AN34">
        <v>1.25</v>
      </c>
      <c r="AO34">
        <v>0.09</v>
      </c>
      <c r="AP34">
        <v>0.19</v>
      </c>
      <c r="AQ34">
        <v>0.96</v>
      </c>
      <c r="AR34">
        <v>0.91</v>
      </c>
      <c r="AS34">
        <v>0.04</v>
      </c>
      <c r="AT34">
        <v>0.01</v>
      </c>
      <c r="AU34">
        <v>0.02</v>
      </c>
      <c r="AV34">
        <v>2.1800000000000002</v>
      </c>
      <c r="AW34">
        <v>1.18</v>
      </c>
      <c r="AX34">
        <v>0.21</v>
      </c>
      <c r="AY34">
        <v>0.53</v>
      </c>
      <c r="AZ34">
        <v>0</v>
      </c>
      <c r="BA34">
        <v>0.97</v>
      </c>
      <c r="BB34">
        <v>0.08</v>
      </c>
      <c r="BC34">
        <v>0.14000000000000001</v>
      </c>
      <c r="BD34">
        <v>0.27</v>
      </c>
      <c r="BE34">
        <v>5.72</v>
      </c>
      <c r="BF34">
        <v>5.03</v>
      </c>
      <c r="BG34">
        <v>0.24</v>
      </c>
      <c r="BH34">
        <v>0.45</v>
      </c>
      <c r="BI34">
        <v>0</v>
      </c>
      <c r="BJ34">
        <v>0.04</v>
      </c>
      <c r="BK34">
        <v>4.99</v>
      </c>
      <c r="BL34">
        <v>0</v>
      </c>
      <c r="BM34">
        <v>1.73</v>
      </c>
      <c r="BN34">
        <v>0.21</v>
      </c>
      <c r="BO34">
        <v>0.46</v>
      </c>
      <c r="BP34">
        <v>1.05</v>
      </c>
      <c r="BQ34">
        <v>0.9</v>
      </c>
      <c r="BR34">
        <v>0.06</v>
      </c>
      <c r="BS34">
        <v>0.1</v>
      </c>
      <c r="BT34">
        <v>0</v>
      </c>
      <c r="BU34">
        <v>6.12</v>
      </c>
      <c r="BV34">
        <v>5.0599999999999996</v>
      </c>
      <c r="BW34">
        <v>0.34</v>
      </c>
      <c r="BX34">
        <v>0.72</v>
      </c>
      <c r="BY34">
        <v>0</v>
      </c>
      <c r="BZ34">
        <v>0.04</v>
      </c>
      <c r="CA34">
        <v>5.0199999999999996</v>
      </c>
      <c r="CB34">
        <v>0</v>
      </c>
      <c r="CC34">
        <f t="shared" si="0"/>
        <v>2.75</v>
      </c>
      <c r="CD34">
        <v>3.96</v>
      </c>
      <c r="CE34">
        <v>0.34230769230769231</v>
      </c>
      <c r="CF34">
        <v>0.44500000000000001</v>
      </c>
      <c r="CG34">
        <v>0.1492537313432836</v>
      </c>
      <c r="CH34">
        <v>0.25979020979020978</v>
      </c>
      <c r="CI34">
        <v>0</v>
      </c>
      <c r="CJ34">
        <v>1959</v>
      </c>
      <c r="CK34" t="s">
        <v>141</v>
      </c>
      <c r="CL34" t="s">
        <v>311</v>
      </c>
      <c r="CM34" t="s">
        <v>143</v>
      </c>
      <c r="CN34">
        <v>8.9310287475799999E-2</v>
      </c>
      <c r="CO34">
        <v>38.97684827272294</v>
      </c>
      <c r="CP34">
        <v>33</v>
      </c>
      <c r="CQ34" t="s">
        <v>330</v>
      </c>
      <c r="CR34">
        <v>20</v>
      </c>
      <c r="CS34" t="s">
        <v>331</v>
      </c>
      <c r="CT34" t="s">
        <v>332</v>
      </c>
      <c r="CU34" t="s">
        <v>333</v>
      </c>
      <c r="CV34" t="s">
        <v>334</v>
      </c>
      <c r="CW34" t="s">
        <v>203</v>
      </c>
      <c r="CX34" t="s">
        <v>335</v>
      </c>
      <c r="CY34" t="s">
        <v>205</v>
      </c>
      <c r="CZ34" t="s">
        <v>206</v>
      </c>
      <c r="DA34" t="s">
        <v>152</v>
      </c>
      <c r="DB34" t="s">
        <v>153</v>
      </c>
      <c r="DC34" t="s">
        <v>207</v>
      </c>
      <c r="DD34" t="s">
        <v>208</v>
      </c>
      <c r="DE34">
        <v>8984</v>
      </c>
      <c r="DF34">
        <v>-103.637044</v>
      </c>
      <c r="DG34">
        <v>32.933798000000003</v>
      </c>
      <c r="DH34">
        <v>7850</v>
      </c>
      <c r="DI34">
        <v>1000</v>
      </c>
      <c r="DJ34">
        <v>3180</v>
      </c>
      <c r="DK34">
        <v>153</v>
      </c>
      <c r="DL34">
        <v>8.5</v>
      </c>
      <c r="DO34">
        <v>42</v>
      </c>
      <c r="DP34">
        <v>0.6</v>
      </c>
      <c r="DQ34">
        <v>746</v>
      </c>
      <c r="DS34" t="s">
        <v>209</v>
      </c>
      <c r="DT34">
        <v>1.2500000000000001E-2</v>
      </c>
      <c r="DU34">
        <v>1.2500000000000001E-2</v>
      </c>
      <c r="DV34">
        <v>0.32500000000000001</v>
      </c>
      <c r="DW34">
        <v>0.32500000000000001</v>
      </c>
      <c r="DX34">
        <v>0.32500000000000001</v>
      </c>
      <c r="DY34">
        <v>30.95519477990241</v>
      </c>
      <c r="DZ34" s="4">
        <v>4.01</v>
      </c>
      <c r="EA34" s="4" t="s">
        <v>340</v>
      </c>
      <c r="EB34" s="4" t="s">
        <v>341</v>
      </c>
      <c r="EC34">
        <v>4.8239999999999998</v>
      </c>
      <c r="ED34">
        <v>749</v>
      </c>
      <c r="EE34" t="s">
        <v>339</v>
      </c>
      <c r="EF34">
        <v>0.13744453810707211</v>
      </c>
      <c r="EH34">
        <f t="shared" si="1"/>
        <v>0.58000000000000007</v>
      </c>
      <c r="EI34">
        <v>3.38</v>
      </c>
      <c r="EJ34">
        <v>3.65</v>
      </c>
    </row>
    <row r="35" spans="1:140" x14ac:dyDescent="0.35">
      <c r="A35" s="1">
        <v>33</v>
      </c>
      <c r="B35">
        <v>-105.8977265885258</v>
      </c>
      <c r="C35">
        <v>31.64615446189292</v>
      </c>
      <c r="D35" t="s">
        <v>342</v>
      </c>
      <c r="E35">
        <v>0.02</v>
      </c>
      <c r="F35" t="s">
        <v>160</v>
      </c>
      <c r="G35">
        <v>6.5299999999999997E-2</v>
      </c>
      <c r="H35" t="s">
        <v>161</v>
      </c>
      <c r="I35">
        <v>-11788481</v>
      </c>
      <c r="J35">
        <v>3716952</v>
      </c>
      <c r="K35" t="s">
        <v>165</v>
      </c>
      <c r="L35" t="s">
        <v>343</v>
      </c>
      <c r="M35">
        <v>115</v>
      </c>
      <c r="N35">
        <v>4.0389999999999997</v>
      </c>
      <c r="O35">
        <v>3</v>
      </c>
      <c r="P35">
        <v>7</v>
      </c>
      <c r="Q35">
        <v>48</v>
      </c>
      <c r="R35">
        <v>229</v>
      </c>
      <c r="S35">
        <v>3206</v>
      </c>
      <c r="T35" t="s">
        <v>167</v>
      </c>
      <c r="U35">
        <v>4.3100995732574674</v>
      </c>
      <c r="V35" t="s">
        <v>165</v>
      </c>
      <c r="W35">
        <v>9.7899999999999987E-2</v>
      </c>
      <c r="X35">
        <v>10</v>
      </c>
      <c r="Y35">
        <v>8.9</v>
      </c>
      <c r="Z35">
        <v>8.9</v>
      </c>
      <c r="AA35">
        <v>20</v>
      </c>
      <c r="AB35">
        <v>26</v>
      </c>
      <c r="AC35">
        <v>0.82299999999999995</v>
      </c>
      <c r="AD35">
        <v>67</v>
      </c>
      <c r="AE35">
        <v>0.1308010171646535</v>
      </c>
      <c r="AF35">
        <v>2.86</v>
      </c>
      <c r="AG35" t="s">
        <v>167</v>
      </c>
      <c r="AH35" t="s">
        <v>165</v>
      </c>
      <c r="AI35">
        <v>37</v>
      </c>
      <c r="AJ35">
        <v>1.233333333333333E-2</v>
      </c>
      <c r="AK35">
        <v>12.33333333333333</v>
      </c>
      <c r="AL35" t="s">
        <v>197</v>
      </c>
      <c r="AM35">
        <v>0</v>
      </c>
      <c r="AN35">
        <v>1.03</v>
      </c>
      <c r="AO35">
        <v>0.09</v>
      </c>
      <c r="AP35">
        <v>0.19</v>
      </c>
      <c r="AQ35">
        <v>0.74</v>
      </c>
      <c r="AR35">
        <v>0.68</v>
      </c>
      <c r="AS35">
        <v>0.04</v>
      </c>
      <c r="AT35">
        <v>0.01</v>
      </c>
      <c r="AU35">
        <v>0.02</v>
      </c>
      <c r="AV35">
        <v>1.95</v>
      </c>
      <c r="AW35">
        <v>0.96</v>
      </c>
      <c r="AX35">
        <v>0.21</v>
      </c>
      <c r="AY35">
        <v>0.53</v>
      </c>
      <c r="AZ35">
        <v>0</v>
      </c>
      <c r="BA35">
        <v>0.72</v>
      </c>
      <c r="BB35">
        <v>0.08</v>
      </c>
      <c r="BC35">
        <v>0.15</v>
      </c>
      <c r="BD35">
        <v>0.27</v>
      </c>
      <c r="BE35">
        <v>6.28</v>
      </c>
      <c r="BF35">
        <v>5.59</v>
      </c>
      <c r="BG35">
        <v>0.24</v>
      </c>
      <c r="BH35">
        <v>0.45</v>
      </c>
      <c r="BI35">
        <v>0</v>
      </c>
      <c r="BJ35">
        <v>0.04</v>
      </c>
      <c r="BK35">
        <v>5.55</v>
      </c>
      <c r="BL35">
        <v>0</v>
      </c>
      <c r="BM35">
        <v>1.51</v>
      </c>
      <c r="BN35">
        <v>0.21</v>
      </c>
      <c r="BO35">
        <v>0.46</v>
      </c>
      <c r="BP35">
        <v>0.84</v>
      </c>
      <c r="BQ35">
        <v>0.67</v>
      </c>
      <c r="BR35">
        <v>0.06</v>
      </c>
      <c r="BS35">
        <v>0.11</v>
      </c>
      <c r="BT35">
        <v>0</v>
      </c>
      <c r="BU35">
        <v>6.68</v>
      </c>
      <c r="BV35">
        <v>5.62</v>
      </c>
      <c r="BW35">
        <v>0.34</v>
      </c>
      <c r="BX35">
        <v>0.72</v>
      </c>
      <c r="BY35">
        <v>0</v>
      </c>
      <c r="BZ35">
        <v>0.04</v>
      </c>
      <c r="CA35">
        <v>5.58</v>
      </c>
      <c r="CB35">
        <v>0</v>
      </c>
      <c r="CC35">
        <f t="shared" si="0"/>
        <v>2.75</v>
      </c>
      <c r="CD35">
        <v>3.96</v>
      </c>
      <c r="CE35">
        <v>0.34230769230769231</v>
      </c>
      <c r="CF35">
        <v>0.44500000000000001</v>
      </c>
      <c r="CG35">
        <v>0.1492537313432836</v>
      </c>
      <c r="CH35">
        <v>0.28776223776223769</v>
      </c>
      <c r="CI35">
        <v>0</v>
      </c>
      <c r="CJ35">
        <v>31786</v>
      </c>
      <c r="CK35" t="s">
        <v>169</v>
      </c>
      <c r="CL35" t="s">
        <v>344</v>
      </c>
      <c r="CM35" t="s">
        <v>143</v>
      </c>
      <c r="CN35">
        <v>3.2227586698600001</v>
      </c>
      <c r="CO35">
        <v>0.82495078437335578</v>
      </c>
      <c r="CP35">
        <v>34</v>
      </c>
      <c r="CQ35" t="s">
        <v>330</v>
      </c>
      <c r="CR35">
        <v>20</v>
      </c>
      <c r="CS35" t="s">
        <v>331</v>
      </c>
      <c r="CT35" t="s">
        <v>332</v>
      </c>
      <c r="CU35" t="s">
        <v>333</v>
      </c>
      <c r="CV35" t="s">
        <v>334</v>
      </c>
      <c r="CW35" t="s">
        <v>203</v>
      </c>
      <c r="CX35" t="s">
        <v>335</v>
      </c>
      <c r="CY35" t="s">
        <v>205</v>
      </c>
      <c r="CZ35" t="s">
        <v>206</v>
      </c>
      <c r="DA35" t="s">
        <v>152</v>
      </c>
      <c r="DB35" t="s">
        <v>153</v>
      </c>
      <c r="DC35" t="s">
        <v>207</v>
      </c>
      <c r="DD35" t="s">
        <v>208</v>
      </c>
      <c r="DE35">
        <v>8984</v>
      </c>
      <c r="DF35">
        <v>-103.637044</v>
      </c>
      <c r="DG35">
        <v>32.933798000000003</v>
      </c>
      <c r="DH35">
        <v>7850</v>
      </c>
      <c r="DI35">
        <v>1000</v>
      </c>
      <c r="DJ35">
        <v>3180</v>
      </c>
      <c r="DK35">
        <v>153</v>
      </c>
      <c r="DL35">
        <v>8.5</v>
      </c>
      <c r="DO35">
        <v>42</v>
      </c>
      <c r="DP35">
        <v>0.6</v>
      </c>
      <c r="DQ35">
        <v>746</v>
      </c>
      <c r="DS35" t="s">
        <v>209</v>
      </c>
      <c r="DT35">
        <v>1.2500000000000001E-2</v>
      </c>
      <c r="DU35">
        <v>1.2500000000000001E-2</v>
      </c>
      <c r="DV35">
        <v>0.32500000000000001</v>
      </c>
      <c r="DW35">
        <v>0.32500000000000001</v>
      </c>
      <c r="DX35">
        <v>0.32500000000000001</v>
      </c>
      <c r="DY35">
        <v>0</v>
      </c>
      <c r="DZ35" s="4">
        <v>3.4470000000000001</v>
      </c>
      <c r="EA35" s="4" t="s">
        <v>182</v>
      </c>
      <c r="EB35" s="4" t="s">
        <v>183</v>
      </c>
      <c r="EC35">
        <v>4.4379999999999997</v>
      </c>
      <c r="ED35">
        <v>107</v>
      </c>
      <c r="EE35" t="s">
        <v>197</v>
      </c>
      <c r="EF35">
        <v>0</v>
      </c>
      <c r="EH35">
        <f t="shared" si="1"/>
        <v>0.58000000000000007</v>
      </c>
      <c r="EI35">
        <v>3.38</v>
      </c>
      <c r="EJ35">
        <v>3.65</v>
      </c>
    </row>
    <row r="36" spans="1:140" x14ac:dyDescent="0.35">
      <c r="A36" s="1">
        <v>34</v>
      </c>
      <c r="B36">
        <v>-104.1010960202868</v>
      </c>
      <c r="C36">
        <v>31.64615446189292</v>
      </c>
      <c r="D36" t="s">
        <v>345</v>
      </c>
      <c r="E36">
        <v>0.02</v>
      </c>
      <c r="F36" t="s">
        <v>160</v>
      </c>
      <c r="G36">
        <v>0.13250000000000001</v>
      </c>
      <c r="H36" t="s">
        <v>161</v>
      </c>
      <c r="I36">
        <v>-11588481</v>
      </c>
      <c r="J36">
        <v>3716952</v>
      </c>
      <c r="K36" t="s">
        <v>165</v>
      </c>
      <c r="L36" t="s">
        <v>346</v>
      </c>
      <c r="M36">
        <v>55</v>
      </c>
      <c r="N36">
        <v>3.81</v>
      </c>
      <c r="O36">
        <v>3</v>
      </c>
      <c r="P36">
        <v>7</v>
      </c>
      <c r="Q36">
        <v>48</v>
      </c>
      <c r="R36">
        <v>109</v>
      </c>
      <c r="S36">
        <v>2188</v>
      </c>
      <c r="T36" t="s">
        <v>167</v>
      </c>
      <c r="U36">
        <v>4.3100995732574674</v>
      </c>
      <c r="V36" t="s">
        <v>165</v>
      </c>
      <c r="W36">
        <v>9.7899999999999987E-2</v>
      </c>
      <c r="X36">
        <v>10</v>
      </c>
      <c r="Y36">
        <v>8.9</v>
      </c>
      <c r="Z36">
        <v>8.9</v>
      </c>
      <c r="AA36">
        <v>20</v>
      </c>
      <c r="AB36">
        <v>26</v>
      </c>
      <c r="AC36">
        <v>0.82299999999999995</v>
      </c>
      <c r="AD36">
        <v>67</v>
      </c>
      <c r="AE36">
        <v>0.1308010171646535</v>
      </c>
      <c r="AF36">
        <v>2.86</v>
      </c>
      <c r="AG36" t="s">
        <v>167</v>
      </c>
      <c r="AH36" t="s">
        <v>165</v>
      </c>
      <c r="AI36">
        <v>37</v>
      </c>
      <c r="AJ36">
        <v>1.233333333333333E-2</v>
      </c>
      <c r="AK36">
        <v>12.33333333333333</v>
      </c>
      <c r="AL36" t="s">
        <v>249</v>
      </c>
      <c r="AM36">
        <v>5072.1108623101472</v>
      </c>
      <c r="AN36">
        <v>1.03</v>
      </c>
      <c r="AO36">
        <v>0.09</v>
      </c>
      <c r="AP36">
        <v>0.19</v>
      </c>
      <c r="AQ36">
        <v>0.74</v>
      </c>
      <c r="AR36">
        <v>0.68</v>
      </c>
      <c r="AS36">
        <v>0.04</v>
      </c>
      <c r="AT36">
        <v>0.01</v>
      </c>
      <c r="AU36">
        <v>0.02</v>
      </c>
      <c r="AV36">
        <v>1.95</v>
      </c>
      <c r="AW36">
        <v>0.96</v>
      </c>
      <c r="AX36">
        <v>0.21</v>
      </c>
      <c r="AY36">
        <v>0.53</v>
      </c>
      <c r="AZ36">
        <v>0</v>
      </c>
      <c r="BA36">
        <v>0.72</v>
      </c>
      <c r="BB36">
        <v>0.08</v>
      </c>
      <c r="BC36">
        <v>0.15</v>
      </c>
      <c r="BD36">
        <v>0.27</v>
      </c>
      <c r="BE36">
        <v>6.28</v>
      </c>
      <c r="BF36">
        <v>5.59</v>
      </c>
      <c r="BG36">
        <v>0.24</v>
      </c>
      <c r="BH36">
        <v>0.45</v>
      </c>
      <c r="BI36">
        <v>0</v>
      </c>
      <c r="BJ36">
        <v>0.04</v>
      </c>
      <c r="BK36">
        <v>5.55</v>
      </c>
      <c r="BL36">
        <v>0</v>
      </c>
      <c r="BM36">
        <v>1.51</v>
      </c>
      <c r="BN36">
        <v>0.21</v>
      </c>
      <c r="BO36">
        <v>0.46</v>
      </c>
      <c r="BP36">
        <v>0.84</v>
      </c>
      <c r="BQ36">
        <v>0.67</v>
      </c>
      <c r="BR36">
        <v>0.06</v>
      </c>
      <c r="BS36">
        <v>0.11</v>
      </c>
      <c r="BT36">
        <v>0</v>
      </c>
      <c r="BU36">
        <v>6.68</v>
      </c>
      <c r="BV36">
        <v>5.62</v>
      </c>
      <c r="BW36">
        <v>0.34</v>
      </c>
      <c r="BX36">
        <v>0.72</v>
      </c>
      <c r="BY36">
        <v>0</v>
      </c>
      <c r="BZ36">
        <v>0.04</v>
      </c>
      <c r="CA36">
        <v>5.58</v>
      </c>
      <c r="CB36">
        <v>0</v>
      </c>
      <c r="CC36">
        <f t="shared" si="0"/>
        <v>2.75</v>
      </c>
      <c r="CD36">
        <v>3.96</v>
      </c>
      <c r="CE36">
        <v>0.34230769230769231</v>
      </c>
      <c r="CF36">
        <v>0.44500000000000001</v>
      </c>
      <c r="CG36">
        <v>0.1492537313432836</v>
      </c>
      <c r="CH36">
        <v>0.28776223776223769</v>
      </c>
      <c r="CI36">
        <v>0</v>
      </c>
      <c r="CJ36">
        <v>26094</v>
      </c>
      <c r="CK36" t="s">
        <v>169</v>
      </c>
      <c r="CL36" t="s">
        <v>347</v>
      </c>
      <c r="CM36" t="s">
        <v>143</v>
      </c>
      <c r="CN36">
        <v>0.15024844789899999</v>
      </c>
      <c r="CO36">
        <v>3.9185195472706198</v>
      </c>
      <c r="CP36">
        <v>35</v>
      </c>
      <c r="CQ36" t="s">
        <v>199</v>
      </c>
      <c r="CR36">
        <v>26</v>
      </c>
      <c r="CS36" t="s">
        <v>200</v>
      </c>
      <c r="CT36" t="s">
        <v>201</v>
      </c>
      <c r="CU36" t="s">
        <v>167</v>
      </c>
      <c r="CV36" t="s">
        <v>202</v>
      </c>
      <c r="CW36" t="s">
        <v>203</v>
      </c>
      <c r="CX36" t="s">
        <v>204</v>
      </c>
      <c r="CY36" t="s">
        <v>205</v>
      </c>
      <c r="CZ36" t="s">
        <v>206</v>
      </c>
      <c r="DA36" t="s">
        <v>152</v>
      </c>
      <c r="DB36" t="s">
        <v>153</v>
      </c>
      <c r="DC36" t="s">
        <v>207</v>
      </c>
      <c r="DD36" t="s">
        <v>208</v>
      </c>
      <c r="DE36">
        <v>49915</v>
      </c>
      <c r="DF36">
        <v>-102.456551</v>
      </c>
      <c r="DG36">
        <v>31.762763</v>
      </c>
      <c r="DH36">
        <v>7340</v>
      </c>
      <c r="DI36">
        <v>390</v>
      </c>
      <c r="DJ36">
        <v>3400</v>
      </c>
      <c r="DK36">
        <v>160</v>
      </c>
      <c r="DL36">
        <v>8.5</v>
      </c>
      <c r="DO36">
        <v>66</v>
      </c>
      <c r="DP36">
        <v>0.1</v>
      </c>
      <c r="DQ36">
        <v>1100</v>
      </c>
      <c r="DS36" t="s">
        <v>209</v>
      </c>
      <c r="DT36">
        <v>1.2500000000000001E-2</v>
      </c>
      <c r="DU36">
        <v>1.2500000000000001E-2</v>
      </c>
      <c r="DV36">
        <v>0.32500000000000001</v>
      </c>
      <c r="DW36">
        <v>0.32500000000000001</v>
      </c>
      <c r="DX36">
        <v>0.32500000000000001</v>
      </c>
      <c r="DY36">
        <v>0</v>
      </c>
      <c r="DZ36" s="4">
        <v>3.4470000000000001</v>
      </c>
      <c r="EA36" s="4" t="s">
        <v>182</v>
      </c>
      <c r="EB36" s="4" t="s">
        <v>183</v>
      </c>
      <c r="EC36">
        <v>4.4379999999999997</v>
      </c>
      <c r="ED36">
        <v>208</v>
      </c>
      <c r="EE36" t="s">
        <v>249</v>
      </c>
      <c r="EF36">
        <v>4.5579888759722048E-2</v>
      </c>
      <c r="EH36">
        <f t="shared" si="1"/>
        <v>0.58000000000000007</v>
      </c>
      <c r="EI36">
        <v>3.38</v>
      </c>
      <c r="EJ36">
        <v>3.65</v>
      </c>
    </row>
    <row r="37" spans="1:140" x14ac:dyDescent="0.35">
      <c r="A37" s="1">
        <v>35</v>
      </c>
      <c r="B37">
        <v>-102.30446545204769</v>
      </c>
      <c r="C37">
        <v>31.64615446189292</v>
      </c>
      <c r="D37" t="s">
        <v>348</v>
      </c>
      <c r="E37">
        <v>0.02</v>
      </c>
      <c r="F37" t="s">
        <v>160</v>
      </c>
      <c r="G37">
        <v>0.13250000000000001</v>
      </c>
      <c r="H37" t="s">
        <v>161</v>
      </c>
      <c r="I37">
        <v>-11388481</v>
      </c>
      <c r="J37">
        <v>3716952</v>
      </c>
      <c r="K37" t="s">
        <v>165</v>
      </c>
      <c r="L37" t="s">
        <v>349</v>
      </c>
      <c r="M37">
        <v>231</v>
      </c>
      <c r="N37">
        <v>3.9079999999999999</v>
      </c>
      <c r="O37">
        <v>3</v>
      </c>
      <c r="P37">
        <v>7</v>
      </c>
      <c r="Q37">
        <v>48</v>
      </c>
      <c r="R37">
        <v>461</v>
      </c>
      <c r="S37">
        <v>3308</v>
      </c>
      <c r="T37" t="s">
        <v>167</v>
      </c>
      <c r="U37">
        <v>4.3100995732574674</v>
      </c>
      <c r="V37" t="s">
        <v>165</v>
      </c>
      <c r="W37">
        <v>9.7899999999999987E-2</v>
      </c>
      <c r="X37">
        <v>10</v>
      </c>
      <c r="Y37">
        <v>8.9</v>
      </c>
      <c r="Z37">
        <v>8.9</v>
      </c>
      <c r="AA37">
        <v>20</v>
      </c>
      <c r="AB37">
        <v>26</v>
      </c>
      <c r="AC37">
        <v>0.82299999999999995</v>
      </c>
      <c r="AD37">
        <v>67</v>
      </c>
      <c r="AE37">
        <v>0.1308010171646535</v>
      </c>
      <c r="AF37">
        <v>2.86</v>
      </c>
      <c r="AG37" t="s">
        <v>167</v>
      </c>
      <c r="AH37" t="s">
        <v>165</v>
      </c>
      <c r="AI37">
        <v>37</v>
      </c>
      <c r="AJ37">
        <v>1.233333333333333E-2</v>
      </c>
      <c r="AK37">
        <v>12.33333333333333</v>
      </c>
      <c r="AL37" t="s">
        <v>350</v>
      </c>
      <c r="AM37">
        <v>679.00649169432529</v>
      </c>
      <c r="AN37">
        <v>1.03</v>
      </c>
      <c r="AO37">
        <v>0.09</v>
      </c>
      <c r="AP37">
        <v>0.19</v>
      </c>
      <c r="AQ37">
        <v>0.74</v>
      </c>
      <c r="AR37">
        <v>0.68</v>
      </c>
      <c r="AS37">
        <v>0.04</v>
      </c>
      <c r="AT37">
        <v>0.01</v>
      </c>
      <c r="AU37">
        <v>0.02</v>
      </c>
      <c r="AV37">
        <v>1.95</v>
      </c>
      <c r="AW37">
        <v>0.96</v>
      </c>
      <c r="AX37">
        <v>0.21</v>
      </c>
      <c r="AY37">
        <v>0.53</v>
      </c>
      <c r="AZ37">
        <v>0</v>
      </c>
      <c r="BA37">
        <v>0.72</v>
      </c>
      <c r="BB37">
        <v>0.08</v>
      </c>
      <c r="BC37">
        <v>0.15</v>
      </c>
      <c r="BD37">
        <v>0.27</v>
      </c>
      <c r="BE37">
        <v>6.28</v>
      </c>
      <c r="BF37">
        <v>5.59</v>
      </c>
      <c r="BG37">
        <v>0.24</v>
      </c>
      <c r="BH37">
        <v>0.45</v>
      </c>
      <c r="BI37">
        <v>0</v>
      </c>
      <c r="BJ37">
        <v>0.04</v>
      </c>
      <c r="BK37">
        <v>5.55</v>
      </c>
      <c r="BL37">
        <v>0</v>
      </c>
      <c r="BM37">
        <v>1.51</v>
      </c>
      <c r="BN37">
        <v>0.21</v>
      </c>
      <c r="BO37">
        <v>0.46</v>
      </c>
      <c r="BP37">
        <v>0.84</v>
      </c>
      <c r="BQ37">
        <v>0.67</v>
      </c>
      <c r="BR37">
        <v>0.06</v>
      </c>
      <c r="BS37">
        <v>0.11</v>
      </c>
      <c r="BT37">
        <v>0</v>
      </c>
      <c r="BU37">
        <v>6.68</v>
      </c>
      <c r="BV37">
        <v>5.62</v>
      </c>
      <c r="BW37">
        <v>0.34</v>
      </c>
      <c r="BX37">
        <v>0.72</v>
      </c>
      <c r="BY37">
        <v>0</v>
      </c>
      <c r="BZ37">
        <v>0.04</v>
      </c>
      <c r="CA37">
        <v>5.58</v>
      </c>
      <c r="CB37">
        <v>0</v>
      </c>
      <c r="CC37">
        <f t="shared" si="0"/>
        <v>2.75</v>
      </c>
      <c r="CD37">
        <v>3.96</v>
      </c>
      <c r="CE37">
        <v>0.34230769230769231</v>
      </c>
      <c r="CF37">
        <v>0.44500000000000001</v>
      </c>
      <c r="CG37">
        <v>0.1492537313432836</v>
      </c>
      <c r="CH37">
        <v>0.28776223776223769</v>
      </c>
      <c r="CI37">
        <v>0</v>
      </c>
      <c r="CJ37">
        <v>6532</v>
      </c>
      <c r="CK37" t="s">
        <v>169</v>
      </c>
      <c r="CL37" t="s">
        <v>170</v>
      </c>
      <c r="CM37" t="s">
        <v>143</v>
      </c>
      <c r="CN37">
        <v>0.24210491928299999</v>
      </c>
      <c r="CO37">
        <v>1.0567472819998489</v>
      </c>
      <c r="CP37">
        <v>36</v>
      </c>
      <c r="CQ37" t="s">
        <v>199</v>
      </c>
      <c r="CR37">
        <v>26</v>
      </c>
      <c r="CS37" t="s">
        <v>200</v>
      </c>
      <c r="CT37" t="s">
        <v>201</v>
      </c>
      <c r="CU37" t="s">
        <v>167</v>
      </c>
      <c r="CV37" t="s">
        <v>202</v>
      </c>
      <c r="CW37" t="s">
        <v>203</v>
      </c>
      <c r="CX37" t="s">
        <v>204</v>
      </c>
      <c r="CY37" t="s">
        <v>205</v>
      </c>
      <c r="CZ37" t="s">
        <v>206</v>
      </c>
      <c r="DA37" t="s">
        <v>152</v>
      </c>
      <c r="DB37" t="s">
        <v>153</v>
      </c>
      <c r="DC37" t="s">
        <v>207</v>
      </c>
      <c r="DD37" t="s">
        <v>208</v>
      </c>
      <c r="DE37">
        <v>49915</v>
      </c>
      <c r="DF37">
        <v>-102.456551</v>
      </c>
      <c r="DG37">
        <v>31.762763</v>
      </c>
      <c r="DH37">
        <v>7340</v>
      </c>
      <c r="DI37">
        <v>390</v>
      </c>
      <c r="DJ37">
        <v>3400</v>
      </c>
      <c r="DK37">
        <v>160</v>
      </c>
      <c r="DL37">
        <v>8.5</v>
      </c>
      <c r="DO37">
        <v>66</v>
      </c>
      <c r="DP37">
        <v>0.1</v>
      </c>
      <c r="DQ37">
        <v>1100</v>
      </c>
      <c r="DS37" t="s">
        <v>209</v>
      </c>
      <c r="DT37">
        <v>1.2500000000000001E-2</v>
      </c>
      <c r="DU37">
        <v>1.2500000000000001E-2</v>
      </c>
      <c r="DV37">
        <v>0.32500000000000001</v>
      </c>
      <c r="DW37">
        <v>0.32500000000000001</v>
      </c>
      <c r="DX37">
        <v>0.32500000000000001</v>
      </c>
      <c r="DY37">
        <v>0</v>
      </c>
      <c r="DZ37" s="4">
        <v>3.4470000000000001</v>
      </c>
      <c r="EA37" s="4" t="s">
        <v>182</v>
      </c>
      <c r="EB37" s="4" t="s">
        <v>183</v>
      </c>
      <c r="EC37">
        <v>4.4379999999999997</v>
      </c>
      <c r="ED37">
        <v>547</v>
      </c>
      <c r="EE37" t="s">
        <v>350</v>
      </c>
      <c r="EF37">
        <v>5.1924906677071961E-3</v>
      </c>
      <c r="EH37">
        <f t="shared" si="1"/>
        <v>0.58000000000000007</v>
      </c>
      <c r="EI37">
        <v>3.38</v>
      </c>
      <c r="EJ37">
        <v>3.65</v>
      </c>
    </row>
    <row r="38" spans="1:140" x14ac:dyDescent="0.35">
      <c r="A38" s="1">
        <v>36</v>
      </c>
      <c r="B38">
        <v>-100.5078348838087</v>
      </c>
      <c r="C38">
        <v>31.64615446189292</v>
      </c>
      <c r="D38" t="s">
        <v>351</v>
      </c>
      <c r="E38">
        <v>0.1</v>
      </c>
      <c r="F38" t="s">
        <v>135</v>
      </c>
      <c r="G38">
        <v>0.13250000000000001</v>
      </c>
      <c r="H38" t="s">
        <v>161</v>
      </c>
      <c r="I38">
        <v>-11188481</v>
      </c>
      <c r="J38">
        <v>3716952</v>
      </c>
      <c r="K38" t="s">
        <v>165</v>
      </c>
      <c r="L38" t="s">
        <v>352</v>
      </c>
      <c r="M38">
        <v>226</v>
      </c>
      <c r="N38">
        <v>3.4980000000000002</v>
      </c>
      <c r="O38">
        <v>3</v>
      </c>
      <c r="P38">
        <v>7</v>
      </c>
      <c r="Q38">
        <v>48</v>
      </c>
      <c r="R38">
        <v>451</v>
      </c>
      <c r="S38">
        <v>120007</v>
      </c>
      <c r="T38" t="s">
        <v>167</v>
      </c>
      <c r="U38">
        <v>4.3100995732574674</v>
      </c>
      <c r="V38" t="s">
        <v>165</v>
      </c>
      <c r="W38">
        <v>9.7899999999999987E-2</v>
      </c>
      <c r="X38">
        <v>10</v>
      </c>
      <c r="Y38">
        <v>8.9</v>
      </c>
      <c r="Z38">
        <v>8.9</v>
      </c>
      <c r="AA38">
        <v>20</v>
      </c>
      <c r="AB38">
        <v>26</v>
      </c>
      <c r="AC38">
        <v>0.82299999999999995</v>
      </c>
      <c r="AD38">
        <v>67</v>
      </c>
      <c r="AE38">
        <v>0.1308010171646535</v>
      </c>
      <c r="AF38">
        <v>2.86</v>
      </c>
      <c r="AG38" t="s">
        <v>167</v>
      </c>
      <c r="AH38" t="s">
        <v>165</v>
      </c>
      <c r="AI38">
        <v>37</v>
      </c>
      <c r="AJ38">
        <v>1.233333333333333E-2</v>
      </c>
      <c r="AK38">
        <v>12.33333333333333</v>
      </c>
      <c r="AL38" t="s">
        <v>353</v>
      </c>
      <c r="AM38">
        <v>0</v>
      </c>
      <c r="AN38">
        <v>1.03</v>
      </c>
      <c r="AO38">
        <v>0.09</v>
      </c>
      <c r="AP38">
        <v>0.19</v>
      </c>
      <c r="AQ38">
        <v>0.74</v>
      </c>
      <c r="AR38">
        <v>0.68</v>
      </c>
      <c r="AS38">
        <v>0.04</v>
      </c>
      <c r="AT38">
        <v>0.01</v>
      </c>
      <c r="AU38">
        <v>0.02</v>
      </c>
      <c r="AV38">
        <v>1.95</v>
      </c>
      <c r="AW38">
        <v>0.96</v>
      </c>
      <c r="AX38">
        <v>0.21</v>
      </c>
      <c r="AY38">
        <v>0.53</v>
      </c>
      <c r="AZ38">
        <v>0</v>
      </c>
      <c r="BA38">
        <v>0.72</v>
      </c>
      <c r="BB38">
        <v>0.08</v>
      </c>
      <c r="BC38">
        <v>0.15</v>
      </c>
      <c r="BD38">
        <v>0.27</v>
      </c>
      <c r="BE38">
        <v>6.28</v>
      </c>
      <c r="BF38">
        <v>5.59</v>
      </c>
      <c r="BG38">
        <v>0.24</v>
      </c>
      <c r="BH38">
        <v>0.45</v>
      </c>
      <c r="BI38">
        <v>0</v>
      </c>
      <c r="BJ38">
        <v>0.04</v>
      </c>
      <c r="BK38">
        <v>5.55</v>
      </c>
      <c r="BL38">
        <v>0</v>
      </c>
      <c r="BM38">
        <v>1.51</v>
      </c>
      <c r="BN38">
        <v>0.21</v>
      </c>
      <c r="BO38">
        <v>0.46</v>
      </c>
      <c r="BP38">
        <v>0.84</v>
      </c>
      <c r="BQ38">
        <v>0.67</v>
      </c>
      <c r="BR38">
        <v>0.06</v>
      </c>
      <c r="BS38">
        <v>0.11</v>
      </c>
      <c r="BT38">
        <v>0</v>
      </c>
      <c r="BU38">
        <v>6.68</v>
      </c>
      <c r="BV38">
        <v>5.62</v>
      </c>
      <c r="BW38">
        <v>0.34</v>
      </c>
      <c r="BX38">
        <v>0.72</v>
      </c>
      <c r="BY38">
        <v>0</v>
      </c>
      <c r="BZ38">
        <v>0.04</v>
      </c>
      <c r="CA38">
        <v>5.58</v>
      </c>
      <c r="CB38">
        <v>0</v>
      </c>
      <c r="CC38">
        <f t="shared" si="0"/>
        <v>2.75</v>
      </c>
      <c r="CD38">
        <v>3.96</v>
      </c>
      <c r="CE38">
        <v>0.34230769230769231</v>
      </c>
      <c r="CF38">
        <v>0.44500000000000001</v>
      </c>
      <c r="CG38">
        <v>0.1492537313432836</v>
      </c>
      <c r="CH38">
        <v>0.28776223776223769</v>
      </c>
      <c r="CI38">
        <v>0</v>
      </c>
      <c r="CJ38">
        <v>13418</v>
      </c>
      <c r="CK38" t="s">
        <v>169</v>
      </c>
      <c r="CL38" t="s">
        <v>354</v>
      </c>
      <c r="CM38" t="s">
        <v>143</v>
      </c>
      <c r="CN38">
        <v>0.75841764641999998</v>
      </c>
      <c r="CO38">
        <v>4.7836740213014606</v>
      </c>
      <c r="CP38">
        <v>37</v>
      </c>
      <c r="CQ38" t="s">
        <v>199</v>
      </c>
      <c r="CR38">
        <v>26</v>
      </c>
      <c r="CS38" t="s">
        <v>200</v>
      </c>
      <c r="CT38" t="s">
        <v>201</v>
      </c>
      <c r="CU38" t="s">
        <v>167</v>
      </c>
      <c r="CV38" t="s">
        <v>202</v>
      </c>
      <c r="CW38" t="s">
        <v>203</v>
      </c>
      <c r="CX38" t="s">
        <v>204</v>
      </c>
      <c r="CY38" t="s">
        <v>205</v>
      </c>
      <c r="CZ38" t="s">
        <v>206</v>
      </c>
      <c r="DA38" t="s">
        <v>152</v>
      </c>
      <c r="DB38" t="s">
        <v>153</v>
      </c>
      <c r="DC38" t="s">
        <v>207</v>
      </c>
      <c r="DD38" t="s">
        <v>208</v>
      </c>
      <c r="DE38">
        <v>49915</v>
      </c>
      <c r="DF38">
        <v>-102.456551</v>
      </c>
      <c r="DG38">
        <v>31.762763</v>
      </c>
      <c r="DH38">
        <v>7340</v>
      </c>
      <c r="DI38">
        <v>390</v>
      </c>
      <c r="DJ38">
        <v>3400</v>
      </c>
      <c r="DK38">
        <v>160</v>
      </c>
      <c r="DL38">
        <v>8.5</v>
      </c>
      <c r="DO38">
        <v>66</v>
      </c>
      <c r="DP38">
        <v>0.1</v>
      </c>
      <c r="DQ38">
        <v>1100</v>
      </c>
      <c r="DS38" t="s">
        <v>209</v>
      </c>
      <c r="DT38">
        <v>1.2500000000000001E-2</v>
      </c>
      <c r="DU38">
        <v>1.2500000000000001E-2</v>
      </c>
      <c r="DV38">
        <v>0.32500000000000001</v>
      </c>
      <c r="DW38">
        <v>0.32500000000000001</v>
      </c>
      <c r="DX38">
        <v>0.32500000000000001</v>
      </c>
      <c r="DY38">
        <v>17.097887333166181</v>
      </c>
      <c r="DZ38" s="4">
        <v>3.4470000000000001</v>
      </c>
      <c r="EA38" s="4" t="s">
        <v>182</v>
      </c>
      <c r="EB38" s="4" t="s">
        <v>183</v>
      </c>
      <c r="EC38">
        <v>4.4379999999999997</v>
      </c>
      <c r="ED38">
        <v>882</v>
      </c>
      <c r="EE38" t="s">
        <v>353</v>
      </c>
      <c r="EF38">
        <v>0</v>
      </c>
      <c r="EH38">
        <f t="shared" si="1"/>
        <v>0.58000000000000007</v>
      </c>
      <c r="EI38">
        <v>3.38</v>
      </c>
      <c r="EJ38">
        <v>3.65</v>
      </c>
    </row>
    <row r="39" spans="1:140" x14ac:dyDescent="0.35">
      <c r="A39" s="1">
        <v>37</v>
      </c>
      <c r="B39">
        <v>-98.711204315569631</v>
      </c>
      <c r="C39">
        <v>31.64615446189292</v>
      </c>
      <c r="D39" t="s">
        <v>355</v>
      </c>
      <c r="E39">
        <v>0.1</v>
      </c>
      <c r="F39" t="s">
        <v>306</v>
      </c>
      <c r="G39">
        <v>3.9300000000000002E-2</v>
      </c>
      <c r="H39" t="s">
        <v>161</v>
      </c>
      <c r="I39">
        <v>-10988481</v>
      </c>
      <c r="J39">
        <v>3716952</v>
      </c>
      <c r="K39" t="s">
        <v>165</v>
      </c>
      <c r="L39" t="s">
        <v>356</v>
      </c>
      <c r="M39">
        <v>167</v>
      </c>
      <c r="N39">
        <v>3.4740000000000002</v>
      </c>
      <c r="O39">
        <v>3</v>
      </c>
      <c r="P39">
        <v>7</v>
      </c>
      <c r="Q39">
        <v>48</v>
      </c>
      <c r="R39">
        <v>333</v>
      </c>
      <c r="S39">
        <v>4454</v>
      </c>
      <c r="T39" t="s">
        <v>167</v>
      </c>
      <c r="U39">
        <v>4.3100995732574674</v>
      </c>
      <c r="V39" t="s">
        <v>165</v>
      </c>
      <c r="W39">
        <v>9.7899999999999987E-2</v>
      </c>
      <c r="X39">
        <v>10</v>
      </c>
      <c r="Y39">
        <v>8.9</v>
      </c>
      <c r="Z39">
        <v>8.9</v>
      </c>
      <c r="AA39">
        <v>20</v>
      </c>
      <c r="AB39">
        <v>26</v>
      </c>
      <c r="AC39">
        <v>0.82299999999999995</v>
      </c>
      <c r="AD39">
        <v>67</v>
      </c>
      <c r="AE39">
        <v>0.1308010171646535</v>
      </c>
      <c r="AF39">
        <v>2.86</v>
      </c>
      <c r="AG39" t="s">
        <v>167</v>
      </c>
      <c r="AH39" t="s">
        <v>165</v>
      </c>
      <c r="AI39">
        <v>37</v>
      </c>
      <c r="AJ39">
        <v>1.233333333333333E-2</v>
      </c>
      <c r="AK39">
        <v>12.33333333333333</v>
      </c>
      <c r="AL39" t="s">
        <v>357</v>
      </c>
      <c r="AM39">
        <v>6258.296722708249</v>
      </c>
      <c r="AN39">
        <v>1.03</v>
      </c>
      <c r="AO39">
        <v>0.09</v>
      </c>
      <c r="AP39">
        <v>0.19</v>
      </c>
      <c r="AQ39">
        <v>0.74</v>
      </c>
      <c r="AR39">
        <v>0.68</v>
      </c>
      <c r="AS39">
        <v>0.04</v>
      </c>
      <c r="AT39">
        <v>0.01</v>
      </c>
      <c r="AU39">
        <v>0.02</v>
      </c>
      <c r="AV39">
        <v>1.95</v>
      </c>
      <c r="AW39">
        <v>0.96</v>
      </c>
      <c r="AX39">
        <v>0.21</v>
      </c>
      <c r="AY39">
        <v>0.53</v>
      </c>
      <c r="AZ39">
        <v>0</v>
      </c>
      <c r="BA39">
        <v>0.72</v>
      </c>
      <c r="BB39">
        <v>0.08</v>
      </c>
      <c r="BC39">
        <v>0.15</v>
      </c>
      <c r="BD39">
        <v>0.27</v>
      </c>
      <c r="BE39">
        <v>6.28</v>
      </c>
      <c r="BF39">
        <v>5.59</v>
      </c>
      <c r="BG39">
        <v>0.24</v>
      </c>
      <c r="BH39">
        <v>0.45</v>
      </c>
      <c r="BI39">
        <v>0</v>
      </c>
      <c r="BJ39">
        <v>0.04</v>
      </c>
      <c r="BK39">
        <v>5.55</v>
      </c>
      <c r="BL39">
        <v>0</v>
      </c>
      <c r="BM39">
        <v>1.51</v>
      </c>
      <c r="BN39">
        <v>0.21</v>
      </c>
      <c r="BO39">
        <v>0.46</v>
      </c>
      <c r="BP39">
        <v>0.84</v>
      </c>
      <c r="BQ39">
        <v>0.67</v>
      </c>
      <c r="BR39">
        <v>0.06</v>
      </c>
      <c r="BS39">
        <v>0.11</v>
      </c>
      <c r="BT39">
        <v>0</v>
      </c>
      <c r="BU39">
        <v>6.68</v>
      </c>
      <c r="BV39">
        <v>5.62</v>
      </c>
      <c r="BW39">
        <v>0.34</v>
      </c>
      <c r="BX39">
        <v>0.72</v>
      </c>
      <c r="BY39">
        <v>0</v>
      </c>
      <c r="BZ39">
        <v>0.04</v>
      </c>
      <c r="CA39">
        <v>5.58</v>
      </c>
      <c r="CB39">
        <v>0</v>
      </c>
      <c r="CC39">
        <f t="shared" si="0"/>
        <v>2.75</v>
      </c>
      <c r="CD39">
        <v>3.96</v>
      </c>
      <c r="CE39">
        <v>0.34230769230769231</v>
      </c>
      <c r="CF39">
        <v>0.44500000000000001</v>
      </c>
      <c r="CG39">
        <v>0.1492537313432836</v>
      </c>
      <c r="CH39">
        <v>0.28776223776223769</v>
      </c>
      <c r="CI39">
        <v>0</v>
      </c>
      <c r="CJ39">
        <v>13202</v>
      </c>
      <c r="CK39" t="s">
        <v>169</v>
      </c>
      <c r="CL39" t="s">
        <v>354</v>
      </c>
      <c r="CM39" t="s">
        <v>143</v>
      </c>
      <c r="CN39">
        <v>2.2499886777499999E-2</v>
      </c>
      <c r="CO39">
        <v>18.693091404796739</v>
      </c>
      <c r="CP39">
        <v>38</v>
      </c>
      <c r="CQ39" t="s">
        <v>358</v>
      </c>
      <c r="CR39">
        <v>228</v>
      </c>
      <c r="CS39" t="s">
        <v>359</v>
      </c>
      <c r="CT39" t="s">
        <v>360</v>
      </c>
      <c r="CU39" t="s">
        <v>167</v>
      </c>
      <c r="CV39" t="s">
        <v>361</v>
      </c>
      <c r="CW39" t="s">
        <v>362</v>
      </c>
      <c r="CX39" t="s">
        <v>363</v>
      </c>
      <c r="CY39" t="s">
        <v>364</v>
      </c>
      <c r="CZ39" t="s">
        <v>151</v>
      </c>
      <c r="DA39" t="s">
        <v>152</v>
      </c>
      <c r="DB39" t="s">
        <v>178</v>
      </c>
      <c r="DC39" t="s">
        <v>365</v>
      </c>
      <c r="DD39" t="s">
        <v>155</v>
      </c>
      <c r="DE39">
        <v>13575</v>
      </c>
      <c r="DF39">
        <v>-95.574181999999993</v>
      </c>
      <c r="DG39">
        <v>31.698111000000001</v>
      </c>
      <c r="DH39">
        <v>5500</v>
      </c>
      <c r="DI39">
        <v>700</v>
      </c>
      <c r="DL39">
        <v>20</v>
      </c>
      <c r="DO39">
        <v>500</v>
      </c>
      <c r="DP39">
        <v>1</v>
      </c>
      <c r="DQ39">
        <v>2320</v>
      </c>
      <c r="DS39" t="s">
        <v>366</v>
      </c>
      <c r="DT39">
        <v>1.2500000000000001E-2</v>
      </c>
      <c r="DU39">
        <v>1.2500000000000001E-2</v>
      </c>
      <c r="DV39">
        <v>0.32500000000000001</v>
      </c>
      <c r="DW39">
        <v>0.32500000000000001</v>
      </c>
      <c r="DX39">
        <v>0.32500000000000001</v>
      </c>
      <c r="DY39">
        <v>136.76768629107801</v>
      </c>
      <c r="DZ39" s="4">
        <v>3.4470000000000001</v>
      </c>
      <c r="EA39" s="4" t="s">
        <v>182</v>
      </c>
      <c r="EB39" s="4" t="s">
        <v>183</v>
      </c>
      <c r="EC39">
        <v>4.4379999999999997</v>
      </c>
      <c r="ED39">
        <v>696</v>
      </c>
      <c r="EE39" t="s">
        <v>357</v>
      </c>
      <c r="EF39">
        <v>4.8016503327844323E-2</v>
      </c>
      <c r="EH39">
        <f t="shared" si="1"/>
        <v>0.58000000000000007</v>
      </c>
      <c r="EI39">
        <v>3.38</v>
      </c>
      <c r="EJ39">
        <v>3.65</v>
      </c>
    </row>
    <row r="40" spans="1:140" x14ac:dyDescent="0.35">
      <c r="A40" s="1">
        <v>38</v>
      </c>
      <c r="B40">
        <v>-96.914573747330593</v>
      </c>
      <c r="C40">
        <v>31.64615446189292</v>
      </c>
      <c r="D40" t="s">
        <v>367</v>
      </c>
      <c r="E40">
        <v>0.1</v>
      </c>
      <c r="F40" t="s">
        <v>135</v>
      </c>
      <c r="G40">
        <v>3.9300000000000002E-2</v>
      </c>
      <c r="H40" t="s">
        <v>161</v>
      </c>
      <c r="I40">
        <v>-10788481</v>
      </c>
      <c r="J40">
        <v>3716952</v>
      </c>
      <c r="K40" t="s">
        <v>165</v>
      </c>
      <c r="L40" t="s">
        <v>368</v>
      </c>
      <c r="M40">
        <v>161</v>
      </c>
      <c r="N40">
        <v>3.44</v>
      </c>
      <c r="O40">
        <v>3</v>
      </c>
      <c r="P40">
        <v>7</v>
      </c>
      <c r="Q40">
        <v>48</v>
      </c>
      <c r="R40">
        <v>309</v>
      </c>
      <c r="S40">
        <v>260582</v>
      </c>
      <c r="T40" t="s">
        <v>167</v>
      </c>
      <c r="U40">
        <v>4.3100995732574674</v>
      </c>
      <c r="V40" t="s">
        <v>165</v>
      </c>
      <c r="W40">
        <v>9.7899999999999987E-2</v>
      </c>
      <c r="X40">
        <v>10</v>
      </c>
      <c r="Y40">
        <v>8.9</v>
      </c>
      <c r="Z40">
        <v>8.9</v>
      </c>
      <c r="AA40">
        <v>20</v>
      </c>
      <c r="AB40">
        <v>26</v>
      </c>
      <c r="AC40">
        <v>0.82299999999999995</v>
      </c>
      <c r="AD40">
        <v>67</v>
      </c>
      <c r="AE40">
        <v>0.1308010171646535</v>
      </c>
      <c r="AF40">
        <v>2.86</v>
      </c>
      <c r="AG40" t="s">
        <v>167</v>
      </c>
      <c r="AH40" t="s">
        <v>165</v>
      </c>
      <c r="AI40">
        <v>37</v>
      </c>
      <c r="AJ40">
        <v>1.233333333333333E-2</v>
      </c>
      <c r="AK40">
        <v>12.33333333333333</v>
      </c>
      <c r="AL40" t="s">
        <v>369</v>
      </c>
      <c r="AM40">
        <v>0</v>
      </c>
      <c r="AN40">
        <v>1.03</v>
      </c>
      <c r="AO40">
        <v>0.09</v>
      </c>
      <c r="AP40">
        <v>0.19</v>
      </c>
      <c r="AQ40">
        <v>0.74</v>
      </c>
      <c r="AR40">
        <v>0.68</v>
      </c>
      <c r="AS40">
        <v>0.04</v>
      </c>
      <c r="AT40">
        <v>0.01</v>
      </c>
      <c r="AU40">
        <v>0.02</v>
      </c>
      <c r="AV40">
        <v>1.95</v>
      </c>
      <c r="AW40">
        <v>0.96</v>
      </c>
      <c r="AX40">
        <v>0.21</v>
      </c>
      <c r="AY40">
        <v>0.53</v>
      </c>
      <c r="AZ40">
        <v>0</v>
      </c>
      <c r="BA40">
        <v>0.72</v>
      </c>
      <c r="BB40">
        <v>0.08</v>
      </c>
      <c r="BC40">
        <v>0.15</v>
      </c>
      <c r="BD40">
        <v>0.27</v>
      </c>
      <c r="BE40">
        <v>6.28</v>
      </c>
      <c r="BF40">
        <v>5.59</v>
      </c>
      <c r="BG40">
        <v>0.24</v>
      </c>
      <c r="BH40">
        <v>0.45</v>
      </c>
      <c r="BI40">
        <v>0</v>
      </c>
      <c r="BJ40">
        <v>0.04</v>
      </c>
      <c r="BK40">
        <v>5.55</v>
      </c>
      <c r="BL40">
        <v>0</v>
      </c>
      <c r="BM40">
        <v>1.51</v>
      </c>
      <c r="BN40">
        <v>0.21</v>
      </c>
      <c r="BO40">
        <v>0.46</v>
      </c>
      <c r="BP40">
        <v>0.84</v>
      </c>
      <c r="BQ40">
        <v>0.67</v>
      </c>
      <c r="BR40">
        <v>0.06</v>
      </c>
      <c r="BS40">
        <v>0.11</v>
      </c>
      <c r="BT40">
        <v>0</v>
      </c>
      <c r="BU40">
        <v>6.68</v>
      </c>
      <c r="BV40">
        <v>5.62</v>
      </c>
      <c r="BW40">
        <v>0.34</v>
      </c>
      <c r="BX40">
        <v>0.72</v>
      </c>
      <c r="BY40">
        <v>0</v>
      </c>
      <c r="BZ40">
        <v>0.04</v>
      </c>
      <c r="CA40">
        <v>5.58</v>
      </c>
      <c r="CB40">
        <v>0</v>
      </c>
      <c r="CC40">
        <f t="shared" si="0"/>
        <v>2.75</v>
      </c>
      <c r="CD40">
        <v>3.96</v>
      </c>
      <c r="CE40">
        <v>0.34230769230769231</v>
      </c>
      <c r="CF40">
        <v>0.44500000000000001</v>
      </c>
      <c r="CG40">
        <v>0.1492537313432836</v>
      </c>
      <c r="CH40">
        <v>0.28776223776223769</v>
      </c>
      <c r="CI40">
        <v>0</v>
      </c>
      <c r="CJ40">
        <v>13516</v>
      </c>
      <c r="CK40" t="s">
        <v>169</v>
      </c>
      <c r="CL40" t="s">
        <v>354</v>
      </c>
      <c r="CM40" t="s">
        <v>143</v>
      </c>
      <c r="CN40">
        <v>0.158906504911</v>
      </c>
      <c r="CO40">
        <v>3.2634467546080019</v>
      </c>
      <c r="CP40">
        <v>39</v>
      </c>
      <c r="CQ40" t="s">
        <v>358</v>
      </c>
      <c r="CR40">
        <v>228</v>
      </c>
      <c r="CS40" t="s">
        <v>359</v>
      </c>
      <c r="CT40" t="s">
        <v>360</v>
      </c>
      <c r="CU40" t="s">
        <v>167</v>
      </c>
      <c r="CV40" t="s">
        <v>361</v>
      </c>
      <c r="CW40" t="s">
        <v>362</v>
      </c>
      <c r="CX40" t="s">
        <v>363</v>
      </c>
      <c r="CY40" t="s">
        <v>364</v>
      </c>
      <c r="CZ40" t="s">
        <v>151</v>
      </c>
      <c r="DA40" t="s">
        <v>152</v>
      </c>
      <c r="DB40" t="s">
        <v>178</v>
      </c>
      <c r="DC40" t="s">
        <v>365</v>
      </c>
      <c r="DD40" t="s">
        <v>155</v>
      </c>
      <c r="DE40">
        <v>13575</v>
      </c>
      <c r="DF40">
        <v>-95.574181999999993</v>
      </c>
      <c r="DG40">
        <v>31.698111000000001</v>
      </c>
      <c r="DH40">
        <v>5500</v>
      </c>
      <c r="DI40">
        <v>700</v>
      </c>
      <c r="DL40">
        <v>20</v>
      </c>
      <c r="DO40">
        <v>500</v>
      </c>
      <c r="DP40">
        <v>1</v>
      </c>
      <c r="DQ40">
        <v>2320</v>
      </c>
      <c r="DS40" t="s">
        <v>366</v>
      </c>
      <c r="DT40">
        <v>1.2500000000000001E-2</v>
      </c>
      <c r="DU40">
        <v>1.2500000000000001E-2</v>
      </c>
      <c r="DV40">
        <v>0.32500000000000001</v>
      </c>
      <c r="DW40">
        <v>0.32500000000000001</v>
      </c>
      <c r="DX40">
        <v>0.32500000000000001</v>
      </c>
      <c r="DY40">
        <v>19.867546011796431</v>
      </c>
      <c r="DZ40" s="4">
        <v>3.4470000000000001</v>
      </c>
      <c r="EA40" s="4" t="s">
        <v>182</v>
      </c>
      <c r="EB40" s="4" t="s">
        <v>183</v>
      </c>
      <c r="EC40">
        <v>4.4379999999999997</v>
      </c>
      <c r="ED40">
        <v>305</v>
      </c>
      <c r="EE40" t="s">
        <v>369</v>
      </c>
      <c r="EF40">
        <v>0</v>
      </c>
      <c r="EH40">
        <f t="shared" si="1"/>
        <v>0.58000000000000007</v>
      </c>
      <c r="EI40">
        <v>3.38</v>
      </c>
      <c r="EJ40">
        <v>3.65</v>
      </c>
    </row>
    <row r="41" spans="1:140" x14ac:dyDescent="0.35">
      <c r="A41" s="1">
        <v>39</v>
      </c>
      <c r="B41">
        <v>-95.11794317909154</v>
      </c>
      <c r="C41">
        <v>31.64615446189292</v>
      </c>
      <c r="D41" t="s">
        <v>370</v>
      </c>
      <c r="E41">
        <v>0.02</v>
      </c>
      <c r="F41" t="s">
        <v>160</v>
      </c>
      <c r="G41">
        <v>3.7400000000000003E-2</v>
      </c>
      <c r="H41" t="s">
        <v>161</v>
      </c>
      <c r="I41">
        <v>-10588481</v>
      </c>
      <c r="J41">
        <v>3716952</v>
      </c>
      <c r="K41" t="s">
        <v>165</v>
      </c>
      <c r="L41" t="s">
        <v>371</v>
      </c>
      <c r="M41">
        <v>37</v>
      </c>
      <c r="N41">
        <v>3.4140000000000001</v>
      </c>
      <c r="O41">
        <v>3</v>
      </c>
      <c r="P41">
        <v>7</v>
      </c>
      <c r="Q41">
        <v>48</v>
      </c>
      <c r="R41">
        <v>73</v>
      </c>
      <c r="S41">
        <v>50411</v>
      </c>
      <c r="T41" t="s">
        <v>167</v>
      </c>
      <c r="U41">
        <v>4.3100995732574674</v>
      </c>
      <c r="V41" t="s">
        <v>165</v>
      </c>
      <c r="W41">
        <v>9.7899999999999987E-2</v>
      </c>
      <c r="X41">
        <v>10</v>
      </c>
      <c r="Y41">
        <v>8.9</v>
      </c>
      <c r="Z41">
        <v>8.9</v>
      </c>
      <c r="AA41">
        <v>20</v>
      </c>
      <c r="AB41">
        <v>26</v>
      </c>
      <c r="AC41">
        <v>0.82299999999999995</v>
      </c>
      <c r="AD41">
        <v>67</v>
      </c>
      <c r="AE41">
        <v>0.1308010171646535</v>
      </c>
      <c r="AF41">
        <v>2.86</v>
      </c>
      <c r="AG41" t="s">
        <v>167</v>
      </c>
      <c r="AH41" t="s">
        <v>165</v>
      </c>
      <c r="AI41">
        <v>37</v>
      </c>
      <c r="AJ41">
        <v>1.233333333333333E-2</v>
      </c>
      <c r="AK41">
        <v>12.33333333333333</v>
      </c>
      <c r="AL41" t="s">
        <v>372</v>
      </c>
      <c r="AM41">
        <v>0</v>
      </c>
      <c r="AN41">
        <v>1.03</v>
      </c>
      <c r="AO41">
        <v>0.09</v>
      </c>
      <c r="AP41">
        <v>0.19</v>
      </c>
      <c r="AQ41">
        <v>0.74</v>
      </c>
      <c r="AR41">
        <v>0.68</v>
      </c>
      <c r="AS41">
        <v>0.04</v>
      </c>
      <c r="AT41">
        <v>0.01</v>
      </c>
      <c r="AU41">
        <v>0.02</v>
      </c>
      <c r="AV41">
        <v>1.95</v>
      </c>
      <c r="AW41">
        <v>0.96</v>
      </c>
      <c r="AX41">
        <v>0.21</v>
      </c>
      <c r="AY41">
        <v>0.53</v>
      </c>
      <c r="AZ41">
        <v>0</v>
      </c>
      <c r="BA41">
        <v>0.72</v>
      </c>
      <c r="BB41">
        <v>0.08</v>
      </c>
      <c r="BC41">
        <v>0.15</v>
      </c>
      <c r="BD41">
        <v>0.27</v>
      </c>
      <c r="BE41">
        <v>6.28</v>
      </c>
      <c r="BF41">
        <v>5.59</v>
      </c>
      <c r="BG41">
        <v>0.24</v>
      </c>
      <c r="BH41">
        <v>0.45</v>
      </c>
      <c r="BI41">
        <v>0</v>
      </c>
      <c r="BJ41">
        <v>0.04</v>
      </c>
      <c r="BK41">
        <v>5.55</v>
      </c>
      <c r="BL41">
        <v>0</v>
      </c>
      <c r="BM41">
        <v>1.51</v>
      </c>
      <c r="BN41">
        <v>0.21</v>
      </c>
      <c r="BO41">
        <v>0.46</v>
      </c>
      <c r="BP41">
        <v>0.84</v>
      </c>
      <c r="BQ41">
        <v>0.67</v>
      </c>
      <c r="BR41">
        <v>0.06</v>
      </c>
      <c r="BS41">
        <v>0.11</v>
      </c>
      <c r="BT41">
        <v>0</v>
      </c>
      <c r="BU41">
        <v>6.68</v>
      </c>
      <c r="BV41">
        <v>5.62</v>
      </c>
      <c r="BW41">
        <v>0.34</v>
      </c>
      <c r="BX41">
        <v>0.72</v>
      </c>
      <c r="BY41">
        <v>0</v>
      </c>
      <c r="BZ41">
        <v>0.04</v>
      </c>
      <c r="CA41">
        <v>5.58</v>
      </c>
      <c r="CB41">
        <v>0</v>
      </c>
      <c r="CC41">
        <f t="shared" si="0"/>
        <v>2.75</v>
      </c>
      <c r="CD41">
        <v>3.96</v>
      </c>
      <c r="CE41">
        <v>0.34230769230769231</v>
      </c>
      <c r="CF41">
        <v>0.44500000000000001</v>
      </c>
      <c r="CG41">
        <v>0.1492537313432836</v>
      </c>
      <c r="CH41">
        <v>0.28776223776223769</v>
      </c>
      <c r="CI41">
        <v>0</v>
      </c>
      <c r="CJ41">
        <v>30983</v>
      </c>
      <c r="CK41" t="s">
        <v>169</v>
      </c>
      <c r="CL41" t="s">
        <v>373</v>
      </c>
      <c r="CM41" t="s">
        <v>143</v>
      </c>
      <c r="CN41">
        <v>5.3327002555699998E-2</v>
      </c>
      <c r="CO41">
        <v>2.434737293896057</v>
      </c>
      <c r="CP41">
        <v>40</v>
      </c>
      <c r="CQ41" t="s">
        <v>213</v>
      </c>
      <c r="CR41">
        <v>110</v>
      </c>
      <c r="CS41" t="s">
        <v>214</v>
      </c>
      <c r="CT41" t="s">
        <v>215</v>
      </c>
      <c r="CU41" t="s">
        <v>216</v>
      </c>
      <c r="CV41" t="s">
        <v>217</v>
      </c>
      <c r="CW41" t="s">
        <v>175</v>
      </c>
      <c r="CX41" t="s">
        <v>218</v>
      </c>
      <c r="CY41" t="s">
        <v>219</v>
      </c>
      <c r="CZ41" t="s">
        <v>151</v>
      </c>
      <c r="DA41" t="s">
        <v>152</v>
      </c>
      <c r="DB41" t="s">
        <v>178</v>
      </c>
      <c r="DC41" t="s">
        <v>179</v>
      </c>
      <c r="DD41" t="s">
        <v>155</v>
      </c>
      <c r="DE41">
        <v>4393</v>
      </c>
      <c r="DF41">
        <v>-89.078338000000002</v>
      </c>
      <c r="DG41">
        <v>30.725223</v>
      </c>
      <c r="DH41">
        <v>8000</v>
      </c>
      <c r="DI41">
        <v>650</v>
      </c>
      <c r="DJ41">
        <v>3600</v>
      </c>
      <c r="DL41">
        <v>21</v>
      </c>
      <c r="DM41">
        <v>16</v>
      </c>
      <c r="DN41">
        <v>29</v>
      </c>
      <c r="DO41">
        <v>400</v>
      </c>
      <c r="DP41">
        <v>67</v>
      </c>
      <c r="DQ41">
        <v>3080</v>
      </c>
      <c r="DS41">
        <v>11</v>
      </c>
      <c r="DT41">
        <v>1.2500000000000001E-2</v>
      </c>
      <c r="DU41">
        <v>1.2500000000000001E-2</v>
      </c>
      <c r="DV41">
        <v>0.32500000000000001</v>
      </c>
      <c r="DW41">
        <v>0.32500000000000001</v>
      </c>
      <c r="DX41">
        <v>0.32500000000000001</v>
      </c>
      <c r="DY41">
        <v>0</v>
      </c>
      <c r="DZ41" s="4">
        <v>3.4470000000000001</v>
      </c>
      <c r="EA41" s="4" t="s">
        <v>182</v>
      </c>
      <c r="EB41" s="4" t="s">
        <v>183</v>
      </c>
      <c r="EC41">
        <v>4.4379999999999997</v>
      </c>
      <c r="ED41">
        <v>22</v>
      </c>
      <c r="EE41" t="s">
        <v>372</v>
      </c>
      <c r="EF41">
        <v>0</v>
      </c>
      <c r="EH41">
        <f t="shared" si="1"/>
        <v>0.58000000000000007</v>
      </c>
      <c r="EI41">
        <v>3.38</v>
      </c>
      <c r="EJ41">
        <v>3.65</v>
      </c>
    </row>
    <row r="42" spans="1:140" x14ac:dyDescent="0.35">
      <c r="A42" s="1">
        <v>40</v>
      </c>
      <c r="B42">
        <v>-93.321312610852502</v>
      </c>
      <c r="C42">
        <v>31.64615446189292</v>
      </c>
      <c r="D42" t="s">
        <v>374</v>
      </c>
      <c r="E42">
        <v>0.02</v>
      </c>
      <c r="F42" t="s">
        <v>160</v>
      </c>
      <c r="G42">
        <v>3.7400000000000003E-2</v>
      </c>
      <c r="H42" t="s">
        <v>161</v>
      </c>
      <c r="I42">
        <v>-10388481</v>
      </c>
      <c r="J42">
        <v>3716952</v>
      </c>
      <c r="K42" t="s">
        <v>230</v>
      </c>
      <c r="L42" t="s">
        <v>375</v>
      </c>
      <c r="M42">
        <v>35</v>
      </c>
      <c r="N42">
        <v>3.399</v>
      </c>
      <c r="T42" t="s">
        <v>232</v>
      </c>
      <c r="U42">
        <v>4.7114090123958539</v>
      </c>
      <c r="V42" t="s">
        <v>230</v>
      </c>
      <c r="W42">
        <v>8.8000000000000009E-2</v>
      </c>
      <c r="X42">
        <v>10</v>
      </c>
      <c r="Y42">
        <v>8.9</v>
      </c>
      <c r="Z42">
        <v>8.9</v>
      </c>
      <c r="AA42">
        <v>20</v>
      </c>
      <c r="AB42">
        <v>26</v>
      </c>
      <c r="AC42">
        <v>0.92700000000000005</v>
      </c>
      <c r="AD42">
        <v>67</v>
      </c>
      <c r="AE42">
        <v>0.14732994278448819</v>
      </c>
      <c r="AF42">
        <v>2.86</v>
      </c>
      <c r="AG42" t="s">
        <v>232</v>
      </c>
      <c r="AH42" t="s">
        <v>230</v>
      </c>
      <c r="AI42">
        <v>21</v>
      </c>
      <c r="AJ42">
        <v>7.0000000000000001E-3</v>
      </c>
      <c r="AK42">
        <v>7</v>
      </c>
      <c r="AL42" t="s">
        <v>376</v>
      </c>
      <c r="AM42">
        <v>0</v>
      </c>
      <c r="AN42">
        <v>1.0900000000000001</v>
      </c>
      <c r="AO42">
        <v>0.09</v>
      </c>
      <c r="AP42">
        <v>0.19</v>
      </c>
      <c r="AQ42">
        <v>0.8</v>
      </c>
      <c r="AR42">
        <v>0.74</v>
      </c>
      <c r="AS42">
        <v>0.04</v>
      </c>
      <c r="AT42">
        <v>0.01</v>
      </c>
      <c r="AU42">
        <v>0.02</v>
      </c>
      <c r="AV42">
        <v>2</v>
      </c>
      <c r="AW42">
        <v>1.01</v>
      </c>
      <c r="AX42">
        <v>0.21</v>
      </c>
      <c r="AY42">
        <v>0.53</v>
      </c>
      <c r="AZ42">
        <v>0</v>
      </c>
      <c r="BA42">
        <v>0.79</v>
      </c>
      <c r="BB42">
        <v>0.08</v>
      </c>
      <c r="BC42">
        <v>0.14000000000000001</v>
      </c>
      <c r="BD42">
        <v>0.27</v>
      </c>
      <c r="BE42">
        <v>5.72</v>
      </c>
      <c r="BF42">
        <v>5.03</v>
      </c>
      <c r="BG42">
        <v>0.24</v>
      </c>
      <c r="BH42">
        <v>0.45</v>
      </c>
      <c r="BI42">
        <v>0</v>
      </c>
      <c r="BJ42">
        <v>0.04</v>
      </c>
      <c r="BK42">
        <v>4.99</v>
      </c>
      <c r="BL42">
        <v>0</v>
      </c>
      <c r="BM42">
        <v>1.56</v>
      </c>
      <c r="BN42">
        <v>0.21</v>
      </c>
      <c r="BO42">
        <v>0.46</v>
      </c>
      <c r="BP42">
        <v>0.89</v>
      </c>
      <c r="BQ42">
        <v>0.73</v>
      </c>
      <c r="BR42">
        <v>0.06</v>
      </c>
      <c r="BS42">
        <v>0.1</v>
      </c>
      <c r="BT42">
        <v>0</v>
      </c>
      <c r="BU42">
        <v>6.12</v>
      </c>
      <c r="BV42">
        <v>5.0599999999999996</v>
      </c>
      <c r="BW42">
        <v>0.34</v>
      </c>
      <c r="BX42">
        <v>0.72</v>
      </c>
      <c r="BY42">
        <v>0</v>
      </c>
      <c r="BZ42">
        <v>0.04</v>
      </c>
      <c r="CA42">
        <v>5.0199999999999996</v>
      </c>
      <c r="CB42">
        <v>0</v>
      </c>
      <c r="CC42">
        <f t="shared" si="0"/>
        <v>2.75</v>
      </c>
      <c r="CD42">
        <v>3.96</v>
      </c>
      <c r="CE42">
        <v>0.34230769230769231</v>
      </c>
      <c r="CF42">
        <v>0.44500000000000001</v>
      </c>
      <c r="CG42">
        <v>0.1492537313432836</v>
      </c>
      <c r="CH42">
        <v>0.32412587412587418</v>
      </c>
      <c r="CI42">
        <v>0</v>
      </c>
      <c r="CJ42">
        <v>24498</v>
      </c>
      <c r="CK42" t="s">
        <v>141</v>
      </c>
      <c r="CL42" t="s">
        <v>377</v>
      </c>
      <c r="CM42" t="s">
        <v>143</v>
      </c>
      <c r="CN42">
        <v>0.22531116148200001</v>
      </c>
      <c r="CO42">
        <v>0.13494395062470629</v>
      </c>
      <c r="CP42">
        <v>41</v>
      </c>
      <c r="CQ42" t="s">
        <v>378</v>
      </c>
      <c r="CR42">
        <v>109</v>
      </c>
      <c r="CS42" t="s">
        <v>379</v>
      </c>
      <c r="CT42" t="s">
        <v>215</v>
      </c>
      <c r="CU42" t="s">
        <v>216</v>
      </c>
      <c r="CV42" t="s">
        <v>380</v>
      </c>
      <c r="CW42" t="s">
        <v>175</v>
      </c>
      <c r="CX42" t="s">
        <v>218</v>
      </c>
      <c r="CY42" t="s">
        <v>219</v>
      </c>
      <c r="CZ42" t="s">
        <v>151</v>
      </c>
      <c r="DA42" t="s">
        <v>152</v>
      </c>
      <c r="DB42" t="s">
        <v>178</v>
      </c>
      <c r="DC42" t="s">
        <v>179</v>
      </c>
      <c r="DD42" t="s">
        <v>155</v>
      </c>
      <c r="DE42">
        <v>8003</v>
      </c>
      <c r="DF42">
        <v>-90.094294000000005</v>
      </c>
      <c r="DG42">
        <v>31.364063000000002</v>
      </c>
      <c r="DH42">
        <v>10000</v>
      </c>
      <c r="DI42">
        <v>400</v>
      </c>
      <c r="DJ42">
        <v>4500</v>
      </c>
      <c r="DL42">
        <v>22</v>
      </c>
      <c r="DM42">
        <v>16</v>
      </c>
      <c r="DN42">
        <v>29</v>
      </c>
      <c r="DO42">
        <v>200</v>
      </c>
      <c r="DP42">
        <v>4</v>
      </c>
      <c r="DQ42">
        <v>4170</v>
      </c>
      <c r="DS42">
        <v>11</v>
      </c>
      <c r="DT42">
        <v>1.2500000000000001E-2</v>
      </c>
      <c r="DU42">
        <v>1.2500000000000001E-2</v>
      </c>
      <c r="DV42">
        <v>0.32500000000000001</v>
      </c>
      <c r="DW42">
        <v>0.32500000000000001</v>
      </c>
      <c r="DX42">
        <v>0.32500000000000001</v>
      </c>
      <c r="DY42">
        <v>0</v>
      </c>
      <c r="DZ42" s="4">
        <v>3.4790000000000001</v>
      </c>
      <c r="EA42" s="4" t="s">
        <v>235</v>
      </c>
      <c r="EB42" s="4" t="s">
        <v>236</v>
      </c>
      <c r="EC42">
        <v>4.4269999999999996</v>
      </c>
      <c r="ED42">
        <v>179</v>
      </c>
      <c r="EE42" t="s">
        <v>376</v>
      </c>
      <c r="EF42">
        <v>0</v>
      </c>
      <c r="EH42">
        <f t="shared" si="1"/>
        <v>0.58000000000000007</v>
      </c>
      <c r="EI42">
        <v>3.38</v>
      </c>
      <c r="EJ42">
        <v>3.65</v>
      </c>
    </row>
    <row r="43" spans="1:140" x14ac:dyDescent="0.35">
      <c r="A43" s="1">
        <v>41</v>
      </c>
      <c r="B43">
        <v>-91.524682042613449</v>
      </c>
      <c r="C43">
        <v>31.64615446189292</v>
      </c>
      <c r="D43" t="s">
        <v>381</v>
      </c>
      <c r="E43">
        <v>0.02</v>
      </c>
      <c r="F43" t="s">
        <v>160</v>
      </c>
      <c r="G43">
        <v>3.7400000000000003E-2</v>
      </c>
      <c r="H43" t="s">
        <v>161</v>
      </c>
      <c r="I43">
        <v>-10188481</v>
      </c>
      <c r="J43">
        <v>3716952</v>
      </c>
      <c r="K43" t="s">
        <v>230</v>
      </c>
      <c r="L43" t="s">
        <v>382</v>
      </c>
      <c r="M43">
        <v>15</v>
      </c>
      <c r="N43">
        <v>3.238</v>
      </c>
      <c r="T43" t="s">
        <v>232</v>
      </c>
      <c r="U43">
        <v>4.7114090123958539</v>
      </c>
      <c r="V43" t="s">
        <v>230</v>
      </c>
      <c r="W43">
        <v>8.8000000000000009E-2</v>
      </c>
      <c r="X43">
        <v>10</v>
      </c>
      <c r="Y43">
        <v>8.9</v>
      </c>
      <c r="Z43">
        <v>8.9</v>
      </c>
      <c r="AA43">
        <v>20</v>
      </c>
      <c r="AB43">
        <v>26</v>
      </c>
      <c r="AC43">
        <v>0.92700000000000005</v>
      </c>
      <c r="AD43">
        <v>67</v>
      </c>
      <c r="AE43">
        <v>0.14732994278448819</v>
      </c>
      <c r="AF43">
        <v>2.86</v>
      </c>
      <c r="AG43" t="s">
        <v>232</v>
      </c>
      <c r="AH43" t="s">
        <v>230</v>
      </c>
      <c r="AI43">
        <v>21</v>
      </c>
      <c r="AJ43">
        <v>7.0000000000000001E-3</v>
      </c>
      <c r="AK43">
        <v>7</v>
      </c>
      <c r="AL43" t="s">
        <v>383</v>
      </c>
      <c r="AM43">
        <v>0</v>
      </c>
      <c r="AN43">
        <v>1.0900000000000001</v>
      </c>
      <c r="AO43">
        <v>0.09</v>
      </c>
      <c r="AP43">
        <v>0.19</v>
      </c>
      <c r="AQ43">
        <v>0.8</v>
      </c>
      <c r="AR43">
        <v>0.74</v>
      </c>
      <c r="AS43">
        <v>0.04</v>
      </c>
      <c r="AT43">
        <v>0.01</v>
      </c>
      <c r="AU43">
        <v>0.02</v>
      </c>
      <c r="AV43">
        <v>2</v>
      </c>
      <c r="AW43">
        <v>1.01</v>
      </c>
      <c r="AX43">
        <v>0.21</v>
      </c>
      <c r="AY43">
        <v>0.53</v>
      </c>
      <c r="AZ43">
        <v>0</v>
      </c>
      <c r="BA43">
        <v>0.79</v>
      </c>
      <c r="BB43">
        <v>0.08</v>
      </c>
      <c r="BC43">
        <v>0.14000000000000001</v>
      </c>
      <c r="BD43">
        <v>0.27</v>
      </c>
      <c r="BE43">
        <v>5.72</v>
      </c>
      <c r="BF43">
        <v>5.03</v>
      </c>
      <c r="BG43">
        <v>0.24</v>
      </c>
      <c r="BH43">
        <v>0.45</v>
      </c>
      <c r="BI43">
        <v>0</v>
      </c>
      <c r="BJ43">
        <v>0.04</v>
      </c>
      <c r="BK43">
        <v>4.99</v>
      </c>
      <c r="BL43">
        <v>0</v>
      </c>
      <c r="BM43">
        <v>1.56</v>
      </c>
      <c r="BN43">
        <v>0.21</v>
      </c>
      <c r="BO43">
        <v>0.46</v>
      </c>
      <c r="BP43">
        <v>0.89</v>
      </c>
      <c r="BQ43">
        <v>0.73</v>
      </c>
      <c r="BR43">
        <v>0.06</v>
      </c>
      <c r="BS43">
        <v>0.1</v>
      </c>
      <c r="BT43">
        <v>0</v>
      </c>
      <c r="BU43">
        <v>6.12</v>
      </c>
      <c r="BV43">
        <v>5.0599999999999996</v>
      </c>
      <c r="BW43">
        <v>0.34</v>
      </c>
      <c r="BX43">
        <v>0.72</v>
      </c>
      <c r="BY43">
        <v>0</v>
      </c>
      <c r="BZ43">
        <v>0.04</v>
      </c>
      <c r="CA43">
        <v>5.0199999999999996</v>
      </c>
      <c r="CB43">
        <v>0</v>
      </c>
      <c r="CC43">
        <f t="shared" si="0"/>
        <v>2.75</v>
      </c>
      <c r="CD43">
        <v>3.96</v>
      </c>
      <c r="CE43">
        <v>0.34230769230769231</v>
      </c>
      <c r="CF43">
        <v>0.44500000000000001</v>
      </c>
      <c r="CG43">
        <v>0.1492537313432836</v>
      </c>
      <c r="CH43">
        <v>0.32412587412587418</v>
      </c>
      <c r="CI43">
        <v>0</v>
      </c>
      <c r="CJ43">
        <v>31798</v>
      </c>
      <c r="CK43" t="s">
        <v>141</v>
      </c>
      <c r="CL43" t="s">
        <v>384</v>
      </c>
      <c r="CM43" t="s">
        <v>143</v>
      </c>
      <c r="CN43">
        <v>0.70257890095599995</v>
      </c>
      <c r="CO43">
        <v>3.2338357891691749</v>
      </c>
      <c r="CP43">
        <v>42</v>
      </c>
      <c r="CQ43" t="s">
        <v>213</v>
      </c>
      <c r="CR43">
        <v>110</v>
      </c>
      <c r="CS43" t="s">
        <v>214</v>
      </c>
      <c r="CT43" t="s">
        <v>215</v>
      </c>
      <c r="CU43" t="s">
        <v>216</v>
      </c>
      <c r="CV43" t="s">
        <v>217</v>
      </c>
      <c r="CW43" t="s">
        <v>175</v>
      </c>
      <c r="CX43" t="s">
        <v>218</v>
      </c>
      <c r="CY43" t="s">
        <v>219</v>
      </c>
      <c r="CZ43" t="s">
        <v>151</v>
      </c>
      <c r="DA43" t="s">
        <v>152</v>
      </c>
      <c r="DB43" t="s">
        <v>178</v>
      </c>
      <c r="DC43" t="s">
        <v>179</v>
      </c>
      <c r="DD43" t="s">
        <v>155</v>
      </c>
      <c r="DE43">
        <v>4393</v>
      </c>
      <c r="DF43">
        <v>-89.078338000000002</v>
      </c>
      <c r="DG43">
        <v>30.725223</v>
      </c>
      <c r="DH43">
        <v>8000</v>
      </c>
      <c r="DI43">
        <v>650</v>
      </c>
      <c r="DJ43">
        <v>3600</v>
      </c>
      <c r="DL43">
        <v>21</v>
      </c>
      <c r="DM43">
        <v>16</v>
      </c>
      <c r="DN43">
        <v>29</v>
      </c>
      <c r="DO43">
        <v>400</v>
      </c>
      <c r="DP43">
        <v>67</v>
      </c>
      <c r="DQ43">
        <v>3080</v>
      </c>
      <c r="DS43">
        <v>11</v>
      </c>
      <c r="DT43">
        <v>1.2500000000000001E-2</v>
      </c>
      <c r="DU43">
        <v>1.2500000000000001E-2</v>
      </c>
      <c r="DV43">
        <v>0.32500000000000001</v>
      </c>
      <c r="DW43">
        <v>0.32500000000000001</v>
      </c>
      <c r="DX43">
        <v>0.32500000000000001</v>
      </c>
      <c r="DY43">
        <v>0</v>
      </c>
      <c r="DZ43" s="4">
        <v>3.4790000000000001</v>
      </c>
      <c r="EA43" s="4" t="s">
        <v>235</v>
      </c>
      <c r="EB43" s="4" t="s">
        <v>236</v>
      </c>
      <c r="EC43">
        <v>4.4269999999999996</v>
      </c>
      <c r="ED43">
        <v>227</v>
      </c>
      <c r="EE43" t="s">
        <v>383</v>
      </c>
      <c r="EF43">
        <v>0</v>
      </c>
      <c r="EH43">
        <f t="shared" si="1"/>
        <v>0.58000000000000007</v>
      </c>
      <c r="EI43">
        <v>3.38</v>
      </c>
      <c r="EJ43">
        <v>3.65</v>
      </c>
    </row>
    <row r="44" spans="1:140" x14ac:dyDescent="0.35">
      <c r="A44" s="1">
        <v>42</v>
      </c>
      <c r="B44">
        <v>-89.728051474374411</v>
      </c>
      <c r="C44">
        <v>31.64615446189292</v>
      </c>
      <c r="D44" t="s">
        <v>385</v>
      </c>
      <c r="E44">
        <v>0.02</v>
      </c>
      <c r="F44" t="s">
        <v>160</v>
      </c>
      <c r="G44">
        <v>3.7400000000000003E-2</v>
      </c>
      <c r="H44" t="s">
        <v>161</v>
      </c>
      <c r="I44">
        <v>-9988481</v>
      </c>
      <c r="J44">
        <v>3716952</v>
      </c>
      <c r="K44" t="s">
        <v>386</v>
      </c>
      <c r="L44" t="s">
        <v>387</v>
      </c>
      <c r="M44">
        <v>16</v>
      </c>
      <c r="N44">
        <v>3.3580000000000001</v>
      </c>
      <c r="O44">
        <v>3</v>
      </c>
      <c r="P44">
        <v>6</v>
      </c>
      <c r="Q44">
        <v>28</v>
      </c>
      <c r="R44">
        <v>31</v>
      </c>
      <c r="S44">
        <v>18339</v>
      </c>
      <c r="T44" t="s">
        <v>216</v>
      </c>
      <c r="U44">
        <v>5.9160358666937602</v>
      </c>
      <c r="V44" t="s">
        <v>386</v>
      </c>
      <c r="W44">
        <v>0.10929999999999999</v>
      </c>
      <c r="X44">
        <v>10</v>
      </c>
      <c r="Y44">
        <v>8.9</v>
      </c>
      <c r="Z44">
        <v>8.9</v>
      </c>
      <c r="AA44">
        <v>20</v>
      </c>
      <c r="AB44">
        <v>26</v>
      </c>
      <c r="AC44">
        <v>0.79400000000000004</v>
      </c>
      <c r="AD44">
        <v>67</v>
      </c>
      <c r="AE44">
        <v>0.12619198982835339</v>
      </c>
      <c r="AF44">
        <v>2.86</v>
      </c>
      <c r="AG44" t="s">
        <v>216</v>
      </c>
      <c r="AH44" t="s">
        <v>386</v>
      </c>
      <c r="AI44">
        <v>23</v>
      </c>
      <c r="AJ44">
        <v>7.6666666666666662E-3</v>
      </c>
      <c r="AK44">
        <v>7.6666666666666661</v>
      </c>
      <c r="AL44" t="s">
        <v>388</v>
      </c>
      <c r="AM44">
        <v>16968.61151379424</v>
      </c>
      <c r="AN44">
        <v>1.28</v>
      </c>
      <c r="AO44">
        <v>0.09</v>
      </c>
      <c r="AP44">
        <v>0.19</v>
      </c>
      <c r="AQ44">
        <v>0.99</v>
      </c>
      <c r="AR44">
        <v>0.94</v>
      </c>
      <c r="AS44">
        <v>0.04</v>
      </c>
      <c r="AT44">
        <v>0.01</v>
      </c>
      <c r="AU44">
        <v>0.02</v>
      </c>
      <c r="AV44">
        <v>2.2400000000000002</v>
      </c>
      <c r="AW44">
        <v>1.24</v>
      </c>
      <c r="AX44">
        <v>0.21</v>
      </c>
      <c r="AY44">
        <v>0.53</v>
      </c>
      <c r="AZ44">
        <v>0</v>
      </c>
      <c r="BA44">
        <v>0.99</v>
      </c>
      <c r="BB44">
        <v>0.08</v>
      </c>
      <c r="BC44">
        <v>0.17</v>
      </c>
      <c r="BD44">
        <v>0.27</v>
      </c>
      <c r="BE44">
        <v>6.83</v>
      </c>
      <c r="BF44">
        <v>6.14</v>
      </c>
      <c r="BG44">
        <v>0.24</v>
      </c>
      <c r="BH44">
        <v>0.45</v>
      </c>
      <c r="BI44">
        <v>0</v>
      </c>
      <c r="BJ44">
        <v>0.04</v>
      </c>
      <c r="BK44">
        <v>6.1</v>
      </c>
      <c r="BL44">
        <v>0</v>
      </c>
      <c r="BM44">
        <v>1.77</v>
      </c>
      <c r="BN44">
        <v>0.21</v>
      </c>
      <c r="BO44">
        <v>0.46</v>
      </c>
      <c r="BP44">
        <v>1.1000000000000001</v>
      </c>
      <c r="BQ44">
        <v>0.92</v>
      </c>
      <c r="BR44">
        <v>0.06</v>
      </c>
      <c r="BS44">
        <v>0.12</v>
      </c>
      <c r="BT44">
        <v>0</v>
      </c>
      <c r="BU44">
        <v>7.24</v>
      </c>
      <c r="BV44">
        <v>6.18</v>
      </c>
      <c r="BW44">
        <v>0.34</v>
      </c>
      <c r="BX44">
        <v>0.72</v>
      </c>
      <c r="BY44">
        <v>0</v>
      </c>
      <c r="BZ44">
        <v>0.04</v>
      </c>
      <c r="CA44">
        <v>6.14</v>
      </c>
      <c r="CB44">
        <v>0</v>
      </c>
      <c r="CC44">
        <f t="shared" si="0"/>
        <v>2.75</v>
      </c>
      <c r="CD44">
        <v>3.96</v>
      </c>
      <c r="CE44">
        <v>0.34230769230769231</v>
      </c>
      <c r="CF44">
        <v>0.44500000000000001</v>
      </c>
      <c r="CG44">
        <v>0.1492537313432836</v>
      </c>
      <c r="CH44">
        <v>0.27762237762237763</v>
      </c>
      <c r="CI44">
        <v>0</v>
      </c>
      <c r="CJ44">
        <v>2877</v>
      </c>
      <c r="CK44" t="s">
        <v>169</v>
      </c>
      <c r="CL44" t="s">
        <v>389</v>
      </c>
      <c r="CM44" t="s">
        <v>143</v>
      </c>
      <c r="CN44">
        <v>8.7356194519899996E-2</v>
      </c>
      <c r="CO44">
        <v>0.1054373068707406</v>
      </c>
      <c r="CP44">
        <v>43</v>
      </c>
      <c r="CQ44" t="s">
        <v>390</v>
      </c>
      <c r="CR44">
        <v>110</v>
      </c>
      <c r="CS44" t="s">
        <v>214</v>
      </c>
      <c r="CT44" t="s">
        <v>215</v>
      </c>
      <c r="CU44" t="s">
        <v>216</v>
      </c>
      <c r="CV44" t="s">
        <v>217</v>
      </c>
      <c r="CW44" t="s">
        <v>175</v>
      </c>
      <c r="CX44" t="s">
        <v>218</v>
      </c>
      <c r="CY44" t="s">
        <v>219</v>
      </c>
      <c r="CZ44" t="s">
        <v>151</v>
      </c>
      <c r="DA44" t="s">
        <v>152</v>
      </c>
      <c r="DB44" t="s">
        <v>178</v>
      </c>
      <c r="DC44" t="s">
        <v>179</v>
      </c>
      <c r="DD44" t="s">
        <v>155</v>
      </c>
      <c r="DE44">
        <v>4393</v>
      </c>
      <c r="DF44">
        <v>-89.078338000000002</v>
      </c>
      <c r="DG44">
        <v>30.725223</v>
      </c>
      <c r="DH44">
        <v>8000</v>
      </c>
      <c r="DI44">
        <v>650</v>
      </c>
      <c r="DJ44">
        <v>3600</v>
      </c>
      <c r="DL44">
        <v>21</v>
      </c>
      <c r="DM44">
        <v>16</v>
      </c>
      <c r="DN44">
        <v>29</v>
      </c>
      <c r="DO44">
        <v>400</v>
      </c>
      <c r="DP44">
        <v>67</v>
      </c>
      <c r="DQ44">
        <v>3080</v>
      </c>
      <c r="DS44">
        <v>11</v>
      </c>
      <c r="DT44">
        <v>1.2500000000000001E-2</v>
      </c>
      <c r="DU44">
        <v>1.2500000000000001E-2</v>
      </c>
      <c r="DV44">
        <v>0.32500000000000001</v>
      </c>
      <c r="DW44">
        <v>0.32500000000000001</v>
      </c>
      <c r="DX44">
        <v>0.32500000000000001</v>
      </c>
      <c r="DY44">
        <v>0</v>
      </c>
      <c r="DZ44" s="4">
        <v>3.4470000000000001</v>
      </c>
      <c r="EA44" s="4" t="s">
        <v>391</v>
      </c>
      <c r="EB44" s="4" t="s">
        <v>392</v>
      </c>
      <c r="EC44">
        <v>4.4000000000000004</v>
      </c>
      <c r="ED44">
        <v>367</v>
      </c>
      <c r="EE44" t="s">
        <v>388</v>
      </c>
      <c r="EF44">
        <v>0.12974362134051931</v>
      </c>
      <c r="EH44">
        <f t="shared" si="1"/>
        <v>0.58000000000000007</v>
      </c>
      <c r="EI44">
        <v>3.38</v>
      </c>
      <c r="EJ44">
        <v>3.65</v>
      </c>
    </row>
    <row r="45" spans="1:140" x14ac:dyDescent="0.35">
      <c r="A45" s="1">
        <v>43</v>
      </c>
      <c r="B45">
        <v>-87.931420906135358</v>
      </c>
      <c r="C45">
        <v>31.64615446189292</v>
      </c>
      <c r="D45" t="s">
        <v>393</v>
      </c>
      <c r="E45">
        <v>0.02</v>
      </c>
      <c r="F45" t="s">
        <v>160</v>
      </c>
      <c r="G45">
        <v>3.7400000000000003E-2</v>
      </c>
      <c r="H45" t="s">
        <v>161</v>
      </c>
      <c r="I45">
        <v>-9788481</v>
      </c>
      <c r="J45">
        <v>3716952</v>
      </c>
      <c r="K45" t="s">
        <v>274</v>
      </c>
      <c r="L45" t="s">
        <v>394</v>
      </c>
      <c r="M45">
        <v>13</v>
      </c>
      <c r="N45">
        <v>3.6589999999999998</v>
      </c>
      <c r="O45">
        <v>3</v>
      </c>
      <c r="P45">
        <v>6</v>
      </c>
      <c r="Q45">
        <v>1</v>
      </c>
      <c r="R45">
        <v>25</v>
      </c>
      <c r="S45">
        <v>23087</v>
      </c>
      <c r="T45" t="s">
        <v>276</v>
      </c>
      <c r="U45">
        <v>5.7134919223735006</v>
      </c>
      <c r="V45" t="s">
        <v>274</v>
      </c>
      <c r="W45">
        <v>0.11899999999999999</v>
      </c>
      <c r="X45">
        <v>10</v>
      </c>
      <c r="Y45">
        <v>8.9</v>
      </c>
      <c r="Z45">
        <v>8.9</v>
      </c>
      <c r="AA45">
        <v>20</v>
      </c>
      <c r="AB45">
        <v>26</v>
      </c>
      <c r="AC45">
        <v>0.747</v>
      </c>
      <c r="AD45">
        <v>67</v>
      </c>
      <c r="AE45">
        <v>0.1187221869040051</v>
      </c>
      <c r="AF45">
        <v>2.86</v>
      </c>
      <c r="AG45" t="s">
        <v>276</v>
      </c>
      <c r="AH45" t="s">
        <v>274</v>
      </c>
      <c r="AI45">
        <v>30</v>
      </c>
      <c r="AJ45">
        <v>0.01</v>
      </c>
      <c r="AK45">
        <v>10</v>
      </c>
      <c r="AL45" t="s">
        <v>277</v>
      </c>
      <c r="AM45">
        <v>44981.278789034433</v>
      </c>
      <c r="AN45">
        <v>1.25</v>
      </c>
      <c r="AO45">
        <v>0.09</v>
      </c>
      <c r="AP45">
        <v>0.19</v>
      </c>
      <c r="AQ45">
        <v>0.96</v>
      </c>
      <c r="AR45">
        <v>0.9</v>
      </c>
      <c r="AS45">
        <v>0.04</v>
      </c>
      <c r="AT45">
        <v>0.02</v>
      </c>
      <c r="AU45">
        <v>0.02</v>
      </c>
      <c r="AV45">
        <v>2.2200000000000002</v>
      </c>
      <c r="AW45">
        <v>1.22</v>
      </c>
      <c r="AX45">
        <v>0.21</v>
      </c>
      <c r="AY45">
        <v>0.53</v>
      </c>
      <c r="AZ45">
        <v>0</v>
      </c>
      <c r="BA45">
        <v>0.96</v>
      </c>
      <c r="BB45">
        <v>0.08</v>
      </c>
      <c r="BC45">
        <v>0.18</v>
      </c>
      <c r="BD45">
        <v>0.27</v>
      </c>
      <c r="BE45">
        <v>7.39</v>
      </c>
      <c r="BF45">
        <v>6.7</v>
      </c>
      <c r="BG45">
        <v>0.24</v>
      </c>
      <c r="BH45">
        <v>0.45</v>
      </c>
      <c r="BI45">
        <v>0</v>
      </c>
      <c r="BJ45">
        <v>0.04</v>
      </c>
      <c r="BK45">
        <v>6.66</v>
      </c>
      <c r="BL45">
        <v>0</v>
      </c>
      <c r="BM45">
        <v>1.75</v>
      </c>
      <c r="BN45">
        <v>0.21</v>
      </c>
      <c r="BO45">
        <v>0.46</v>
      </c>
      <c r="BP45">
        <v>1.08</v>
      </c>
      <c r="BQ45">
        <v>0.89</v>
      </c>
      <c r="BR45">
        <v>0.06</v>
      </c>
      <c r="BS45">
        <v>0.13</v>
      </c>
      <c r="BT45">
        <v>0</v>
      </c>
      <c r="BU45">
        <v>7.79</v>
      </c>
      <c r="BV45">
        <v>6.73</v>
      </c>
      <c r="BW45">
        <v>0.34</v>
      </c>
      <c r="BX45">
        <v>0.72</v>
      </c>
      <c r="BY45">
        <v>0</v>
      </c>
      <c r="BZ45">
        <v>0.04</v>
      </c>
      <c r="CA45">
        <v>6.7</v>
      </c>
      <c r="CB45">
        <v>0</v>
      </c>
      <c r="CC45">
        <f t="shared" si="0"/>
        <v>2.75</v>
      </c>
      <c r="CD45">
        <v>3.96</v>
      </c>
      <c r="CE45">
        <v>0.34230769230769231</v>
      </c>
      <c r="CF45">
        <v>0.44500000000000001</v>
      </c>
      <c r="CG45">
        <v>0.1492537313432836</v>
      </c>
      <c r="CH45">
        <v>0.26118881118881121</v>
      </c>
      <c r="CI45">
        <v>0</v>
      </c>
      <c r="CJ45">
        <v>28476</v>
      </c>
      <c r="CK45" t="s">
        <v>141</v>
      </c>
      <c r="CL45" t="s">
        <v>187</v>
      </c>
      <c r="CM45" t="s">
        <v>143</v>
      </c>
      <c r="CN45">
        <v>0.96764703620699999</v>
      </c>
      <c r="CO45">
        <v>27.07672780680025</v>
      </c>
      <c r="CP45">
        <v>44</v>
      </c>
      <c r="CQ45" t="s">
        <v>395</v>
      </c>
      <c r="CR45">
        <v>102</v>
      </c>
      <c r="CS45" t="s">
        <v>396</v>
      </c>
      <c r="CT45" t="s">
        <v>215</v>
      </c>
      <c r="CU45" t="s">
        <v>276</v>
      </c>
      <c r="CV45" t="s">
        <v>397</v>
      </c>
      <c r="CW45" t="s">
        <v>175</v>
      </c>
      <c r="CX45" t="s">
        <v>398</v>
      </c>
      <c r="CY45" t="s">
        <v>399</v>
      </c>
      <c r="CZ45" t="s">
        <v>151</v>
      </c>
      <c r="DA45" t="s">
        <v>152</v>
      </c>
      <c r="DB45" t="s">
        <v>178</v>
      </c>
      <c r="DC45" t="s">
        <v>400</v>
      </c>
      <c r="DD45" t="s">
        <v>155</v>
      </c>
      <c r="DE45">
        <v>2571</v>
      </c>
      <c r="DF45">
        <v>-87.980553999999998</v>
      </c>
      <c r="DG45">
        <v>30.736916000000001</v>
      </c>
      <c r="DH45">
        <v>7000</v>
      </c>
      <c r="DI45">
        <v>600</v>
      </c>
      <c r="DL45">
        <v>23</v>
      </c>
      <c r="DM45">
        <v>19</v>
      </c>
      <c r="DN45">
        <v>29</v>
      </c>
      <c r="DO45">
        <v>240</v>
      </c>
      <c r="DP45">
        <v>50</v>
      </c>
      <c r="DQ45">
        <v>1000</v>
      </c>
      <c r="DS45">
        <v>11</v>
      </c>
      <c r="DT45">
        <v>1.2500000000000001E-2</v>
      </c>
      <c r="DU45">
        <v>1.2500000000000001E-2</v>
      </c>
      <c r="DV45">
        <v>0.32500000000000001</v>
      </c>
      <c r="DW45">
        <v>0.32500000000000001</v>
      </c>
      <c r="DX45">
        <v>0.32500000000000001</v>
      </c>
      <c r="DY45">
        <v>0</v>
      </c>
      <c r="DZ45" s="4">
        <v>3.504</v>
      </c>
      <c r="EA45" s="4" t="s">
        <v>279</v>
      </c>
      <c r="EB45" s="4" t="s">
        <v>280</v>
      </c>
      <c r="EC45">
        <v>4.53</v>
      </c>
      <c r="ED45">
        <v>137</v>
      </c>
      <c r="EE45" t="s">
        <v>277</v>
      </c>
      <c r="EF45">
        <v>0.35080317054047289</v>
      </c>
      <c r="EH45">
        <f t="shared" si="1"/>
        <v>0.58000000000000007</v>
      </c>
      <c r="EI45">
        <v>3.38</v>
      </c>
      <c r="EJ45">
        <v>3.65</v>
      </c>
    </row>
    <row r="46" spans="1:140" x14ac:dyDescent="0.35">
      <c r="A46" s="1">
        <v>44</v>
      </c>
      <c r="B46">
        <v>-86.13479033789632</v>
      </c>
      <c r="C46">
        <v>31.64615446189292</v>
      </c>
      <c r="D46" t="s">
        <v>401</v>
      </c>
      <c r="E46">
        <v>0.1</v>
      </c>
      <c r="F46" t="s">
        <v>135</v>
      </c>
      <c r="G46">
        <v>3.7400000000000003E-2</v>
      </c>
      <c r="H46" t="s">
        <v>161</v>
      </c>
      <c r="I46">
        <v>-9588481</v>
      </c>
      <c r="J46">
        <v>3716952</v>
      </c>
      <c r="K46" t="s">
        <v>274</v>
      </c>
      <c r="L46" t="s">
        <v>402</v>
      </c>
      <c r="M46">
        <v>55</v>
      </c>
      <c r="N46">
        <v>3.6669999999999998</v>
      </c>
      <c r="O46">
        <v>3</v>
      </c>
      <c r="P46">
        <v>6</v>
      </c>
      <c r="Q46">
        <v>1</v>
      </c>
      <c r="R46">
        <v>109</v>
      </c>
      <c r="S46">
        <v>33008</v>
      </c>
      <c r="T46" t="s">
        <v>276</v>
      </c>
      <c r="U46">
        <v>5.7134919223735006</v>
      </c>
      <c r="V46" t="s">
        <v>274</v>
      </c>
      <c r="W46">
        <v>0.11899999999999999</v>
      </c>
      <c r="X46">
        <v>10</v>
      </c>
      <c r="Y46">
        <v>8.9</v>
      </c>
      <c r="Z46">
        <v>8.9</v>
      </c>
      <c r="AA46">
        <v>20</v>
      </c>
      <c r="AB46">
        <v>26</v>
      </c>
      <c r="AC46">
        <v>0.747</v>
      </c>
      <c r="AD46">
        <v>67</v>
      </c>
      <c r="AE46">
        <v>0.1187221869040051</v>
      </c>
      <c r="AF46">
        <v>2.86</v>
      </c>
      <c r="AG46" t="s">
        <v>276</v>
      </c>
      <c r="AH46" t="s">
        <v>274</v>
      </c>
      <c r="AI46">
        <v>30</v>
      </c>
      <c r="AJ46">
        <v>0.01</v>
      </c>
      <c r="AK46">
        <v>10</v>
      </c>
      <c r="AL46" t="s">
        <v>403</v>
      </c>
      <c r="AM46">
        <v>0</v>
      </c>
      <c r="AN46">
        <v>1.25</v>
      </c>
      <c r="AO46">
        <v>0.09</v>
      </c>
      <c r="AP46">
        <v>0.19</v>
      </c>
      <c r="AQ46">
        <v>0.96</v>
      </c>
      <c r="AR46">
        <v>0.9</v>
      </c>
      <c r="AS46">
        <v>0.04</v>
      </c>
      <c r="AT46">
        <v>0.02</v>
      </c>
      <c r="AU46">
        <v>0.02</v>
      </c>
      <c r="AV46">
        <v>2.2200000000000002</v>
      </c>
      <c r="AW46">
        <v>1.22</v>
      </c>
      <c r="AX46">
        <v>0.21</v>
      </c>
      <c r="AY46">
        <v>0.53</v>
      </c>
      <c r="AZ46">
        <v>0</v>
      </c>
      <c r="BA46">
        <v>0.96</v>
      </c>
      <c r="BB46">
        <v>0.08</v>
      </c>
      <c r="BC46">
        <v>0.18</v>
      </c>
      <c r="BD46">
        <v>0.27</v>
      </c>
      <c r="BE46">
        <v>7.39</v>
      </c>
      <c r="BF46">
        <v>6.7</v>
      </c>
      <c r="BG46">
        <v>0.24</v>
      </c>
      <c r="BH46">
        <v>0.45</v>
      </c>
      <c r="BI46">
        <v>0</v>
      </c>
      <c r="BJ46">
        <v>0.04</v>
      </c>
      <c r="BK46">
        <v>6.66</v>
      </c>
      <c r="BL46">
        <v>0</v>
      </c>
      <c r="BM46">
        <v>1.75</v>
      </c>
      <c r="BN46">
        <v>0.21</v>
      </c>
      <c r="BO46">
        <v>0.46</v>
      </c>
      <c r="BP46">
        <v>1.08</v>
      </c>
      <c r="BQ46">
        <v>0.89</v>
      </c>
      <c r="BR46">
        <v>0.06</v>
      </c>
      <c r="BS46">
        <v>0.13</v>
      </c>
      <c r="BT46">
        <v>0</v>
      </c>
      <c r="BU46">
        <v>7.79</v>
      </c>
      <c r="BV46">
        <v>6.73</v>
      </c>
      <c r="BW46">
        <v>0.34</v>
      </c>
      <c r="BX46">
        <v>0.72</v>
      </c>
      <c r="BY46">
        <v>0</v>
      </c>
      <c r="BZ46">
        <v>0.04</v>
      </c>
      <c r="CA46">
        <v>6.7</v>
      </c>
      <c r="CB46">
        <v>0</v>
      </c>
      <c r="CC46">
        <f t="shared" si="0"/>
        <v>2.75</v>
      </c>
      <c r="CD46">
        <v>3.96</v>
      </c>
      <c r="CE46">
        <v>0.34230769230769231</v>
      </c>
      <c r="CF46">
        <v>0.44500000000000001</v>
      </c>
      <c r="CG46">
        <v>0.1492537313432836</v>
      </c>
      <c r="CH46">
        <v>0.26118881118881121</v>
      </c>
      <c r="CI46">
        <v>0</v>
      </c>
      <c r="CJ46">
        <v>5322</v>
      </c>
      <c r="CK46" t="s">
        <v>141</v>
      </c>
      <c r="CL46" t="s">
        <v>142</v>
      </c>
      <c r="CM46" t="s">
        <v>143</v>
      </c>
      <c r="CN46">
        <v>0.40514836930699999</v>
      </c>
      <c r="CO46">
        <v>68.287934961999511</v>
      </c>
      <c r="CP46">
        <v>45</v>
      </c>
      <c r="CQ46" t="s">
        <v>404</v>
      </c>
      <c r="CR46">
        <v>102</v>
      </c>
      <c r="CS46" t="s">
        <v>396</v>
      </c>
      <c r="CT46" t="s">
        <v>215</v>
      </c>
      <c r="CU46" t="s">
        <v>276</v>
      </c>
      <c r="CV46" t="s">
        <v>397</v>
      </c>
      <c r="CW46" t="s">
        <v>175</v>
      </c>
      <c r="CX46" t="s">
        <v>398</v>
      </c>
      <c r="CY46" t="s">
        <v>399</v>
      </c>
      <c r="CZ46" t="s">
        <v>151</v>
      </c>
      <c r="DA46" t="s">
        <v>152</v>
      </c>
      <c r="DB46" t="s">
        <v>178</v>
      </c>
      <c r="DC46" t="s">
        <v>400</v>
      </c>
      <c r="DD46" t="s">
        <v>155</v>
      </c>
      <c r="DE46">
        <v>2571</v>
      </c>
      <c r="DF46">
        <v>-87.980553999999998</v>
      </c>
      <c r="DG46">
        <v>30.736916000000001</v>
      </c>
      <c r="DH46">
        <v>7000</v>
      </c>
      <c r="DI46">
        <v>600</v>
      </c>
      <c r="DL46">
        <v>23</v>
      </c>
      <c r="DM46">
        <v>19</v>
      </c>
      <c r="DN46">
        <v>29</v>
      </c>
      <c r="DO46">
        <v>240</v>
      </c>
      <c r="DP46">
        <v>50</v>
      </c>
      <c r="DQ46">
        <v>1000</v>
      </c>
      <c r="DS46">
        <v>11</v>
      </c>
      <c r="DT46">
        <v>1.2500000000000001E-2</v>
      </c>
      <c r="DU46">
        <v>1.2500000000000001E-2</v>
      </c>
      <c r="DV46">
        <v>0.32500000000000001</v>
      </c>
      <c r="DW46">
        <v>0.32500000000000001</v>
      </c>
      <c r="DX46">
        <v>0.32500000000000001</v>
      </c>
      <c r="DY46">
        <v>1.2782127596561139</v>
      </c>
      <c r="DZ46" s="4">
        <v>3.504</v>
      </c>
      <c r="EA46" s="4" t="s">
        <v>279</v>
      </c>
      <c r="EB46" s="4" t="s">
        <v>280</v>
      </c>
      <c r="EC46">
        <v>4.53</v>
      </c>
      <c r="ED46">
        <v>405</v>
      </c>
      <c r="EE46" t="s">
        <v>403</v>
      </c>
      <c r="EF46">
        <v>0</v>
      </c>
      <c r="EH46">
        <f t="shared" si="1"/>
        <v>0.58000000000000007</v>
      </c>
      <c r="EI46">
        <v>3.38</v>
      </c>
      <c r="EJ46">
        <v>3.65</v>
      </c>
    </row>
    <row r="47" spans="1:140" x14ac:dyDescent="0.35">
      <c r="A47" s="1">
        <v>45</v>
      </c>
      <c r="B47">
        <v>-84.338159769657281</v>
      </c>
      <c r="C47">
        <v>31.64615446189292</v>
      </c>
      <c r="D47" t="s">
        <v>405</v>
      </c>
      <c r="E47">
        <v>0.02</v>
      </c>
      <c r="F47" t="s">
        <v>160</v>
      </c>
      <c r="G47">
        <v>3.7400000000000003E-2</v>
      </c>
      <c r="H47" t="s">
        <v>161</v>
      </c>
      <c r="I47">
        <v>-9388481</v>
      </c>
      <c r="J47">
        <v>3716952</v>
      </c>
      <c r="K47" t="s">
        <v>406</v>
      </c>
      <c r="L47" t="s">
        <v>251</v>
      </c>
      <c r="O47">
        <v>3</v>
      </c>
      <c r="P47">
        <v>5</v>
      </c>
      <c r="Q47">
        <v>13</v>
      </c>
      <c r="R47">
        <v>273</v>
      </c>
      <c r="S47">
        <v>9184</v>
      </c>
      <c r="T47" t="s">
        <v>407</v>
      </c>
      <c r="U47">
        <v>6.0277382645803694</v>
      </c>
      <c r="V47" t="s">
        <v>406</v>
      </c>
      <c r="W47">
        <v>0.114</v>
      </c>
      <c r="X47">
        <v>10</v>
      </c>
      <c r="Y47">
        <v>8.9</v>
      </c>
      <c r="Z47">
        <v>8.9</v>
      </c>
      <c r="AA47">
        <v>20</v>
      </c>
      <c r="AB47">
        <v>26</v>
      </c>
      <c r="AC47">
        <v>0.67200000000000004</v>
      </c>
      <c r="AD47">
        <v>67</v>
      </c>
      <c r="AE47">
        <v>0.10680228862047041</v>
      </c>
      <c r="AF47">
        <v>2.86</v>
      </c>
      <c r="AG47" t="s">
        <v>407</v>
      </c>
      <c r="AH47" t="s">
        <v>406</v>
      </c>
      <c r="AI47">
        <v>28</v>
      </c>
      <c r="AJ47">
        <v>9.3333333333333341E-3</v>
      </c>
      <c r="AK47">
        <v>9.3333333333333339</v>
      </c>
      <c r="AL47" t="s">
        <v>408</v>
      </c>
      <c r="AM47">
        <v>0</v>
      </c>
      <c r="AN47">
        <v>1.3</v>
      </c>
      <c r="AO47">
        <v>0.09</v>
      </c>
      <c r="AP47">
        <v>0.19</v>
      </c>
      <c r="AQ47">
        <v>1.01</v>
      </c>
      <c r="AR47">
        <v>0.95</v>
      </c>
      <c r="AS47">
        <v>0.04</v>
      </c>
      <c r="AT47">
        <v>0.01</v>
      </c>
      <c r="AU47">
        <v>0.02</v>
      </c>
      <c r="AV47">
        <v>2.2599999999999998</v>
      </c>
      <c r="AW47">
        <v>1.26</v>
      </c>
      <c r="AX47">
        <v>0.21</v>
      </c>
      <c r="AY47">
        <v>0.53</v>
      </c>
      <c r="AZ47">
        <v>0</v>
      </c>
      <c r="BA47">
        <v>1.01</v>
      </c>
      <c r="BB47">
        <v>0.08</v>
      </c>
      <c r="BC47">
        <v>0.17</v>
      </c>
      <c r="BD47">
        <v>0.27</v>
      </c>
      <c r="BE47">
        <v>6.83</v>
      </c>
      <c r="BF47">
        <v>6.14</v>
      </c>
      <c r="BG47">
        <v>0.24</v>
      </c>
      <c r="BH47">
        <v>0.45</v>
      </c>
      <c r="BI47">
        <v>0</v>
      </c>
      <c r="BJ47">
        <v>0.04</v>
      </c>
      <c r="BK47">
        <v>6.1</v>
      </c>
      <c r="BL47">
        <v>0</v>
      </c>
      <c r="BM47">
        <v>1.79</v>
      </c>
      <c r="BN47">
        <v>0.21</v>
      </c>
      <c r="BO47">
        <v>0.46</v>
      </c>
      <c r="BP47">
        <v>1.1200000000000001</v>
      </c>
      <c r="BQ47">
        <v>0.94</v>
      </c>
      <c r="BR47">
        <v>0.06</v>
      </c>
      <c r="BS47">
        <v>0.12</v>
      </c>
      <c r="BT47">
        <v>0</v>
      </c>
      <c r="BU47">
        <v>7.24</v>
      </c>
      <c r="BV47">
        <v>6.18</v>
      </c>
      <c r="BW47">
        <v>0.34</v>
      </c>
      <c r="BX47">
        <v>0.72</v>
      </c>
      <c r="BY47">
        <v>0</v>
      </c>
      <c r="BZ47">
        <v>0.04</v>
      </c>
      <c r="CA47">
        <v>6.14</v>
      </c>
      <c r="CB47">
        <v>0</v>
      </c>
      <c r="CC47">
        <f t="shared" si="0"/>
        <v>2.75</v>
      </c>
      <c r="CD47">
        <v>3.96</v>
      </c>
      <c r="CE47">
        <v>0.34230769230769231</v>
      </c>
      <c r="CF47">
        <v>0.44500000000000001</v>
      </c>
      <c r="CG47">
        <v>0.1492537313432836</v>
      </c>
      <c r="CH47">
        <v>0.23496503496503501</v>
      </c>
      <c r="CI47">
        <v>0</v>
      </c>
      <c r="CJ47">
        <v>31741</v>
      </c>
      <c r="CK47" t="s">
        <v>141</v>
      </c>
      <c r="CL47" t="s">
        <v>409</v>
      </c>
      <c r="CM47" t="s">
        <v>143</v>
      </c>
      <c r="CN47">
        <v>2.4726025845300001</v>
      </c>
      <c r="CO47">
        <v>2.8165098738179322</v>
      </c>
      <c r="CP47">
        <v>46</v>
      </c>
      <c r="CQ47" t="s">
        <v>410</v>
      </c>
      <c r="CR47">
        <v>105</v>
      </c>
      <c r="CS47" t="s">
        <v>411</v>
      </c>
      <c r="CT47" t="s">
        <v>215</v>
      </c>
      <c r="CU47" t="s">
        <v>407</v>
      </c>
      <c r="CV47" t="s">
        <v>412</v>
      </c>
      <c r="CW47" t="s">
        <v>175</v>
      </c>
      <c r="CX47" t="s">
        <v>413</v>
      </c>
      <c r="CY47" t="s">
        <v>414</v>
      </c>
      <c r="CZ47" t="s">
        <v>151</v>
      </c>
      <c r="DA47" t="s">
        <v>152</v>
      </c>
      <c r="DB47" t="s">
        <v>178</v>
      </c>
      <c r="DC47" t="s">
        <v>207</v>
      </c>
      <c r="DD47" t="s">
        <v>155</v>
      </c>
      <c r="DE47">
        <v>2855</v>
      </c>
      <c r="DF47">
        <v>-84.459380999999993</v>
      </c>
      <c r="DG47">
        <v>31.008075000000002</v>
      </c>
      <c r="DH47">
        <v>3500</v>
      </c>
      <c r="DI47">
        <v>180</v>
      </c>
      <c r="DL47">
        <v>27</v>
      </c>
      <c r="DM47">
        <v>25</v>
      </c>
      <c r="DN47">
        <v>29</v>
      </c>
      <c r="DO47">
        <v>300</v>
      </c>
      <c r="DS47">
        <v>11</v>
      </c>
      <c r="DT47">
        <v>1.2500000000000001E-2</v>
      </c>
      <c r="DU47">
        <v>1.2500000000000001E-2</v>
      </c>
      <c r="DV47">
        <v>0.32500000000000001</v>
      </c>
      <c r="DW47">
        <v>0.32500000000000001</v>
      </c>
      <c r="DX47">
        <v>0.32500000000000001</v>
      </c>
      <c r="DY47">
        <v>0</v>
      </c>
      <c r="DZ47" s="4">
        <v>3.585</v>
      </c>
      <c r="EA47" s="4" t="s">
        <v>415</v>
      </c>
      <c r="EB47" s="4" t="s">
        <v>416</v>
      </c>
      <c r="EC47">
        <v>4.6749999999999998</v>
      </c>
      <c r="ED47">
        <v>712</v>
      </c>
      <c r="EE47" t="s">
        <v>408</v>
      </c>
      <c r="EF47">
        <v>0</v>
      </c>
      <c r="EH47">
        <f t="shared" si="1"/>
        <v>0.58000000000000007</v>
      </c>
      <c r="EI47">
        <v>3.38</v>
      </c>
      <c r="EJ47">
        <v>3.65</v>
      </c>
    </row>
    <row r="48" spans="1:140" x14ac:dyDescent="0.35">
      <c r="A48" s="1">
        <v>46</v>
      </c>
      <c r="B48">
        <v>-82.541529201418243</v>
      </c>
      <c r="C48">
        <v>31.64615446189292</v>
      </c>
      <c r="D48" t="s">
        <v>417</v>
      </c>
      <c r="E48">
        <v>0.02</v>
      </c>
      <c r="F48" t="s">
        <v>160</v>
      </c>
      <c r="G48">
        <v>3.7400000000000003E-2</v>
      </c>
      <c r="H48" t="s">
        <v>161</v>
      </c>
      <c r="I48">
        <v>-9188481</v>
      </c>
      <c r="J48">
        <v>3716952</v>
      </c>
      <c r="K48" t="s">
        <v>406</v>
      </c>
      <c r="L48" t="s">
        <v>418</v>
      </c>
      <c r="O48">
        <v>3</v>
      </c>
      <c r="P48">
        <v>5</v>
      </c>
      <c r="Q48">
        <v>13</v>
      </c>
      <c r="R48">
        <v>5</v>
      </c>
      <c r="S48">
        <v>11140</v>
      </c>
      <c r="T48" t="s">
        <v>407</v>
      </c>
      <c r="U48">
        <v>6.0277382645803694</v>
      </c>
      <c r="V48" t="s">
        <v>406</v>
      </c>
      <c r="W48">
        <v>0.114</v>
      </c>
      <c r="X48">
        <v>10</v>
      </c>
      <c r="Y48">
        <v>8.9</v>
      </c>
      <c r="Z48">
        <v>8.9</v>
      </c>
      <c r="AA48">
        <v>20</v>
      </c>
      <c r="AB48">
        <v>26</v>
      </c>
      <c r="AC48">
        <v>0.67200000000000004</v>
      </c>
      <c r="AD48">
        <v>67</v>
      </c>
      <c r="AE48">
        <v>0.10680228862047041</v>
      </c>
      <c r="AF48">
        <v>2.86</v>
      </c>
      <c r="AG48" t="s">
        <v>407</v>
      </c>
      <c r="AH48" t="s">
        <v>406</v>
      </c>
      <c r="AI48">
        <v>28</v>
      </c>
      <c r="AJ48">
        <v>9.3333333333333341E-3</v>
      </c>
      <c r="AK48">
        <v>9.3333333333333339</v>
      </c>
      <c r="AL48" t="s">
        <v>419</v>
      </c>
      <c r="AM48">
        <v>9575.7434712023569</v>
      </c>
      <c r="AN48">
        <v>1.3</v>
      </c>
      <c r="AO48">
        <v>0.09</v>
      </c>
      <c r="AP48">
        <v>0.19</v>
      </c>
      <c r="AQ48">
        <v>1.01</v>
      </c>
      <c r="AR48">
        <v>0.95</v>
      </c>
      <c r="AS48">
        <v>0.04</v>
      </c>
      <c r="AT48">
        <v>0.01</v>
      </c>
      <c r="AU48">
        <v>0.02</v>
      </c>
      <c r="AV48">
        <v>2.2599999999999998</v>
      </c>
      <c r="AW48">
        <v>1.26</v>
      </c>
      <c r="AX48">
        <v>0.21</v>
      </c>
      <c r="AY48">
        <v>0.53</v>
      </c>
      <c r="AZ48">
        <v>0</v>
      </c>
      <c r="BA48">
        <v>1.01</v>
      </c>
      <c r="BB48">
        <v>0.08</v>
      </c>
      <c r="BC48">
        <v>0.17</v>
      </c>
      <c r="BD48">
        <v>0.27</v>
      </c>
      <c r="BE48">
        <v>6.83</v>
      </c>
      <c r="BF48">
        <v>6.14</v>
      </c>
      <c r="BG48">
        <v>0.24</v>
      </c>
      <c r="BH48">
        <v>0.45</v>
      </c>
      <c r="BI48">
        <v>0</v>
      </c>
      <c r="BJ48">
        <v>0.04</v>
      </c>
      <c r="BK48">
        <v>6.1</v>
      </c>
      <c r="BL48">
        <v>0</v>
      </c>
      <c r="BM48">
        <v>1.79</v>
      </c>
      <c r="BN48">
        <v>0.21</v>
      </c>
      <c r="BO48">
        <v>0.46</v>
      </c>
      <c r="BP48">
        <v>1.1200000000000001</v>
      </c>
      <c r="BQ48">
        <v>0.94</v>
      </c>
      <c r="BR48">
        <v>0.06</v>
      </c>
      <c r="BS48">
        <v>0.12</v>
      </c>
      <c r="BT48">
        <v>0</v>
      </c>
      <c r="BU48">
        <v>7.24</v>
      </c>
      <c r="BV48">
        <v>6.18</v>
      </c>
      <c r="BW48">
        <v>0.34</v>
      </c>
      <c r="BX48">
        <v>0.72</v>
      </c>
      <c r="BY48">
        <v>0</v>
      </c>
      <c r="BZ48">
        <v>0.04</v>
      </c>
      <c r="CA48">
        <v>6.14</v>
      </c>
      <c r="CB48">
        <v>0</v>
      </c>
      <c r="CC48">
        <f t="shared" si="0"/>
        <v>2.75</v>
      </c>
      <c r="CD48">
        <v>3.96</v>
      </c>
      <c r="CE48">
        <v>0.34230769230769231</v>
      </c>
      <c r="CF48">
        <v>0.44500000000000001</v>
      </c>
      <c r="CG48">
        <v>0.1492537313432836</v>
      </c>
      <c r="CH48">
        <v>0.23496503496503501</v>
      </c>
      <c r="CI48">
        <v>0</v>
      </c>
      <c r="CJ48">
        <v>22727</v>
      </c>
      <c r="CK48" t="s">
        <v>141</v>
      </c>
      <c r="CL48" t="s">
        <v>240</v>
      </c>
      <c r="CM48" t="s">
        <v>143</v>
      </c>
      <c r="CN48">
        <v>0.17524410769000001</v>
      </c>
      <c r="CO48">
        <v>17.927920797441679</v>
      </c>
      <c r="CP48">
        <v>47</v>
      </c>
      <c r="CQ48" t="s">
        <v>420</v>
      </c>
      <c r="CR48">
        <v>105</v>
      </c>
      <c r="CS48" t="s">
        <v>411</v>
      </c>
      <c r="CT48" t="s">
        <v>215</v>
      </c>
      <c r="CU48" t="s">
        <v>407</v>
      </c>
      <c r="CV48" t="s">
        <v>412</v>
      </c>
      <c r="CW48" t="s">
        <v>175</v>
      </c>
      <c r="CX48" t="s">
        <v>413</v>
      </c>
      <c r="CY48" t="s">
        <v>414</v>
      </c>
      <c r="CZ48" t="s">
        <v>151</v>
      </c>
      <c r="DA48" t="s">
        <v>152</v>
      </c>
      <c r="DB48" t="s">
        <v>178</v>
      </c>
      <c r="DC48" t="s">
        <v>207</v>
      </c>
      <c r="DD48" t="s">
        <v>155</v>
      </c>
      <c r="DE48">
        <v>2855</v>
      </c>
      <c r="DF48">
        <v>-84.459380999999993</v>
      </c>
      <c r="DG48">
        <v>31.008075000000002</v>
      </c>
      <c r="DH48">
        <v>3500</v>
      </c>
      <c r="DI48">
        <v>180</v>
      </c>
      <c r="DL48">
        <v>27</v>
      </c>
      <c r="DM48">
        <v>25</v>
      </c>
      <c r="DN48">
        <v>29</v>
      </c>
      <c r="DO48">
        <v>300</v>
      </c>
      <c r="DS48">
        <v>11</v>
      </c>
      <c r="DT48">
        <v>1.2500000000000001E-2</v>
      </c>
      <c r="DU48">
        <v>1.2500000000000001E-2</v>
      </c>
      <c r="DV48">
        <v>0.32500000000000001</v>
      </c>
      <c r="DW48">
        <v>0.32500000000000001</v>
      </c>
      <c r="DX48">
        <v>0.32500000000000001</v>
      </c>
      <c r="DY48">
        <v>0</v>
      </c>
      <c r="DZ48" s="4">
        <v>3.585</v>
      </c>
      <c r="EA48" s="4" t="s">
        <v>415</v>
      </c>
      <c r="EB48" s="4" t="s">
        <v>416</v>
      </c>
      <c r="EC48">
        <v>4.6749999999999998</v>
      </c>
      <c r="ED48">
        <v>720</v>
      </c>
      <c r="EE48" t="s">
        <v>419</v>
      </c>
      <c r="EF48">
        <v>8.6019539563279956E-2</v>
      </c>
      <c r="EH48">
        <f t="shared" si="1"/>
        <v>0.58000000000000007</v>
      </c>
      <c r="EI48">
        <v>3.38</v>
      </c>
      <c r="EJ48">
        <v>3.65</v>
      </c>
    </row>
    <row r="49" spans="1:140" x14ac:dyDescent="0.35">
      <c r="A49" s="1">
        <v>47</v>
      </c>
      <c r="B49">
        <v>-80.74489863317919</v>
      </c>
      <c r="C49">
        <v>31.64615446189292</v>
      </c>
      <c r="D49" t="s">
        <v>421</v>
      </c>
      <c r="E49">
        <v>0.02</v>
      </c>
      <c r="F49" t="s">
        <v>160</v>
      </c>
      <c r="G49">
        <v>3.7400000000000003E-2</v>
      </c>
      <c r="H49" t="s">
        <v>161</v>
      </c>
      <c r="I49">
        <v>-8988481</v>
      </c>
      <c r="J49">
        <v>3716952</v>
      </c>
      <c r="K49" t="s">
        <v>406</v>
      </c>
      <c r="L49" t="s">
        <v>422</v>
      </c>
      <c r="O49">
        <v>3</v>
      </c>
      <c r="P49">
        <v>5</v>
      </c>
      <c r="Q49">
        <v>13</v>
      </c>
      <c r="R49">
        <v>51</v>
      </c>
      <c r="S49">
        <v>295280</v>
      </c>
      <c r="T49" t="s">
        <v>407</v>
      </c>
      <c r="U49">
        <v>6.0277382645803694</v>
      </c>
      <c r="V49" t="s">
        <v>406</v>
      </c>
      <c r="W49">
        <v>0.114</v>
      </c>
      <c r="X49">
        <v>10</v>
      </c>
      <c r="Y49">
        <v>8.9</v>
      </c>
      <c r="Z49">
        <v>8.9</v>
      </c>
      <c r="AA49">
        <v>20</v>
      </c>
      <c r="AB49">
        <v>26</v>
      </c>
      <c r="AC49">
        <v>0.67200000000000004</v>
      </c>
      <c r="AD49">
        <v>67</v>
      </c>
      <c r="AE49">
        <v>0.10680228862047041</v>
      </c>
      <c r="AF49">
        <v>2.86</v>
      </c>
      <c r="AG49" t="s">
        <v>407</v>
      </c>
      <c r="AH49" t="s">
        <v>406</v>
      </c>
      <c r="AI49">
        <v>28</v>
      </c>
      <c r="AJ49">
        <v>9.3333333333333341E-3</v>
      </c>
      <c r="AK49">
        <v>9.3333333333333339</v>
      </c>
      <c r="AL49" t="s">
        <v>423</v>
      </c>
      <c r="AM49">
        <v>38876.24694177058</v>
      </c>
      <c r="AN49">
        <v>1.3</v>
      </c>
      <c r="AO49">
        <v>0.09</v>
      </c>
      <c r="AP49">
        <v>0.19</v>
      </c>
      <c r="AQ49">
        <v>1.01</v>
      </c>
      <c r="AR49">
        <v>0.95</v>
      </c>
      <c r="AS49">
        <v>0.04</v>
      </c>
      <c r="AT49">
        <v>0.01</v>
      </c>
      <c r="AU49">
        <v>0.02</v>
      </c>
      <c r="AV49">
        <v>2.2599999999999998</v>
      </c>
      <c r="AW49">
        <v>1.26</v>
      </c>
      <c r="AX49">
        <v>0.21</v>
      </c>
      <c r="AY49">
        <v>0.53</v>
      </c>
      <c r="AZ49">
        <v>0</v>
      </c>
      <c r="BA49">
        <v>1.01</v>
      </c>
      <c r="BB49">
        <v>0.08</v>
      </c>
      <c r="BC49">
        <v>0.17</v>
      </c>
      <c r="BD49">
        <v>0.27</v>
      </c>
      <c r="BE49">
        <v>6.83</v>
      </c>
      <c r="BF49">
        <v>6.14</v>
      </c>
      <c r="BG49">
        <v>0.24</v>
      </c>
      <c r="BH49">
        <v>0.45</v>
      </c>
      <c r="BI49">
        <v>0</v>
      </c>
      <c r="BJ49">
        <v>0.04</v>
      </c>
      <c r="BK49">
        <v>6.1</v>
      </c>
      <c r="BL49">
        <v>0</v>
      </c>
      <c r="BM49">
        <v>1.79</v>
      </c>
      <c r="BN49">
        <v>0.21</v>
      </c>
      <c r="BO49">
        <v>0.46</v>
      </c>
      <c r="BP49">
        <v>1.1200000000000001</v>
      </c>
      <c r="BQ49">
        <v>0.94</v>
      </c>
      <c r="BR49">
        <v>0.06</v>
      </c>
      <c r="BS49">
        <v>0.12</v>
      </c>
      <c r="BT49">
        <v>0</v>
      </c>
      <c r="BU49">
        <v>7.24</v>
      </c>
      <c r="BV49">
        <v>6.18</v>
      </c>
      <c r="BW49">
        <v>0.34</v>
      </c>
      <c r="BX49">
        <v>0.72</v>
      </c>
      <c r="BY49">
        <v>0</v>
      </c>
      <c r="BZ49">
        <v>0.04</v>
      </c>
      <c r="CA49">
        <v>6.14</v>
      </c>
      <c r="CB49">
        <v>0</v>
      </c>
      <c r="CC49">
        <f t="shared" si="0"/>
        <v>2.75</v>
      </c>
      <c r="CD49">
        <v>3.96</v>
      </c>
      <c r="CE49">
        <v>0.34230769230769231</v>
      </c>
      <c r="CF49">
        <v>0.44500000000000001</v>
      </c>
      <c r="CG49">
        <v>0.1492537313432836</v>
      </c>
      <c r="CH49">
        <v>0.23496503496503501</v>
      </c>
      <c r="CI49">
        <v>0</v>
      </c>
      <c r="CJ49">
        <v>31664</v>
      </c>
      <c r="CK49" t="s">
        <v>141</v>
      </c>
      <c r="CL49" t="s">
        <v>424</v>
      </c>
      <c r="CM49" t="s">
        <v>143</v>
      </c>
      <c r="CN49">
        <v>3.1035453080000001E-2</v>
      </c>
      <c r="CO49">
        <v>40.092314274147867</v>
      </c>
      <c r="CP49">
        <v>48</v>
      </c>
      <c r="CQ49" t="s">
        <v>425</v>
      </c>
      <c r="CR49">
        <v>104</v>
      </c>
      <c r="CS49" t="s">
        <v>295</v>
      </c>
      <c r="CT49" t="s">
        <v>215</v>
      </c>
      <c r="CU49" t="s">
        <v>139</v>
      </c>
      <c r="CV49" t="s">
        <v>296</v>
      </c>
      <c r="CW49" t="s">
        <v>175</v>
      </c>
      <c r="CX49" t="s">
        <v>288</v>
      </c>
      <c r="CY49" t="s">
        <v>289</v>
      </c>
      <c r="CZ49" t="s">
        <v>151</v>
      </c>
      <c r="DA49" t="s">
        <v>152</v>
      </c>
      <c r="DB49" t="s">
        <v>178</v>
      </c>
      <c r="DC49" t="s">
        <v>207</v>
      </c>
      <c r="DD49" t="s">
        <v>155</v>
      </c>
      <c r="DE49">
        <v>1889</v>
      </c>
      <c r="DF49">
        <v>-84.247302000000005</v>
      </c>
      <c r="DG49">
        <v>30.432466999999999</v>
      </c>
      <c r="DH49">
        <v>4000</v>
      </c>
      <c r="DI49">
        <v>200</v>
      </c>
      <c r="DL49">
        <v>28</v>
      </c>
      <c r="DM49">
        <v>26</v>
      </c>
      <c r="DN49">
        <v>28</v>
      </c>
      <c r="DO49">
        <v>300</v>
      </c>
      <c r="DS49">
        <v>11</v>
      </c>
      <c r="DT49">
        <v>1.2500000000000001E-2</v>
      </c>
      <c r="DU49">
        <v>1.2500000000000001E-2</v>
      </c>
      <c r="DV49">
        <v>0.32500000000000001</v>
      </c>
      <c r="DW49">
        <v>0.32500000000000001</v>
      </c>
      <c r="DX49">
        <v>0.32500000000000001</v>
      </c>
      <c r="DY49">
        <v>0</v>
      </c>
      <c r="DZ49" s="4">
        <v>3.585</v>
      </c>
      <c r="EA49" s="4" t="s">
        <v>415</v>
      </c>
      <c r="EB49" s="4" t="s">
        <v>416</v>
      </c>
      <c r="EC49">
        <v>4.6749999999999998</v>
      </c>
      <c r="ED49">
        <v>206</v>
      </c>
      <c r="EE49" t="s">
        <v>423</v>
      </c>
      <c r="EF49">
        <v>0.32080518312867962</v>
      </c>
      <c r="EH49">
        <f t="shared" si="1"/>
        <v>0.58000000000000007</v>
      </c>
      <c r="EI49">
        <v>3.38</v>
      </c>
      <c r="EJ49">
        <v>3.65</v>
      </c>
    </row>
    <row r="50" spans="1:140" x14ac:dyDescent="0.35">
      <c r="A50" s="1">
        <v>48</v>
      </c>
      <c r="B50">
        <v>-120.27077113443811</v>
      </c>
      <c r="C50">
        <v>33.162943398976488</v>
      </c>
      <c r="D50" t="s">
        <v>426</v>
      </c>
      <c r="E50">
        <v>0.1</v>
      </c>
      <c r="F50" t="s">
        <v>135</v>
      </c>
      <c r="G50">
        <v>7.1599999999999997E-2</v>
      </c>
      <c r="H50" t="s">
        <v>136</v>
      </c>
      <c r="I50">
        <v>-13388481</v>
      </c>
      <c r="J50">
        <v>3916952</v>
      </c>
      <c r="K50" t="s">
        <v>427</v>
      </c>
      <c r="L50" t="s">
        <v>428</v>
      </c>
      <c r="M50">
        <v>56</v>
      </c>
      <c r="N50">
        <v>5.3630000000000004</v>
      </c>
      <c r="O50">
        <v>4</v>
      </c>
      <c r="P50">
        <v>9</v>
      </c>
      <c r="Q50">
        <v>6</v>
      </c>
      <c r="R50">
        <v>111</v>
      </c>
      <c r="S50">
        <v>843843</v>
      </c>
      <c r="T50" t="s">
        <v>315</v>
      </c>
      <c r="U50">
        <v>8.1439147775781446</v>
      </c>
      <c r="V50" t="s">
        <v>427</v>
      </c>
      <c r="W50">
        <v>0.27039999999999997</v>
      </c>
      <c r="X50">
        <v>10</v>
      </c>
      <c r="Y50">
        <v>8.9</v>
      </c>
      <c r="Z50">
        <v>8.9</v>
      </c>
      <c r="AA50">
        <v>20</v>
      </c>
      <c r="AB50">
        <v>26</v>
      </c>
      <c r="AC50">
        <v>0.40699999999999997</v>
      </c>
      <c r="AD50">
        <v>67</v>
      </c>
      <c r="AE50">
        <v>6.4685314685314674E-2</v>
      </c>
      <c r="AF50">
        <v>2.86</v>
      </c>
      <c r="AG50" t="s">
        <v>315</v>
      </c>
      <c r="AH50" t="s">
        <v>427</v>
      </c>
      <c r="AI50">
        <v>77</v>
      </c>
      <c r="AJ50">
        <v>2.5666666666666671E-2</v>
      </c>
      <c r="AK50">
        <v>25.666666666666671</v>
      </c>
      <c r="AL50" t="s">
        <v>429</v>
      </c>
      <c r="AM50">
        <v>78464.747930898418</v>
      </c>
      <c r="AN50">
        <v>1.74</v>
      </c>
      <c r="AO50">
        <v>0.09</v>
      </c>
      <c r="AP50">
        <v>0.19</v>
      </c>
      <c r="AQ50">
        <v>1.45</v>
      </c>
      <c r="AR50">
        <v>1.29</v>
      </c>
      <c r="AS50">
        <v>0.13</v>
      </c>
      <c r="AT50">
        <v>0.04</v>
      </c>
      <c r="AU50">
        <v>0.02</v>
      </c>
      <c r="AV50">
        <v>3.01</v>
      </c>
      <c r="AW50">
        <v>2.02</v>
      </c>
      <c r="AX50">
        <v>0.21</v>
      </c>
      <c r="AY50">
        <v>0.53</v>
      </c>
      <c r="AZ50">
        <v>0</v>
      </c>
      <c r="BA50">
        <v>1.37</v>
      </c>
      <c r="BB50">
        <v>0.24</v>
      </c>
      <c r="BC50">
        <v>0.41</v>
      </c>
      <c r="BD50">
        <v>0.27</v>
      </c>
      <c r="BE50">
        <v>15.79</v>
      </c>
      <c r="BF50">
        <v>15.1</v>
      </c>
      <c r="BG50">
        <v>0.24</v>
      </c>
      <c r="BH50">
        <v>0.45</v>
      </c>
      <c r="BI50">
        <v>0</v>
      </c>
      <c r="BJ50">
        <v>0.11</v>
      </c>
      <c r="BK50">
        <v>14.98</v>
      </c>
      <c r="BL50">
        <v>0</v>
      </c>
      <c r="BM50">
        <v>2.41</v>
      </c>
      <c r="BN50">
        <v>0.21</v>
      </c>
      <c r="BO50">
        <v>0.46</v>
      </c>
      <c r="BP50">
        <v>1.74</v>
      </c>
      <c r="BQ50">
        <v>1.27</v>
      </c>
      <c r="BR50">
        <v>0.17</v>
      </c>
      <c r="BS50">
        <v>0.3</v>
      </c>
      <c r="BT50">
        <v>0</v>
      </c>
      <c r="BU50">
        <v>16.239999999999998</v>
      </c>
      <c r="BV50">
        <v>15.18</v>
      </c>
      <c r="BW50">
        <v>0.34</v>
      </c>
      <c r="BX50">
        <v>0.72</v>
      </c>
      <c r="BY50">
        <v>0</v>
      </c>
      <c r="BZ50">
        <v>0.11</v>
      </c>
      <c r="CA50">
        <v>15.07</v>
      </c>
      <c r="CB50">
        <v>0</v>
      </c>
      <c r="CC50">
        <f t="shared" si="0"/>
        <v>2.75</v>
      </c>
      <c r="CD50">
        <v>3.96</v>
      </c>
      <c r="CE50">
        <v>0.34230769230769231</v>
      </c>
      <c r="CF50">
        <v>0.44500000000000001</v>
      </c>
      <c r="CG50">
        <v>0.1492537313432836</v>
      </c>
      <c r="CH50">
        <v>0.1423076923076923</v>
      </c>
      <c r="CI50">
        <v>0</v>
      </c>
      <c r="CJ50">
        <v>22630</v>
      </c>
      <c r="CK50" t="s">
        <v>169</v>
      </c>
      <c r="CL50" t="s">
        <v>430</v>
      </c>
      <c r="CM50" t="s">
        <v>143</v>
      </c>
      <c r="CN50">
        <v>3.1585734501600002E-2</v>
      </c>
      <c r="CO50">
        <v>109.2310951629842</v>
      </c>
      <c r="CP50">
        <v>49</v>
      </c>
      <c r="CQ50" t="s">
        <v>431</v>
      </c>
      <c r="CR50">
        <v>174</v>
      </c>
      <c r="CS50" t="s">
        <v>313</v>
      </c>
      <c r="CT50" t="s">
        <v>314</v>
      </c>
      <c r="CU50" t="s">
        <v>315</v>
      </c>
      <c r="CV50" t="s">
        <v>316</v>
      </c>
      <c r="CW50" t="s">
        <v>317</v>
      </c>
      <c r="CX50" t="s">
        <v>318</v>
      </c>
      <c r="CY50" t="s">
        <v>317</v>
      </c>
      <c r="CZ50" t="s">
        <v>319</v>
      </c>
      <c r="DA50" t="s">
        <v>152</v>
      </c>
      <c r="DB50" t="s">
        <v>178</v>
      </c>
      <c r="DC50" t="s">
        <v>320</v>
      </c>
      <c r="DD50" t="s">
        <v>180</v>
      </c>
      <c r="DE50">
        <v>51</v>
      </c>
      <c r="DF50">
        <v>-118.161213</v>
      </c>
      <c r="DG50">
        <v>33.886425000000003</v>
      </c>
      <c r="DH50">
        <v>4000</v>
      </c>
      <c r="DI50">
        <v>1000</v>
      </c>
      <c r="DL50">
        <v>30</v>
      </c>
      <c r="DM50">
        <v>22</v>
      </c>
      <c r="DN50">
        <v>35</v>
      </c>
      <c r="DO50">
        <v>400</v>
      </c>
      <c r="DP50">
        <v>10</v>
      </c>
      <c r="DQ50">
        <v>2300</v>
      </c>
      <c r="DR50" t="s">
        <v>321</v>
      </c>
      <c r="DS50" t="s">
        <v>322</v>
      </c>
      <c r="DT50">
        <v>1.2500000000000001E-2</v>
      </c>
      <c r="DU50">
        <v>1.2500000000000001E-2</v>
      </c>
      <c r="DV50">
        <v>0.32500000000000001</v>
      </c>
      <c r="DW50">
        <v>0.32500000000000001</v>
      </c>
      <c r="DX50">
        <v>0.32500000000000001</v>
      </c>
      <c r="DY50">
        <v>7.7430380518714061</v>
      </c>
      <c r="DZ50" s="4">
        <v>5.3979999999999997</v>
      </c>
      <c r="EA50" s="4" t="s">
        <v>432</v>
      </c>
      <c r="EB50" s="4" t="s">
        <v>433</v>
      </c>
      <c r="EC50">
        <v>6.4850000000000003</v>
      </c>
      <c r="ED50">
        <v>373</v>
      </c>
      <c r="EE50" t="s">
        <v>429</v>
      </c>
      <c r="EF50">
        <v>0.70146062880475646</v>
      </c>
      <c r="EH50">
        <f t="shared" si="1"/>
        <v>0.58000000000000007</v>
      </c>
      <c r="EI50">
        <v>3.38</v>
      </c>
      <c r="EJ50">
        <v>3.65</v>
      </c>
    </row>
    <row r="51" spans="1:140" x14ac:dyDescent="0.35">
      <c r="A51" s="1">
        <v>49</v>
      </c>
      <c r="B51">
        <v>-118.4741405661991</v>
      </c>
      <c r="C51">
        <v>33.162943398976488</v>
      </c>
      <c r="D51" t="s">
        <v>434</v>
      </c>
      <c r="E51">
        <v>0.02</v>
      </c>
      <c r="F51" t="s">
        <v>160</v>
      </c>
      <c r="G51">
        <v>7.1599999999999997E-2</v>
      </c>
      <c r="H51" t="s">
        <v>161</v>
      </c>
      <c r="I51">
        <v>-13188481</v>
      </c>
      <c r="J51">
        <v>3916952</v>
      </c>
      <c r="K51" t="s">
        <v>427</v>
      </c>
      <c r="L51" t="s">
        <v>317</v>
      </c>
      <c r="M51">
        <v>19</v>
      </c>
      <c r="N51">
        <v>5.4029999999999996</v>
      </c>
      <c r="O51">
        <v>4</v>
      </c>
      <c r="P51">
        <v>9</v>
      </c>
      <c r="Q51">
        <v>6</v>
      </c>
      <c r="R51">
        <v>37</v>
      </c>
      <c r="S51">
        <v>10014042</v>
      </c>
      <c r="T51" t="s">
        <v>315</v>
      </c>
      <c r="U51">
        <v>8.1439147775781446</v>
      </c>
      <c r="V51" t="s">
        <v>427</v>
      </c>
      <c r="W51">
        <v>0.27039999999999997</v>
      </c>
      <c r="X51">
        <v>10</v>
      </c>
      <c r="Y51">
        <v>8.9</v>
      </c>
      <c r="Z51">
        <v>8.9</v>
      </c>
      <c r="AA51">
        <v>20</v>
      </c>
      <c r="AB51">
        <v>26</v>
      </c>
      <c r="AC51">
        <v>0.40699999999999997</v>
      </c>
      <c r="AD51">
        <v>67</v>
      </c>
      <c r="AE51">
        <v>6.4685314685314674E-2</v>
      </c>
      <c r="AF51">
        <v>2.86</v>
      </c>
      <c r="AG51" t="s">
        <v>315</v>
      </c>
      <c r="AH51" t="s">
        <v>427</v>
      </c>
      <c r="AI51">
        <v>77</v>
      </c>
      <c r="AJ51">
        <v>2.5666666666666671E-2</v>
      </c>
      <c r="AK51">
        <v>25.666666666666671</v>
      </c>
      <c r="AL51" t="s">
        <v>435</v>
      </c>
      <c r="AM51">
        <v>20737.653481806039</v>
      </c>
      <c r="AN51">
        <v>1.74</v>
      </c>
      <c r="AO51">
        <v>0.09</v>
      </c>
      <c r="AP51">
        <v>0.19</v>
      </c>
      <c r="AQ51">
        <v>1.45</v>
      </c>
      <c r="AR51">
        <v>1.29</v>
      </c>
      <c r="AS51">
        <v>0.13</v>
      </c>
      <c r="AT51">
        <v>0.04</v>
      </c>
      <c r="AU51">
        <v>0.02</v>
      </c>
      <c r="AV51">
        <v>3.01</v>
      </c>
      <c r="AW51">
        <v>2.02</v>
      </c>
      <c r="AX51">
        <v>0.21</v>
      </c>
      <c r="AY51">
        <v>0.53</v>
      </c>
      <c r="AZ51">
        <v>0</v>
      </c>
      <c r="BA51">
        <v>1.37</v>
      </c>
      <c r="BB51">
        <v>0.24</v>
      </c>
      <c r="BC51">
        <v>0.41</v>
      </c>
      <c r="BD51">
        <v>0.27</v>
      </c>
      <c r="BE51">
        <v>15.79</v>
      </c>
      <c r="BF51">
        <v>15.1</v>
      </c>
      <c r="BG51">
        <v>0.24</v>
      </c>
      <c r="BH51">
        <v>0.45</v>
      </c>
      <c r="BI51">
        <v>0</v>
      </c>
      <c r="BJ51">
        <v>0.11</v>
      </c>
      <c r="BK51">
        <v>14.98</v>
      </c>
      <c r="BL51">
        <v>0</v>
      </c>
      <c r="BM51">
        <v>2.41</v>
      </c>
      <c r="BN51">
        <v>0.21</v>
      </c>
      <c r="BO51">
        <v>0.46</v>
      </c>
      <c r="BP51">
        <v>1.74</v>
      </c>
      <c r="BQ51">
        <v>1.27</v>
      </c>
      <c r="BR51">
        <v>0.17</v>
      </c>
      <c r="BS51">
        <v>0.3</v>
      </c>
      <c r="BT51">
        <v>0</v>
      </c>
      <c r="BU51">
        <v>16.239999999999998</v>
      </c>
      <c r="BV51">
        <v>15.18</v>
      </c>
      <c r="BW51">
        <v>0.34</v>
      </c>
      <c r="BX51">
        <v>0.72</v>
      </c>
      <c r="BY51">
        <v>0</v>
      </c>
      <c r="BZ51">
        <v>0.11</v>
      </c>
      <c r="CA51">
        <v>15.07</v>
      </c>
      <c r="CB51">
        <v>0</v>
      </c>
      <c r="CC51">
        <f t="shared" si="0"/>
        <v>2.75</v>
      </c>
      <c r="CD51">
        <v>3.96</v>
      </c>
      <c r="CE51">
        <v>0.34230769230769231</v>
      </c>
      <c r="CF51">
        <v>0.44500000000000001</v>
      </c>
      <c r="CG51">
        <v>0.1492537313432836</v>
      </c>
      <c r="CH51">
        <v>0.1423076923076923</v>
      </c>
      <c r="CI51">
        <v>0</v>
      </c>
      <c r="CJ51">
        <v>22545</v>
      </c>
      <c r="CK51" t="s">
        <v>169</v>
      </c>
      <c r="CL51" t="s">
        <v>430</v>
      </c>
      <c r="CM51" t="s">
        <v>143</v>
      </c>
      <c r="CN51">
        <v>7.7877376432400003E-2</v>
      </c>
      <c r="CO51">
        <v>48.856165052197781</v>
      </c>
      <c r="CP51">
        <v>50</v>
      </c>
      <c r="CQ51" t="s">
        <v>436</v>
      </c>
      <c r="CR51">
        <v>174</v>
      </c>
      <c r="CS51" t="s">
        <v>313</v>
      </c>
      <c r="CT51" t="s">
        <v>314</v>
      </c>
      <c r="CU51" t="s">
        <v>315</v>
      </c>
      <c r="CV51" t="s">
        <v>316</v>
      </c>
      <c r="CW51" t="s">
        <v>317</v>
      </c>
      <c r="CX51" t="s">
        <v>318</v>
      </c>
      <c r="CY51" t="s">
        <v>317</v>
      </c>
      <c r="CZ51" t="s">
        <v>319</v>
      </c>
      <c r="DA51" t="s">
        <v>152</v>
      </c>
      <c r="DB51" t="s">
        <v>178</v>
      </c>
      <c r="DC51" t="s">
        <v>320</v>
      </c>
      <c r="DD51" t="s">
        <v>180</v>
      </c>
      <c r="DE51">
        <v>51</v>
      </c>
      <c r="DF51">
        <v>-118.161213</v>
      </c>
      <c r="DG51">
        <v>33.886425000000003</v>
      </c>
      <c r="DH51">
        <v>4000</v>
      </c>
      <c r="DI51">
        <v>1000</v>
      </c>
      <c r="DL51">
        <v>30</v>
      </c>
      <c r="DM51">
        <v>22</v>
      </c>
      <c r="DN51">
        <v>35</v>
      </c>
      <c r="DO51">
        <v>400</v>
      </c>
      <c r="DP51">
        <v>10</v>
      </c>
      <c r="DQ51">
        <v>2300</v>
      </c>
      <c r="DR51" t="s">
        <v>321</v>
      </c>
      <c r="DS51" t="s">
        <v>322</v>
      </c>
      <c r="DT51">
        <v>1.2500000000000001E-2</v>
      </c>
      <c r="DU51">
        <v>1.2500000000000001E-2</v>
      </c>
      <c r="DV51">
        <v>0.32500000000000001</v>
      </c>
      <c r="DW51">
        <v>0.32500000000000001</v>
      </c>
      <c r="DX51">
        <v>0.32500000000000001</v>
      </c>
      <c r="DY51">
        <v>0</v>
      </c>
      <c r="DZ51" s="4">
        <v>5.3979999999999997</v>
      </c>
      <c r="EA51" s="4" t="s">
        <v>432</v>
      </c>
      <c r="EB51" s="4" t="s">
        <v>433</v>
      </c>
      <c r="EC51">
        <v>6.4850000000000003</v>
      </c>
      <c r="ED51">
        <v>338</v>
      </c>
      <c r="EE51" t="s">
        <v>435</v>
      </c>
      <c r="EF51">
        <v>0.1590877031777013</v>
      </c>
      <c r="EH51">
        <f t="shared" si="1"/>
        <v>0.58000000000000007</v>
      </c>
      <c r="EI51">
        <v>3.38</v>
      </c>
      <c r="EJ51">
        <v>3.65</v>
      </c>
    </row>
    <row r="52" spans="1:140" x14ac:dyDescent="0.35">
      <c r="A52" s="1">
        <v>50</v>
      </c>
      <c r="B52">
        <v>-116.6775099979601</v>
      </c>
      <c r="C52">
        <v>33.162943398976488</v>
      </c>
      <c r="D52" t="s">
        <v>437</v>
      </c>
      <c r="E52">
        <v>0.1</v>
      </c>
      <c r="F52" t="s">
        <v>135</v>
      </c>
      <c r="G52">
        <v>7.1599999999999997E-2</v>
      </c>
      <c r="H52" t="s">
        <v>161</v>
      </c>
      <c r="I52">
        <v>-12988481</v>
      </c>
      <c r="J52">
        <v>3916952</v>
      </c>
      <c r="K52" t="s">
        <v>427</v>
      </c>
      <c r="L52" t="s">
        <v>438</v>
      </c>
      <c r="M52">
        <v>37</v>
      </c>
      <c r="N52">
        <v>5.4539999999999997</v>
      </c>
      <c r="O52">
        <v>4</v>
      </c>
      <c r="P52">
        <v>9</v>
      </c>
      <c r="Q52">
        <v>6</v>
      </c>
      <c r="R52">
        <v>73</v>
      </c>
      <c r="S52">
        <v>3298635</v>
      </c>
      <c r="T52" t="s">
        <v>315</v>
      </c>
      <c r="U52">
        <v>8.1439147775781446</v>
      </c>
      <c r="V52" t="s">
        <v>427</v>
      </c>
      <c r="W52">
        <v>0.27039999999999997</v>
      </c>
      <c r="X52">
        <v>10</v>
      </c>
      <c r="Y52">
        <v>8.9</v>
      </c>
      <c r="Z52">
        <v>8.9</v>
      </c>
      <c r="AA52">
        <v>20</v>
      </c>
      <c r="AB52">
        <v>26</v>
      </c>
      <c r="AC52">
        <v>0.40699999999999997</v>
      </c>
      <c r="AD52">
        <v>67</v>
      </c>
      <c r="AE52">
        <v>6.4685314685314674E-2</v>
      </c>
      <c r="AF52">
        <v>2.86</v>
      </c>
      <c r="AG52" t="s">
        <v>315</v>
      </c>
      <c r="AH52" t="s">
        <v>427</v>
      </c>
      <c r="AI52">
        <v>77</v>
      </c>
      <c r="AJ52">
        <v>2.5666666666666671E-2</v>
      </c>
      <c r="AK52">
        <v>25.666666666666671</v>
      </c>
      <c r="AL52" t="s">
        <v>439</v>
      </c>
      <c r="AM52">
        <v>0</v>
      </c>
      <c r="AN52">
        <v>1.74</v>
      </c>
      <c r="AO52">
        <v>0.09</v>
      </c>
      <c r="AP52">
        <v>0.19</v>
      </c>
      <c r="AQ52">
        <v>1.45</v>
      </c>
      <c r="AR52">
        <v>1.29</v>
      </c>
      <c r="AS52">
        <v>0.13</v>
      </c>
      <c r="AT52">
        <v>0.04</v>
      </c>
      <c r="AU52">
        <v>0.02</v>
      </c>
      <c r="AV52">
        <v>3.01</v>
      </c>
      <c r="AW52">
        <v>2.02</v>
      </c>
      <c r="AX52">
        <v>0.21</v>
      </c>
      <c r="AY52">
        <v>0.53</v>
      </c>
      <c r="AZ52">
        <v>0</v>
      </c>
      <c r="BA52">
        <v>1.37</v>
      </c>
      <c r="BB52">
        <v>0.24</v>
      </c>
      <c r="BC52">
        <v>0.41</v>
      </c>
      <c r="BD52">
        <v>0.27</v>
      </c>
      <c r="BE52">
        <v>15.79</v>
      </c>
      <c r="BF52">
        <v>15.1</v>
      </c>
      <c r="BG52">
        <v>0.24</v>
      </c>
      <c r="BH52">
        <v>0.45</v>
      </c>
      <c r="BI52">
        <v>0</v>
      </c>
      <c r="BJ52">
        <v>0.11</v>
      </c>
      <c r="BK52">
        <v>14.98</v>
      </c>
      <c r="BL52">
        <v>0</v>
      </c>
      <c r="BM52">
        <v>2.41</v>
      </c>
      <c r="BN52">
        <v>0.21</v>
      </c>
      <c r="BO52">
        <v>0.46</v>
      </c>
      <c r="BP52">
        <v>1.74</v>
      </c>
      <c r="BQ52">
        <v>1.27</v>
      </c>
      <c r="BR52">
        <v>0.17</v>
      </c>
      <c r="BS52">
        <v>0.3</v>
      </c>
      <c r="BT52">
        <v>0</v>
      </c>
      <c r="BU52">
        <v>16.239999999999998</v>
      </c>
      <c r="BV52">
        <v>15.18</v>
      </c>
      <c r="BW52">
        <v>0.34</v>
      </c>
      <c r="BX52">
        <v>0.72</v>
      </c>
      <c r="BY52">
        <v>0</v>
      </c>
      <c r="BZ52">
        <v>0.11</v>
      </c>
      <c r="CA52">
        <v>15.07</v>
      </c>
      <c r="CB52">
        <v>0</v>
      </c>
      <c r="CC52">
        <f t="shared" si="0"/>
        <v>2.75</v>
      </c>
      <c r="CD52">
        <v>3.96</v>
      </c>
      <c r="CE52">
        <v>0.34230769230769231</v>
      </c>
      <c r="CF52">
        <v>0.44500000000000001</v>
      </c>
      <c r="CG52">
        <v>0.1492537313432836</v>
      </c>
      <c r="CH52">
        <v>0.1423076923076923</v>
      </c>
      <c r="CI52">
        <v>0</v>
      </c>
      <c r="CJ52">
        <v>572</v>
      </c>
      <c r="CK52" t="s">
        <v>169</v>
      </c>
      <c r="CL52" t="s">
        <v>440</v>
      </c>
      <c r="CM52" t="s">
        <v>143</v>
      </c>
      <c r="CN52">
        <v>0.72688526246700003</v>
      </c>
      <c r="CO52">
        <v>25.828616236601668</v>
      </c>
      <c r="CP52">
        <v>51</v>
      </c>
      <c r="CQ52" t="s">
        <v>312</v>
      </c>
      <c r="CR52">
        <v>174</v>
      </c>
      <c r="CS52" t="s">
        <v>313</v>
      </c>
      <c r="CT52" t="s">
        <v>314</v>
      </c>
      <c r="CU52" t="s">
        <v>315</v>
      </c>
      <c r="CV52" t="s">
        <v>316</v>
      </c>
      <c r="CW52" t="s">
        <v>317</v>
      </c>
      <c r="CX52" t="s">
        <v>318</v>
      </c>
      <c r="CY52" t="s">
        <v>317</v>
      </c>
      <c r="CZ52" t="s">
        <v>319</v>
      </c>
      <c r="DA52" t="s">
        <v>152</v>
      </c>
      <c r="DB52" t="s">
        <v>178</v>
      </c>
      <c r="DC52" t="s">
        <v>320</v>
      </c>
      <c r="DD52" t="s">
        <v>180</v>
      </c>
      <c r="DE52">
        <v>51</v>
      </c>
      <c r="DF52">
        <v>-118.161213</v>
      </c>
      <c r="DG52">
        <v>33.886425000000003</v>
      </c>
      <c r="DH52">
        <v>4000</v>
      </c>
      <c r="DI52">
        <v>1000</v>
      </c>
      <c r="DL52">
        <v>30</v>
      </c>
      <c r="DM52">
        <v>22</v>
      </c>
      <c r="DN52">
        <v>35</v>
      </c>
      <c r="DO52">
        <v>400</v>
      </c>
      <c r="DP52">
        <v>10</v>
      </c>
      <c r="DQ52">
        <v>2300</v>
      </c>
      <c r="DR52" t="s">
        <v>321</v>
      </c>
      <c r="DS52" t="s">
        <v>322</v>
      </c>
      <c r="DT52">
        <v>1.2500000000000001E-2</v>
      </c>
      <c r="DU52">
        <v>1.2500000000000001E-2</v>
      </c>
      <c r="DV52">
        <v>0.32500000000000001</v>
      </c>
      <c r="DW52">
        <v>0.32500000000000001</v>
      </c>
      <c r="DX52">
        <v>0.32500000000000001</v>
      </c>
      <c r="DY52">
        <v>20.558610843522398</v>
      </c>
      <c r="DZ52" s="4">
        <v>5.3979999999999997</v>
      </c>
      <c r="EA52" s="4" t="s">
        <v>432</v>
      </c>
      <c r="EB52" s="4" t="s">
        <v>433</v>
      </c>
      <c r="EC52">
        <v>6.4850000000000003</v>
      </c>
      <c r="ED52">
        <v>5</v>
      </c>
      <c r="EE52" t="s">
        <v>439</v>
      </c>
      <c r="EF52">
        <v>0</v>
      </c>
      <c r="EH52">
        <f t="shared" si="1"/>
        <v>0.58000000000000007</v>
      </c>
      <c r="EI52">
        <v>3.38</v>
      </c>
      <c r="EJ52">
        <v>3.65</v>
      </c>
    </row>
    <row r="53" spans="1:140" x14ac:dyDescent="0.35">
      <c r="A53" s="1">
        <v>51</v>
      </c>
      <c r="B53">
        <v>-114.88087942972101</v>
      </c>
      <c r="C53">
        <v>33.162943398976488</v>
      </c>
      <c r="D53" t="s">
        <v>441</v>
      </c>
      <c r="E53">
        <v>0.1</v>
      </c>
      <c r="F53" t="s">
        <v>135</v>
      </c>
      <c r="G53">
        <v>7.1599999999999997E-2</v>
      </c>
      <c r="H53" t="s">
        <v>161</v>
      </c>
      <c r="I53">
        <v>-12788481</v>
      </c>
      <c r="J53">
        <v>3916952</v>
      </c>
      <c r="K53" t="s">
        <v>427</v>
      </c>
      <c r="L53" t="s">
        <v>442</v>
      </c>
      <c r="M53">
        <v>13</v>
      </c>
      <c r="N53">
        <v>5.1779999999999999</v>
      </c>
      <c r="O53">
        <v>4</v>
      </c>
      <c r="P53">
        <v>9</v>
      </c>
      <c r="Q53">
        <v>6</v>
      </c>
      <c r="R53">
        <v>25</v>
      </c>
      <c r="S53">
        <v>179709</v>
      </c>
      <c r="T53" t="s">
        <v>315</v>
      </c>
      <c r="U53">
        <v>8.1439147775781446</v>
      </c>
      <c r="V53" t="s">
        <v>427</v>
      </c>
      <c r="W53">
        <v>0.27039999999999997</v>
      </c>
      <c r="X53">
        <v>10</v>
      </c>
      <c r="Y53">
        <v>8.9</v>
      </c>
      <c r="Z53">
        <v>8.9</v>
      </c>
      <c r="AA53">
        <v>20</v>
      </c>
      <c r="AB53">
        <v>26</v>
      </c>
      <c r="AC53">
        <v>0.40699999999999997</v>
      </c>
      <c r="AD53">
        <v>67</v>
      </c>
      <c r="AE53">
        <v>6.4685314685314674E-2</v>
      </c>
      <c r="AF53">
        <v>2.86</v>
      </c>
      <c r="AG53" t="s">
        <v>315</v>
      </c>
      <c r="AH53" t="s">
        <v>427</v>
      </c>
      <c r="AI53">
        <v>77</v>
      </c>
      <c r="AJ53">
        <v>2.5666666666666671E-2</v>
      </c>
      <c r="AK53">
        <v>25.666666666666671</v>
      </c>
      <c r="AL53" t="s">
        <v>443</v>
      </c>
      <c r="AM53">
        <v>0</v>
      </c>
      <c r="AN53">
        <v>1.74</v>
      </c>
      <c r="AO53">
        <v>0.09</v>
      </c>
      <c r="AP53">
        <v>0.19</v>
      </c>
      <c r="AQ53">
        <v>1.45</v>
      </c>
      <c r="AR53">
        <v>1.29</v>
      </c>
      <c r="AS53">
        <v>0.13</v>
      </c>
      <c r="AT53">
        <v>0.04</v>
      </c>
      <c r="AU53">
        <v>0.02</v>
      </c>
      <c r="AV53">
        <v>3.01</v>
      </c>
      <c r="AW53">
        <v>2.02</v>
      </c>
      <c r="AX53">
        <v>0.21</v>
      </c>
      <c r="AY53">
        <v>0.53</v>
      </c>
      <c r="AZ53">
        <v>0</v>
      </c>
      <c r="BA53">
        <v>1.37</v>
      </c>
      <c r="BB53">
        <v>0.24</v>
      </c>
      <c r="BC53">
        <v>0.41</v>
      </c>
      <c r="BD53">
        <v>0.27</v>
      </c>
      <c r="BE53">
        <v>15.79</v>
      </c>
      <c r="BF53">
        <v>15.1</v>
      </c>
      <c r="BG53">
        <v>0.24</v>
      </c>
      <c r="BH53">
        <v>0.45</v>
      </c>
      <c r="BI53">
        <v>0</v>
      </c>
      <c r="BJ53">
        <v>0.11</v>
      </c>
      <c r="BK53">
        <v>14.98</v>
      </c>
      <c r="BL53">
        <v>0</v>
      </c>
      <c r="BM53">
        <v>2.41</v>
      </c>
      <c r="BN53">
        <v>0.21</v>
      </c>
      <c r="BO53">
        <v>0.46</v>
      </c>
      <c r="BP53">
        <v>1.74</v>
      </c>
      <c r="BQ53">
        <v>1.27</v>
      </c>
      <c r="BR53">
        <v>0.17</v>
      </c>
      <c r="BS53">
        <v>0.3</v>
      </c>
      <c r="BT53">
        <v>0</v>
      </c>
      <c r="BU53">
        <v>16.239999999999998</v>
      </c>
      <c r="BV53">
        <v>15.18</v>
      </c>
      <c r="BW53">
        <v>0.34</v>
      </c>
      <c r="BX53">
        <v>0.72</v>
      </c>
      <c r="BY53">
        <v>0</v>
      </c>
      <c r="BZ53">
        <v>0.11</v>
      </c>
      <c r="CA53">
        <v>15.07</v>
      </c>
      <c r="CB53">
        <v>0</v>
      </c>
      <c r="CC53">
        <f t="shared" si="0"/>
        <v>2.75</v>
      </c>
      <c r="CD53">
        <v>3.96</v>
      </c>
      <c r="CE53">
        <v>0.34230769230769231</v>
      </c>
      <c r="CF53">
        <v>0.44500000000000001</v>
      </c>
      <c r="CG53">
        <v>0.1492537313432836</v>
      </c>
      <c r="CH53">
        <v>0.1423076923076923</v>
      </c>
      <c r="CI53">
        <v>0</v>
      </c>
      <c r="CJ53">
        <v>11556</v>
      </c>
      <c r="CK53" t="s">
        <v>141</v>
      </c>
      <c r="CL53" t="s">
        <v>444</v>
      </c>
      <c r="CM53" t="s">
        <v>143</v>
      </c>
      <c r="CN53">
        <v>1.1067094667199999</v>
      </c>
      <c r="CO53">
        <v>1.122154267044235</v>
      </c>
      <c r="CP53">
        <v>52</v>
      </c>
      <c r="CQ53" t="s">
        <v>445</v>
      </c>
      <c r="CR53">
        <v>174</v>
      </c>
      <c r="CS53" t="s">
        <v>313</v>
      </c>
      <c r="CT53" t="s">
        <v>314</v>
      </c>
      <c r="CU53" t="s">
        <v>315</v>
      </c>
      <c r="CV53" t="s">
        <v>316</v>
      </c>
      <c r="CW53" t="s">
        <v>317</v>
      </c>
      <c r="CX53" t="s">
        <v>318</v>
      </c>
      <c r="CY53" t="s">
        <v>317</v>
      </c>
      <c r="CZ53" t="s">
        <v>319</v>
      </c>
      <c r="DA53" t="s">
        <v>152</v>
      </c>
      <c r="DB53" t="s">
        <v>178</v>
      </c>
      <c r="DC53" t="s">
        <v>320</v>
      </c>
      <c r="DD53" t="s">
        <v>180</v>
      </c>
      <c r="DE53">
        <v>51</v>
      </c>
      <c r="DF53">
        <v>-118.161213</v>
      </c>
      <c r="DG53">
        <v>33.886425000000003</v>
      </c>
      <c r="DH53">
        <v>4000</v>
      </c>
      <c r="DI53">
        <v>1000</v>
      </c>
      <c r="DL53">
        <v>30</v>
      </c>
      <c r="DM53">
        <v>22</v>
      </c>
      <c r="DN53">
        <v>35</v>
      </c>
      <c r="DO53">
        <v>400</v>
      </c>
      <c r="DP53">
        <v>10</v>
      </c>
      <c r="DQ53">
        <v>2300</v>
      </c>
      <c r="DR53" t="s">
        <v>321</v>
      </c>
      <c r="DS53" t="s">
        <v>322</v>
      </c>
      <c r="DT53">
        <v>1.2500000000000001E-2</v>
      </c>
      <c r="DU53">
        <v>1.2500000000000001E-2</v>
      </c>
      <c r="DV53">
        <v>0.32500000000000001</v>
      </c>
      <c r="DW53">
        <v>0.32500000000000001</v>
      </c>
      <c r="DX53">
        <v>0.32500000000000001</v>
      </c>
      <c r="DY53">
        <v>4.1007322668313853</v>
      </c>
      <c r="DZ53" s="4">
        <v>5.3979999999999997</v>
      </c>
      <c r="EA53" s="4" t="s">
        <v>432</v>
      </c>
      <c r="EB53" s="4" t="s">
        <v>433</v>
      </c>
      <c r="EC53">
        <v>6.4850000000000003</v>
      </c>
      <c r="ED53">
        <v>850</v>
      </c>
      <c r="EE53" t="s">
        <v>443</v>
      </c>
      <c r="EF53">
        <v>0</v>
      </c>
      <c r="EH53">
        <f t="shared" si="1"/>
        <v>0.58000000000000007</v>
      </c>
      <c r="EI53">
        <v>3.38</v>
      </c>
      <c r="EJ53">
        <v>3.65</v>
      </c>
    </row>
    <row r="54" spans="1:140" x14ac:dyDescent="0.35">
      <c r="A54" s="1">
        <v>52</v>
      </c>
      <c r="B54">
        <v>-113.084248861482</v>
      </c>
      <c r="C54">
        <v>33.162943398976488</v>
      </c>
      <c r="D54" t="s">
        <v>446</v>
      </c>
      <c r="E54">
        <v>0.1</v>
      </c>
      <c r="F54" t="s">
        <v>306</v>
      </c>
      <c r="G54">
        <v>7.1599999999999997E-2</v>
      </c>
      <c r="H54" t="s">
        <v>161</v>
      </c>
      <c r="I54">
        <v>-12588481</v>
      </c>
      <c r="J54">
        <v>3916952</v>
      </c>
      <c r="K54" t="s">
        <v>307</v>
      </c>
      <c r="L54" t="s">
        <v>447</v>
      </c>
      <c r="M54">
        <v>8</v>
      </c>
      <c r="N54">
        <v>3.7959999999999998</v>
      </c>
      <c r="O54">
        <v>4</v>
      </c>
      <c r="P54">
        <v>8</v>
      </c>
      <c r="Q54">
        <v>4</v>
      </c>
      <c r="R54">
        <v>13</v>
      </c>
      <c r="S54">
        <v>4420574</v>
      </c>
      <c r="T54" t="s">
        <v>309</v>
      </c>
      <c r="U54">
        <v>6.5998399715504972</v>
      </c>
      <c r="V54" t="s">
        <v>307</v>
      </c>
      <c r="W54">
        <v>0.12740000000000001</v>
      </c>
      <c r="X54">
        <v>10</v>
      </c>
      <c r="Y54">
        <v>8.9</v>
      </c>
      <c r="Z54">
        <v>8.9</v>
      </c>
      <c r="AA54">
        <v>20</v>
      </c>
      <c r="AB54">
        <v>26</v>
      </c>
      <c r="AC54">
        <v>0.63400000000000001</v>
      </c>
      <c r="AD54">
        <v>67</v>
      </c>
      <c r="AE54">
        <v>0.1007628734901462</v>
      </c>
      <c r="AF54">
        <v>2.86</v>
      </c>
      <c r="AG54" t="s">
        <v>309</v>
      </c>
      <c r="AH54" t="s">
        <v>307</v>
      </c>
      <c r="AI54">
        <v>64</v>
      </c>
      <c r="AJ54">
        <v>2.1333333333333329E-2</v>
      </c>
      <c r="AK54">
        <v>21.333333333333329</v>
      </c>
      <c r="AL54" t="s">
        <v>448</v>
      </c>
      <c r="AM54">
        <v>0</v>
      </c>
      <c r="AN54">
        <v>1.43</v>
      </c>
      <c r="AO54">
        <v>0.09</v>
      </c>
      <c r="AP54">
        <v>0.19</v>
      </c>
      <c r="AQ54">
        <v>1.1499999999999999</v>
      </c>
      <c r="AR54">
        <v>1.04</v>
      </c>
      <c r="AS54">
        <v>0.09</v>
      </c>
      <c r="AT54">
        <v>0.02</v>
      </c>
      <c r="AU54">
        <v>0.02</v>
      </c>
      <c r="AV54">
        <v>2.46</v>
      </c>
      <c r="AW54">
        <v>1.47</v>
      </c>
      <c r="AX54">
        <v>0.21</v>
      </c>
      <c r="AY54">
        <v>0.53</v>
      </c>
      <c r="AZ54">
        <v>0</v>
      </c>
      <c r="BA54">
        <v>1.1100000000000001</v>
      </c>
      <c r="BB54">
        <v>0.16</v>
      </c>
      <c r="BC54">
        <v>0.2</v>
      </c>
      <c r="BD54">
        <v>0.27</v>
      </c>
      <c r="BE54">
        <v>7.98</v>
      </c>
      <c r="BF54">
        <v>7.29</v>
      </c>
      <c r="BG54">
        <v>0.24</v>
      </c>
      <c r="BH54">
        <v>0.45</v>
      </c>
      <c r="BI54">
        <v>0</v>
      </c>
      <c r="BJ54">
        <v>0.08</v>
      </c>
      <c r="BK54">
        <v>7.21</v>
      </c>
      <c r="BL54">
        <v>0</v>
      </c>
      <c r="BM54">
        <v>1.96</v>
      </c>
      <c r="BN54">
        <v>0.21</v>
      </c>
      <c r="BO54">
        <v>0.46</v>
      </c>
      <c r="BP54">
        <v>1.29</v>
      </c>
      <c r="BQ54">
        <v>1.03</v>
      </c>
      <c r="BR54">
        <v>0.12</v>
      </c>
      <c r="BS54">
        <v>0.14000000000000001</v>
      </c>
      <c r="BT54">
        <v>0</v>
      </c>
      <c r="BU54">
        <v>8.39</v>
      </c>
      <c r="BV54">
        <v>7.33</v>
      </c>
      <c r="BW54">
        <v>0.34</v>
      </c>
      <c r="BX54">
        <v>0.72</v>
      </c>
      <c r="BY54">
        <v>0</v>
      </c>
      <c r="BZ54">
        <v>0.08</v>
      </c>
      <c r="CA54">
        <v>7.25</v>
      </c>
      <c r="CB54">
        <v>0</v>
      </c>
      <c r="CC54">
        <f t="shared" si="0"/>
        <v>2.75</v>
      </c>
      <c r="CD54">
        <v>3.96</v>
      </c>
      <c r="CE54">
        <v>0.34230769230769231</v>
      </c>
      <c r="CF54">
        <v>0.44500000000000001</v>
      </c>
      <c r="CG54">
        <v>0.1492537313432836</v>
      </c>
      <c r="CH54">
        <v>0.22167832167832169</v>
      </c>
      <c r="CI54">
        <v>0</v>
      </c>
      <c r="CJ54">
        <v>1669</v>
      </c>
      <c r="CK54" t="s">
        <v>141</v>
      </c>
      <c r="CL54" t="s">
        <v>311</v>
      </c>
      <c r="CM54" t="s">
        <v>143</v>
      </c>
      <c r="CN54">
        <v>0.38133530951099998</v>
      </c>
      <c r="CO54">
        <v>15.5749474057278</v>
      </c>
      <c r="CP54">
        <v>53</v>
      </c>
      <c r="CQ54" t="s">
        <v>449</v>
      </c>
      <c r="CR54">
        <v>174</v>
      </c>
      <c r="CS54" t="s">
        <v>313</v>
      </c>
      <c r="CT54" t="s">
        <v>314</v>
      </c>
      <c r="CU54" t="s">
        <v>315</v>
      </c>
      <c r="CV54" t="s">
        <v>316</v>
      </c>
      <c r="CW54" t="s">
        <v>317</v>
      </c>
      <c r="CX54" t="s">
        <v>318</v>
      </c>
      <c r="CY54" t="s">
        <v>317</v>
      </c>
      <c r="CZ54" t="s">
        <v>319</v>
      </c>
      <c r="DA54" t="s">
        <v>152</v>
      </c>
      <c r="DB54" t="s">
        <v>178</v>
      </c>
      <c r="DC54" t="s">
        <v>320</v>
      </c>
      <c r="DD54" t="s">
        <v>180</v>
      </c>
      <c r="DE54">
        <v>51</v>
      </c>
      <c r="DF54">
        <v>-118.161213</v>
      </c>
      <c r="DG54">
        <v>33.886425000000003</v>
      </c>
      <c r="DH54">
        <v>4000</v>
      </c>
      <c r="DI54">
        <v>1000</v>
      </c>
      <c r="DL54">
        <v>30</v>
      </c>
      <c r="DM54">
        <v>22</v>
      </c>
      <c r="DN54">
        <v>35</v>
      </c>
      <c r="DO54">
        <v>400</v>
      </c>
      <c r="DP54">
        <v>10</v>
      </c>
      <c r="DQ54">
        <v>2300</v>
      </c>
      <c r="DR54" t="s">
        <v>321</v>
      </c>
      <c r="DS54" t="s">
        <v>322</v>
      </c>
      <c r="DT54">
        <v>1.2500000000000001E-2</v>
      </c>
      <c r="DU54">
        <v>1.2500000000000001E-2</v>
      </c>
      <c r="DV54">
        <v>0.32500000000000001</v>
      </c>
      <c r="DW54">
        <v>0.32500000000000001</v>
      </c>
      <c r="DX54">
        <v>0.32500000000000001</v>
      </c>
      <c r="DY54">
        <v>104.6791450974973</v>
      </c>
      <c r="DZ54" s="4">
        <v>3.9140000000000001</v>
      </c>
      <c r="EA54" s="4" t="s">
        <v>323</v>
      </c>
      <c r="EB54" s="4" t="s">
        <v>324</v>
      </c>
      <c r="EC54">
        <v>4.8630000000000004</v>
      </c>
      <c r="ED54">
        <v>440</v>
      </c>
      <c r="EE54" t="s">
        <v>448</v>
      </c>
      <c r="EF54">
        <v>0</v>
      </c>
      <c r="EH54">
        <f t="shared" si="1"/>
        <v>0.58000000000000007</v>
      </c>
      <c r="EI54">
        <v>3.38</v>
      </c>
      <c r="EJ54">
        <v>3.65</v>
      </c>
    </row>
    <row r="55" spans="1:140" x14ac:dyDescent="0.35">
      <c r="A55" s="1">
        <v>53</v>
      </c>
      <c r="B55">
        <v>-111.2876182932429</v>
      </c>
      <c r="C55">
        <v>33.162943398976488</v>
      </c>
      <c r="D55" t="s">
        <v>450</v>
      </c>
      <c r="E55">
        <v>0.1</v>
      </c>
      <c r="F55" t="s">
        <v>306</v>
      </c>
      <c r="G55">
        <v>0.16109999999999999</v>
      </c>
      <c r="H55" t="s">
        <v>161</v>
      </c>
      <c r="I55">
        <v>-12388481</v>
      </c>
      <c r="J55">
        <v>3916952</v>
      </c>
      <c r="K55" t="s">
        <v>307</v>
      </c>
      <c r="L55" t="s">
        <v>451</v>
      </c>
      <c r="M55">
        <v>12</v>
      </c>
      <c r="N55">
        <v>3.7440000000000002</v>
      </c>
      <c r="O55">
        <v>4</v>
      </c>
      <c r="P55">
        <v>8</v>
      </c>
      <c r="Q55">
        <v>4</v>
      </c>
      <c r="R55">
        <v>21</v>
      </c>
      <c r="S55">
        <v>425257</v>
      </c>
      <c r="T55" t="s">
        <v>309</v>
      </c>
      <c r="U55">
        <v>6.5998399715504972</v>
      </c>
      <c r="V55" t="s">
        <v>307</v>
      </c>
      <c r="W55">
        <v>0.12740000000000001</v>
      </c>
      <c r="X55">
        <v>10</v>
      </c>
      <c r="Y55">
        <v>8.9</v>
      </c>
      <c r="Z55">
        <v>8.9</v>
      </c>
      <c r="AA55">
        <v>20</v>
      </c>
      <c r="AB55">
        <v>26</v>
      </c>
      <c r="AC55">
        <v>0.63400000000000001</v>
      </c>
      <c r="AD55">
        <v>67</v>
      </c>
      <c r="AE55">
        <v>0.1007628734901462</v>
      </c>
      <c r="AF55">
        <v>2.86</v>
      </c>
      <c r="AG55" t="s">
        <v>309</v>
      </c>
      <c r="AH55" t="s">
        <v>307</v>
      </c>
      <c r="AI55">
        <v>64</v>
      </c>
      <c r="AJ55">
        <v>2.1333333333333329E-2</v>
      </c>
      <c r="AK55">
        <v>21.333333333333329</v>
      </c>
      <c r="AL55" t="s">
        <v>448</v>
      </c>
      <c r="AM55">
        <v>0</v>
      </c>
      <c r="AN55">
        <v>1.43</v>
      </c>
      <c r="AO55">
        <v>0.09</v>
      </c>
      <c r="AP55">
        <v>0.19</v>
      </c>
      <c r="AQ55">
        <v>1.1499999999999999</v>
      </c>
      <c r="AR55">
        <v>1.04</v>
      </c>
      <c r="AS55">
        <v>0.09</v>
      </c>
      <c r="AT55">
        <v>0.02</v>
      </c>
      <c r="AU55">
        <v>0.02</v>
      </c>
      <c r="AV55">
        <v>2.46</v>
      </c>
      <c r="AW55">
        <v>1.47</v>
      </c>
      <c r="AX55">
        <v>0.21</v>
      </c>
      <c r="AY55">
        <v>0.53</v>
      </c>
      <c r="AZ55">
        <v>0</v>
      </c>
      <c r="BA55">
        <v>1.1100000000000001</v>
      </c>
      <c r="BB55">
        <v>0.16</v>
      </c>
      <c r="BC55">
        <v>0.2</v>
      </c>
      <c r="BD55">
        <v>0.27</v>
      </c>
      <c r="BE55">
        <v>7.98</v>
      </c>
      <c r="BF55">
        <v>7.29</v>
      </c>
      <c r="BG55">
        <v>0.24</v>
      </c>
      <c r="BH55">
        <v>0.45</v>
      </c>
      <c r="BI55">
        <v>0</v>
      </c>
      <c r="BJ55">
        <v>0.08</v>
      </c>
      <c r="BK55">
        <v>7.21</v>
      </c>
      <c r="BL55">
        <v>0</v>
      </c>
      <c r="BM55">
        <v>1.96</v>
      </c>
      <c r="BN55">
        <v>0.21</v>
      </c>
      <c r="BO55">
        <v>0.46</v>
      </c>
      <c r="BP55">
        <v>1.29</v>
      </c>
      <c r="BQ55">
        <v>1.03</v>
      </c>
      <c r="BR55">
        <v>0.12</v>
      </c>
      <c r="BS55">
        <v>0.14000000000000001</v>
      </c>
      <c r="BT55">
        <v>0</v>
      </c>
      <c r="BU55">
        <v>8.39</v>
      </c>
      <c r="BV55">
        <v>7.33</v>
      </c>
      <c r="BW55">
        <v>0.34</v>
      </c>
      <c r="BX55">
        <v>0.72</v>
      </c>
      <c r="BY55">
        <v>0</v>
      </c>
      <c r="BZ55">
        <v>0.08</v>
      </c>
      <c r="CA55">
        <v>7.25</v>
      </c>
      <c r="CB55">
        <v>0</v>
      </c>
      <c r="CC55">
        <f t="shared" si="0"/>
        <v>2.75</v>
      </c>
      <c r="CD55">
        <v>3.96</v>
      </c>
      <c r="CE55">
        <v>0.34230769230769231</v>
      </c>
      <c r="CF55">
        <v>0.44500000000000001</v>
      </c>
      <c r="CG55">
        <v>0.1492537313432836</v>
      </c>
      <c r="CH55">
        <v>0.22167832167832169</v>
      </c>
      <c r="CI55">
        <v>0</v>
      </c>
      <c r="CJ55">
        <v>1672</v>
      </c>
      <c r="CK55" t="s">
        <v>141</v>
      </c>
      <c r="CL55" t="s">
        <v>311</v>
      </c>
      <c r="CM55" t="s">
        <v>143</v>
      </c>
      <c r="CN55">
        <v>0.41176449319699998</v>
      </c>
      <c r="CO55">
        <v>4.0252416950250858</v>
      </c>
      <c r="CP55">
        <v>54</v>
      </c>
      <c r="CQ55" t="s">
        <v>307</v>
      </c>
      <c r="CR55">
        <v>91</v>
      </c>
      <c r="CS55" t="s">
        <v>452</v>
      </c>
      <c r="CT55" t="s">
        <v>453</v>
      </c>
      <c r="CU55" t="s">
        <v>454</v>
      </c>
      <c r="CV55" t="s">
        <v>455</v>
      </c>
      <c r="CW55" t="s">
        <v>456</v>
      </c>
      <c r="CX55" t="s">
        <v>457</v>
      </c>
      <c r="CY55" t="s">
        <v>458</v>
      </c>
      <c r="CZ55" t="s">
        <v>206</v>
      </c>
      <c r="DA55" t="s">
        <v>152</v>
      </c>
      <c r="DB55" t="s">
        <v>153</v>
      </c>
      <c r="DC55" t="s">
        <v>459</v>
      </c>
      <c r="DD55" t="s">
        <v>208</v>
      </c>
      <c r="DE55">
        <v>1466</v>
      </c>
      <c r="DF55">
        <v>-108.330134</v>
      </c>
      <c r="DG55">
        <v>37.163961999999998</v>
      </c>
      <c r="DH55">
        <v>8275</v>
      </c>
      <c r="DI55">
        <v>1000</v>
      </c>
      <c r="DJ55">
        <v>3475</v>
      </c>
      <c r="DK55">
        <v>178</v>
      </c>
      <c r="DL55">
        <v>7.5</v>
      </c>
      <c r="DO55">
        <v>9</v>
      </c>
      <c r="DR55">
        <v>112500</v>
      </c>
      <c r="DS55">
        <v>42</v>
      </c>
      <c r="DT55">
        <v>1.2500000000000001E-2</v>
      </c>
      <c r="DU55">
        <v>1.2500000000000001E-2</v>
      </c>
      <c r="DV55">
        <v>0.32500000000000001</v>
      </c>
      <c r="DW55">
        <v>0.32500000000000001</v>
      </c>
      <c r="DX55">
        <v>0.32500000000000001</v>
      </c>
      <c r="DY55">
        <v>147.84973033406749</v>
      </c>
      <c r="DZ55" s="4">
        <v>3.9140000000000001</v>
      </c>
      <c r="EA55" s="4" t="s">
        <v>323</v>
      </c>
      <c r="EB55" s="4" t="s">
        <v>324</v>
      </c>
      <c r="EC55">
        <v>4.8630000000000004</v>
      </c>
      <c r="ED55">
        <v>440</v>
      </c>
      <c r="EE55" t="s">
        <v>448</v>
      </c>
      <c r="EF55">
        <v>0</v>
      </c>
      <c r="EH55">
        <f t="shared" si="1"/>
        <v>0.58000000000000007</v>
      </c>
      <c r="EI55">
        <v>3.38</v>
      </c>
      <c r="EJ55">
        <v>3.65</v>
      </c>
    </row>
    <row r="56" spans="1:140" x14ac:dyDescent="0.35">
      <c r="A56" s="1">
        <v>54</v>
      </c>
      <c r="B56">
        <v>-109.4909877250039</v>
      </c>
      <c r="C56">
        <v>33.162943398976488</v>
      </c>
      <c r="D56" t="s">
        <v>460</v>
      </c>
      <c r="E56">
        <v>0.1</v>
      </c>
      <c r="F56" t="s">
        <v>306</v>
      </c>
      <c r="G56">
        <v>6.5299999999999997E-2</v>
      </c>
      <c r="H56" t="s">
        <v>161</v>
      </c>
      <c r="I56">
        <v>-12188481</v>
      </c>
      <c r="J56">
        <v>3916952</v>
      </c>
      <c r="K56" t="s">
        <v>307</v>
      </c>
      <c r="L56" t="s">
        <v>461</v>
      </c>
      <c r="M56">
        <v>5</v>
      </c>
      <c r="N56">
        <v>4.29</v>
      </c>
      <c r="O56">
        <v>4</v>
      </c>
      <c r="P56">
        <v>8</v>
      </c>
      <c r="Q56">
        <v>4</v>
      </c>
      <c r="R56">
        <v>9</v>
      </c>
      <c r="S56">
        <v>38533</v>
      </c>
      <c r="T56" t="s">
        <v>309</v>
      </c>
      <c r="U56">
        <v>6.5998399715504972</v>
      </c>
      <c r="V56" t="s">
        <v>307</v>
      </c>
      <c r="W56">
        <v>0.12740000000000001</v>
      </c>
      <c r="X56">
        <v>10</v>
      </c>
      <c r="Y56">
        <v>8.9</v>
      </c>
      <c r="Z56">
        <v>8.9</v>
      </c>
      <c r="AA56">
        <v>20</v>
      </c>
      <c r="AB56">
        <v>26</v>
      </c>
      <c r="AC56">
        <v>0.63400000000000001</v>
      </c>
      <c r="AD56">
        <v>67</v>
      </c>
      <c r="AE56">
        <v>0.1007628734901462</v>
      </c>
      <c r="AF56">
        <v>2.86</v>
      </c>
      <c r="AG56" t="s">
        <v>309</v>
      </c>
      <c r="AH56" t="s">
        <v>307</v>
      </c>
      <c r="AI56">
        <v>64</v>
      </c>
      <c r="AJ56">
        <v>2.1333333333333329E-2</v>
      </c>
      <c r="AK56">
        <v>21.333333333333329</v>
      </c>
      <c r="AL56" t="s">
        <v>462</v>
      </c>
      <c r="AM56">
        <v>476.46672933188921</v>
      </c>
      <c r="AN56">
        <v>1.43</v>
      </c>
      <c r="AO56">
        <v>0.09</v>
      </c>
      <c r="AP56">
        <v>0.19</v>
      </c>
      <c r="AQ56">
        <v>1.1499999999999999</v>
      </c>
      <c r="AR56">
        <v>1.04</v>
      </c>
      <c r="AS56">
        <v>0.09</v>
      </c>
      <c r="AT56">
        <v>0.02</v>
      </c>
      <c r="AU56">
        <v>0.02</v>
      </c>
      <c r="AV56">
        <v>2.46</v>
      </c>
      <c r="AW56">
        <v>1.47</v>
      </c>
      <c r="AX56">
        <v>0.21</v>
      </c>
      <c r="AY56">
        <v>0.53</v>
      </c>
      <c r="AZ56">
        <v>0</v>
      </c>
      <c r="BA56">
        <v>1.1100000000000001</v>
      </c>
      <c r="BB56">
        <v>0.16</v>
      </c>
      <c r="BC56">
        <v>0.2</v>
      </c>
      <c r="BD56">
        <v>0.27</v>
      </c>
      <c r="BE56">
        <v>7.98</v>
      </c>
      <c r="BF56">
        <v>7.29</v>
      </c>
      <c r="BG56">
        <v>0.24</v>
      </c>
      <c r="BH56">
        <v>0.45</v>
      </c>
      <c r="BI56">
        <v>0</v>
      </c>
      <c r="BJ56">
        <v>0.08</v>
      </c>
      <c r="BK56">
        <v>7.21</v>
      </c>
      <c r="BL56">
        <v>0</v>
      </c>
      <c r="BM56">
        <v>1.96</v>
      </c>
      <c r="BN56">
        <v>0.21</v>
      </c>
      <c r="BO56">
        <v>0.46</v>
      </c>
      <c r="BP56">
        <v>1.29</v>
      </c>
      <c r="BQ56">
        <v>1.03</v>
      </c>
      <c r="BR56">
        <v>0.12</v>
      </c>
      <c r="BS56">
        <v>0.14000000000000001</v>
      </c>
      <c r="BT56">
        <v>0</v>
      </c>
      <c r="BU56">
        <v>8.39</v>
      </c>
      <c r="BV56">
        <v>7.33</v>
      </c>
      <c r="BW56">
        <v>0.34</v>
      </c>
      <c r="BX56">
        <v>0.72</v>
      </c>
      <c r="BY56">
        <v>0</v>
      </c>
      <c r="BZ56">
        <v>0.08</v>
      </c>
      <c r="CA56">
        <v>7.25</v>
      </c>
      <c r="CB56">
        <v>0</v>
      </c>
      <c r="CC56">
        <f t="shared" si="0"/>
        <v>2.75</v>
      </c>
      <c r="CD56">
        <v>3.96</v>
      </c>
      <c r="CE56">
        <v>0.34230769230769231</v>
      </c>
      <c r="CF56">
        <v>0.44500000000000001</v>
      </c>
      <c r="CG56">
        <v>0.1492537313432836</v>
      </c>
      <c r="CH56">
        <v>0.22167832167832169</v>
      </c>
      <c r="CI56">
        <v>0</v>
      </c>
      <c r="CJ56">
        <v>1703</v>
      </c>
      <c r="CK56" t="s">
        <v>141</v>
      </c>
      <c r="CL56" t="s">
        <v>311</v>
      </c>
      <c r="CM56" t="s">
        <v>143</v>
      </c>
      <c r="CN56">
        <v>8.8513674996499994E-2</v>
      </c>
      <c r="CO56">
        <v>12.61447584060882</v>
      </c>
      <c r="CP56">
        <v>55</v>
      </c>
      <c r="CQ56" t="s">
        <v>330</v>
      </c>
      <c r="CR56">
        <v>20</v>
      </c>
      <c r="CS56" t="s">
        <v>331</v>
      </c>
      <c r="CT56" t="s">
        <v>332</v>
      </c>
      <c r="CU56" t="s">
        <v>333</v>
      </c>
      <c r="CV56" t="s">
        <v>334</v>
      </c>
      <c r="CW56" t="s">
        <v>203</v>
      </c>
      <c r="CX56" t="s">
        <v>335</v>
      </c>
      <c r="CY56" t="s">
        <v>205</v>
      </c>
      <c r="CZ56" t="s">
        <v>206</v>
      </c>
      <c r="DA56" t="s">
        <v>152</v>
      </c>
      <c r="DB56" t="s">
        <v>153</v>
      </c>
      <c r="DC56" t="s">
        <v>207</v>
      </c>
      <c r="DD56" t="s">
        <v>208</v>
      </c>
      <c r="DE56">
        <v>8984</v>
      </c>
      <c r="DF56">
        <v>-103.637044</v>
      </c>
      <c r="DG56">
        <v>32.933798000000003</v>
      </c>
      <c r="DH56">
        <v>7850</v>
      </c>
      <c r="DI56">
        <v>1000</v>
      </c>
      <c r="DJ56">
        <v>3180</v>
      </c>
      <c r="DK56">
        <v>153</v>
      </c>
      <c r="DL56">
        <v>8.5</v>
      </c>
      <c r="DO56">
        <v>42</v>
      </c>
      <c r="DP56">
        <v>0.6</v>
      </c>
      <c r="DQ56">
        <v>746</v>
      </c>
      <c r="DS56" t="s">
        <v>209</v>
      </c>
      <c r="DT56">
        <v>1.2500000000000001E-2</v>
      </c>
      <c r="DU56">
        <v>1.2500000000000001E-2</v>
      </c>
      <c r="DV56">
        <v>0.32500000000000001</v>
      </c>
      <c r="DW56">
        <v>0.32500000000000001</v>
      </c>
      <c r="DX56">
        <v>0.32500000000000001</v>
      </c>
      <c r="DY56">
        <v>129.61375214581321</v>
      </c>
      <c r="DZ56" s="4">
        <v>3.9140000000000001</v>
      </c>
      <c r="EA56" s="4" t="s">
        <v>323</v>
      </c>
      <c r="EB56" s="4" t="s">
        <v>324</v>
      </c>
      <c r="EC56">
        <v>4.8630000000000004</v>
      </c>
      <c r="ED56">
        <v>13</v>
      </c>
      <c r="EE56" t="s">
        <v>462</v>
      </c>
      <c r="EF56">
        <v>4.280106358906805E-3</v>
      </c>
      <c r="EH56">
        <f t="shared" si="1"/>
        <v>0.58000000000000007</v>
      </c>
      <c r="EI56">
        <v>3.38</v>
      </c>
      <c r="EJ56">
        <v>3.65</v>
      </c>
    </row>
    <row r="57" spans="1:140" x14ac:dyDescent="0.35">
      <c r="A57" s="1">
        <v>55</v>
      </c>
      <c r="B57">
        <v>-107.6943571567648</v>
      </c>
      <c r="C57">
        <v>33.162943398976488</v>
      </c>
      <c r="D57" t="s">
        <v>463</v>
      </c>
      <c r="E57">
        <v>0.1</v>
      </c>
      <c r="F57" t="s">
        <v>135</v>
      </c>
      <c r="G57">
        <v>6.5299999999999997E-2</v>
      </c>
      <c r="H57" t="s">
        <v>161</v>
      </c>
      <c r="I57">
        <v>-11988481</v>
      </c>
      <c r="J57">
        <v>3916952</v>
      </c>
      <c r="K57" t="s">
        <v>337</v>
      </c>
      <c r="L57" t="s">
        <v>464</v>
      </c>
      <c r="M57">
        <v>28</v>
      </c>
      <c r="N57">
        <v>3.8260000000000001</v>
      </c>
      <c r="O57">
        <v>4</v>
      </c>
      <c r="P57">
        <v>8</v>
      </c>
      <c r="Q57">
        <v>35</v>
      </c>
      <c r="R57">
        <v>51</v>
      </c>
      <c r="S57">
        <v>11574</v>
      </c>
      <c r="T57" t="s">
        <v>333</v>
      </c>
      <c r="U57">
        <v>5.7453557453557451</v>
      </c>
      <c r="V57" t="s">
        <v>337</v>
      </c>
      <c r="W57">
        <v>9.1799999999999993E-2</v>
      </c>
      <c r="X57">
        <v>10</v>
      </c>
      <c r="Y57">
        <v>8.9</v>
      </c>
      <c r="Z57">
        <v>8.9</v>
      </c>
      <c r="AA57">
        <v>20</v>
      </c>
      <c r="AB57">
        <v>26</v>
      </c>
      <c r="AC57">
        <v>0.74299999999999999</v>
      </c>
      <c r="AD57">
        <v>67</v>
      </c>
      <c r="AE57">
        <v>0.1180864589955499</v>
      </c>
      <c r="AF57">
        <v>2.86</v>
      </c>
      <c r="AG57" t="s">
        <v>333</v>
      </c>
      <c r="AH57" t="s">
        <v>337</v>
      </c>
      <c r="AI57">
        <v>32</v>
      </c>
      <c r="AJ57">
        <v>1.066666666666667E-2</v>
      </c>
      <c r="AK57">
        <v>10.66666666666667</v>
      </c>
      <c r="AL57" t="s">
        <v>465</v>
      </c>
      <c r="AM57">
        <v>16271.5444540932</v>
      </c>
      <c r="AN57">
        <v>1.25</v>
      </c>
      <c r="AO57">
        <v>0.09</v>
      </c>
      <c r="AP57">
        <v>0.19</v>
      </c>
      <c r="AQ57">
        <v>0.96</v>
      </c>
      <c r="AR57">
        <v>0.91</v>
      </c>
      <c r="AS57">
        <v>0.04</v>
      </c>
      <c r="AT57">
        <v>0.01</v>
      </c>
      <c r="AU57">
        <v>0.02</v>
      </c>
      <c r="AV57">
        <v>2.1800000000000002</v>
      </c>
      <c r="AW57">
        <v>1.18</v>
      </c>
      <c r="AX57">
        <v>0.21</v>
      </c>
      <c r="AY57">
        <v>0.53</v>
      </c>
      <c r="AZ57">
        <v>0</v>
      </c>
      <c r="BA57">
        <v>0.97</v>
      </c>
      <c r="BB57">
        <v>0.08</v>
      </c>
      <c r="BC57">
        <v>0.14000000000000001</v>
      </c>
      <c r="BD57">
        <v>0.27</v>
      </c>
      <c r="BE57">
        <v>5.72</v>
      </c>
      <c r="BF57">
        <v>5.03</v>
      </c>
      <c r="BG57">
        <v>0.24</v>
      </c>
      <c r="BH57">
        <v>0.45</v>
      </c>
      <c r="BI57">
        <v>0</v>
      </c>
      <c r="BJ57">
        <v>0.04</v>
      </c>
      <c r="BK57">
        <v>4.99</v>
      </c>
      <c r="BL57">
        <v>0</v>
      </c>
      <c r="BM57">
        <v>1.73</v>
      </c>
      <c r="BN57">
        <v>0.21</v>
      </c>
      <c r="BO57">
        <v>0.46</v>
      </c>
      <c r="BP57">
        <v>1.05</v>
      </c>
      <c r="BQ57">
        <v>0.9</v>
      </c>
      <c r="BR57">
        <v>0.06</v>
      </c>
      <c r="BS57">
        <v>0.1</v>
      </c>
      <c r="BT57">
        <v>0</v>
      </c>
      <c r="BU57">
        <v>6.12</v>
      </c>
      <c r="BV57">
        <v>5.0599999999999996</v>
      </c>
      <c r="BW57">
        <v>0.34</v>
      </c>
      <c r="BX57">
        <v>0.72</v>
      </c>
      <c r="BY57">
        <v>0</v>
      </c>
      <c r="BZ57">
        <v>0.04</v>
      </c>
      <c r="CA57">
        <v>5.0199999999999996</v>
      </c>
      <c r="CB57">
        <v>0</v>
      </c>
      <c r="CC57">
        <f t="shared" si="0"/>
        <v>2.75</v>
      </c>
      <c r="CD57">
        <v>3.96</v>
      </c>
      <c r="CE57">
        <v>0.34230769230769231</v>
      </c>
      <c r="CF57">
        <v>0.44500000000000001</v>
      </c>
      <c r="CG57">
        <v>0.1492537313432836</v>
      </c>
      <c r="CH57">
        <v>0.25979020979020978</v>
      </c>
      <c r="CI57">
        <v>0</v>
      </c>
      <c r="CJ57">
        <v>1957</v>
      </c>
      <c r="CK57" t="s">
        <v>141</v>
      </c>
      <c r="CL57" t="s">
        <v>311</v>
      </c>
      <c r="CM57" t="s">
        <v>143</v>
      </c>
      <c r="CN57">
        <v>0.120668357224</v>
      </c>
      <c r="CO57">
        <v>49.977772909602329</v>
      </c>
      <c r="CP57">
        <v>56</v>
      </c>
      <c r="CQ57" t="s">
        <v>330</v>
      </c>
      <c r="CR57">
        <v>20</v>
      </c>
      <c r="CS57" t="s">
        <v>331</v>
      </c>
      <c r="CT57" t="s">
        <v>332</v>
      </c>
      <c r="CU57" t="s">
        <v>333</v>
      </c>
      <c r="CV57" t="s">
        <v>334</v>
      </c>
      <c r="CW57" t="s">
        <v>203</v>
      </c>
      <c r="CX57" t="s">
        <v>335</v>
      </c>
      <c r="CY57" t="s">
        <v>205</v>
      </c>
      <c r="CZ57" t="s">
        <v>206</v>
      </c>
      <c r="DA57" t="s">
        <v>152</v>
      </c>
      <c r="DB57" t="s">
        <v>153</v>
      </c>
      <c r="DC57" t="s">
        <v>207</v>
      </c>
      <c r="DD57" t="s">
        <v>208</v>
      </c>
      <c r="DE57">
        <v>8984</v>
      </c>
      <c r="DF57">
        <v>-103.637044</v>
      </c>
      <c r="DG57">
        <v>32.933798000000003</v>
      </c>
      <c r="DH57">
        <v>7850</v>
      </c>
      <c r="DI57">
        <v>1000</v>
      </c>
      <c r="DJ57">
        <v>3180</v>
      </c>
      <c r="DK57">
        <v>153</v>
      </c>
      <c r="DL57">
        <v>8.5</v>
      </c>
      <c r="DO57">
        <v>42</v>
      </c>
      <c r="DP57">
        <v>0.6</v>
      </c>
      <c r="DQ57">
        <v>746</v>
      </c>
      <c r="DS57" t="s">
        <v>209</v>
      </c>
      <c r="DT57">
        <v>1.2500000000000001E-2</v>
      </c>
      <c r="DU57">
        <v>1.2500000000000001E-2</v>
      </c>
      <c r="DV57">
        <v>0.32500000000000001</v>
      </c>
      <c r="DW57">
        <v>0.32500000000000001</v>
      </c>
      <c r="DX57">
        <v>0.32500000000000001</v>
      </c>
      <c r="DY57">
        <v>10.014783626573751</v>
      </c>
      <c r="DZ57" s="4">
        <v>4.01</v>
      </c>
      <c r="EA57" s="4" t="s">
        <v>340</v>
      </c>
      <c r="EB57" s="4" t="s">
        <v>341</v>
      </c>
      <c r="EC57">
        <v>4.8239999999999998</v>
      </c>
      <c r="ED57">
        <v>299</v>
      </c>
      <c r="EE57" t="s">
        <v>465</v>
      </c>
      <c r="EF57">
        <v>0.1458738458496518</v>
      </c>
      <c r="EH57">
        <f t="shared" si="1"/>
        <v>0.58000000000000007</v>
      </c>
      <c r="EI57">
        <v>3.38</v>
      </c>
      <c r="EJ57">
        <v>3.65</v>
      </c>
    </row>
    <row r="58" spans="1:140" x14ac:dyDescent="0.35">
      <c r="A58" s="1">
        <v>56</v>
      </c>
      <c r="B58">
        <v>-105.8977265885258</v>
      </c>
      <c r="C58">
        <v>33.162943398976488</v>
      </c>
      <c r="D58" t="s">
        <v>466</v>
      </c>
      <c r="E58">
        <v>0.02</v>
      </c>
      <c r="F58" t="s">
        <v>160</v>
      </c>
      <c r="G58">
        <v>6.5299999999999997E-2</v>
      </c>
      <c r="H58" t="s">
        <v>161</v>
      </c>
      <c r="I58">
        <v>-11788481</v>
      </c>
      <c r="J58">
        <v>3916952</v>
      </c>
      <c r="K58" t="s">
        <v>337</v>
      </c>
      <c r="L58" t="s">
        <v>467</v>
      </c>
      <c r="M58">
        <v>20</v>
      </c>
      <c r="N58">
        <v>3.8769999999999998</v>
      </c>
      <c r="O58">
        <v>4</v>
      </c>
      <c r="P58">
        <v>8</v>
      </c>
      <c r="Q58">
        <v>35</v>
      </c>
      <c r="R58">
        <v>35</v>
      </c>
      <c r="S58">
        <v>67843</v>
      </c>
      <c r="T58" t="s">
        <v>333</v>
      </c>
      <c r="U58">
        <v>5.7453557453557451</v>
      </c>
      <c r="V58" t="s">
        <v>337</v>
      </c>
      <c r="W58">
        <v>9.1799999999999993E-2</v>
      </c>
      <c r="X58">
        <v>10</v>
      </c>
      <c r="Y58">
        <v>8.9</v>
      </c>
      <c r="Z58">
        <v>8.9</v>
      </c>
      <c r="AA58">
        <v>20</v>
      </c>
      <c r="AB58">
        <v>26</v>
      </c>
      <c r="AC58">
        <v>0.74299999999999999</v>
      </c>
      <c r="AD58">
        <v>67</v>
      </c>
      <c r="AE58">
        <v>0.1180864589955499</v>
      </c>
      <c r="AF58">
        <v>2.86</v>
      </c>
      <c r="AG58" t="s">
        <v>333</v>
      </c>
      <c r="AH58" t="s">
        <v>337</v>
      </c>
      <c r="AI58">
        <v>32</v>
      </c>
      <c r="AJ58">
        <v>1.066666666666667E-2</v>
      </c>
      <c r="AK58">
        <v>10.66666666666667</v>
      </c>
      <c r="AL58" t="s">
        <v>468</v>
      </c>
      <c r="AM58">
        <v>0</v>
      </c>
      <c r="AN58">
        <v>1.25</v>
      </c>
      <c r="AO58">
        <v>0.09</v>
      </c>
      <c r="AP58">
        <v>0.19</v>
      </c>
      <c r="AQ58">
        <v>0.96</v>
      </c>
      <c r="AR58">
        <v>0.91</v>
      </c>
      <c r="AS58">
        <v>0.04</v>
      </c>
      <c r="AT58">
        <v>0.01</v>
      </c>
      <c r="AU58">
        <v>0.02</v>
      </c>
      <c r="AV58">
        <v>2.1800000000000002</v>
      </c>
      <c r="AW58">
        <v>1.18</v>
      </c>
      <c r="AX58">
        <v>0.21</v>
      </c>
      <c r="AY58">
        <v>0.53</v>
      </c>
      <c r="AZ58">
        <v>0</v>
      </c>
      <c r="BA58">
        <v>0.97</v>
      </c>
      <c r="BB58">
        <v>0.08</v>
      </c>
      <c r="BC58">
        <v>0.14000000000000001</v>
      </c>
      <c r="BD58">
        <v>0.27</v>
      </c>
      <c r="BE58">
        <v>5.72</v>
      </c>
      <c r="BF58">
        <v>5.03</v>
      </c>
      <c r="BG58">
        <v>0.24</v>
      </c>
      <c r="BH58">
        <v>0.45</v>
      </c>
      <c r="BI58">
        <v>0</v>
      </c>
      <c r="BJ58">
        <v>0.04</v>
      </c>
      <c r="BK58">
        <v>4.99</v>
      </c>
      <c r="BL58">
        <v>0</v>
      </c>
      <c r="BM58">
        <v>1.73</v>
      </c>
      <c r="BN58">
        <v>0.21</v>
      </c>
      <c r="BO58">
        <v>0.46</v>
      </c>
      <c r="BP58">
        <v>1.05</v>
      </c>
      <c r="BQ58">
        <v>0.9</v>
      </c>
      <c r="BR58">
        <v>0.06</v>
      </c>
      <c r="BS58">
        <v>0.1</v>
      </c>
      <c r="BT58">
        <v>0</v>
      </c>
      <c r="BU58">
        <v>6.12</v>
      </c>
      <c r="BV58">
        <v>5.0599999999999996</v>
      </c>
      <c r="BW58">
        <v>0.34</v>
      </c>
      <c r="BX58">
        <v>0.72</v>
      </c>
      <c r="BY58">
        <v>0</v>
      </c>
      <c r="BZ58">
        <v>0.04</v>
      </c>
      <c r="CA58">
        <v>5.0199999999999996</v>
      </c>
      <c r="CB58">
        <v>0</v>
      </c>
      <c r="CC58">
        <f t="shared" si="0"/>
        <v>2.75</v>
      </c>
      <c r="CD58">
        <v>3.96</v>
      </c>
      <c r="CE58">
        <v>0.34230769230769231</v>
      </c>
      <c r="CF58">
        <v>0.44500000000000001</v>
      </c>
      <c r="CG58">
        <v>0.1492537313432836</v>
      </c>
      <c r="CH58">
        <v>0.25979020979020978</v>
      </c>
      <c r="CI58">
        <v>0</v>
      </c>
      <c r="CJ58">
        <v>1964</v>
      </c>
      <c r="CK58" t="s">
        <v>141</v>
      </c>
      <c r="CL58" t="s">
        <v>311</v>
      </c>
      <c r="CM58" t="s">
        <v>143</v>
      </c>
      <c r="CN58">
        <v>0.69494626957299999</v>
      </c>
      <c r="CO58">
        <v>24.288959182553331</v>
      </c>
      <c r="CP58">
        <v>57</v>
      </c>
      <c r="CQ58" t="s">
        <v>330</v>
      </c>
      <c r="CR58">
        <v>20</v>
      </c>
      <c r="CS58" t="s">
        <v>331</v>
      </c>
      <c r="CT58" t="s">
        <v>332</v>
      </c>
      <c r="CU58" t="s">
        <v>333</v>
      </c>
      <c r="CV58" t="s">
        <v>334</v>
      </c>
      <c r="CW58" t="s">
        <v>203</v>
      </c>
      <c r="CX58" t="s">
        <v>335</v>
      </c>
      <c r="CY58" t="s">
        <v>205</v>
      </c>
      <c r="CZ58" t="s">
        <v>206</v>
      </c>
      <c r="DA58" t="s">
        <v>152</v>
      </c>
      <c r="DB58" t="s">
        <v>153</v>
      </c>
      <c r="DC58" t="s">
        <v>207</v>
      </c>
      <c r="DD58" t="s">
        <v>208</v>
      </c>
      <c r="DE58">
        <v>8984</v>
      </c>
      <c r="DF58">
        <v>-103.637044</v>
      </c>
      <c r="DG58">
        <v>32.933798000000003</v>
      </c>
      <c r="DH58">
        <v>7850</v>
      </c>
      <c r="DI58">
        <v>1000</v>
      </c>
      <c r="DJ58">
        <v>3180</v>
      </c>
      <c r="DK58">
        <v>153</v>
      </c>
      <c r="DL58">
        <v>8.5</v>
      </c>
      <c r="DO58">
        <v>42</v>
      </c>
      <c r="DP58">
        <v>0.6</v>
      </c>
      <c r="DQ58">
        <v>746</v>
      </c>
      <c r="DS58" t="s">
        <v>209</v>
      </c>
      <c r="DT58">
        <v>1.2500000000000001E-2</v>
      </c>
      <c r="DU58">
        <v>1.2500000000000001E-2</v>
      </c>
      <c r="DV58">
        <v>0.32500000000000001</v>
      </c>
      <c r="DW58">
        <v>0.32500000000000001</v>
      </c>
      <c r="DX58">
        <v>0.32500000000000001</v>
      </c>
      <c r="DY58">
        <v>0</v>
      </c>
      <c r="DZ58" s="4">
        <v>4.01</v>
      </c>
      <c r="EA58" s="4" t="s">
        <v>340</v>
      </c>
      <c r="EB58" s="4" t="s">
        <v>341</v>
      </c>
      <c r="EC58">
        <v>4.8239999999999998</v>
      </c>
      <c r="ED58">
        <v>592</v>
      </c>
      <c r="EE58" t="s">
        <v>468</v>
      </c>
      <c r="EF58">
        <v>0</v>
      </c>
      <c r="EH58">
        <f t="shared" si="1"/>
        <v>0.58000000000000007</v>
      </c>
      <c r="EI58">
        <v>3.38</v>
      </c>
      <c r="EJ58">
        <v>3.65</v>
      </c>
    </row>
    <row r="59" spans="1:140" x14ac:dyDescent="0.35">
      <c r="A59" s="1">
        <v>57</v>
      </c>
      <c r="B59">
        <v>-104.1010960202868</v>
      </c>
      <c r="C59">
        <v>33.162943398976488</v>
      </c>
      <c r="D59" t="s">
        <v>469</v>
      </c>
      <c r="E59">
        <v>0.02</v>
      </c>
      <c r="F59" t="s">
        <v>160</v>
      </c>
      <c r="G59">
        <v>0.13250000000000001</v>
      </c>
      <c r="H59" t="s">
        <v>161</v>
      </c>
      <c r="I59">
        <v>-11588481</v>
      </c>
      <c r="J59">
        <v>3916952</v>
      </c>
      <c r="K59" t="s">
        <v>337</v>
      </c>
      <c r="L59" t="s">
        <v>470</v>
      </c>
      <c r="M59">
        <v>3</v>
      </c>
      <c r="N59">
        <v>3.64</v>
      </c>
      <c r="O59">
        <v>4</v>
      </c>
      <c r="P59">
        <v>8</v>
      </c>
      <c r="Q59">
        <v>35</v>
      </c>
      <c r="R59">
        <v>5</v>
      </c>
      <c r="S59">
        <v>65158</v>
      </c>
      <c r="T59" t="s">
        <v>333</v>
      </c>
      <c r="U59">
        <v>5.7453557453557451</v>
      </c>
      <c r="V59" t="s">
        <v>337</v>
      </c>
      <c r="W59">
        <v>9.1799999999999993E-2</v>
      </c>
      <c r="X59">
        <v>10</v>
      </c>
      <c r="Y59">
        <v>8.9</v>
      </c>
      <c r="Z59">
        <v>8.9</v>
      </c>
      <c r="AA59">
        <v>20</v>
      </c>
      <c r="AB59">
        <v>26</v>
      </c>
      <c r="AC59">
        <v>0.74299999999999999</v>
      </c>
      <c r="AD59">
        <v>67</v>
      </c>
      <c r="AE59">
        <v>0.1180864589955499</v>
      </c>
      <c r="AF59">
        <v>2.86</v>
      </c>
      <c r="AG59" t="s">
        <v>333</v>
      </c>
      <c r="AH59" t="s">
        <v>337</v>
      </c>
      <c r="AI59">
        <v>32</v>
      </c>
      <c r="AJ59">
        <v>1.066666666666667E-2</v>
      </c>
      <c r="AK59">
        <v>10.66666666666667</v>
      </c>
      <c r="AL59" t="s">
        <v>471</v>
      </c>
      <c r="AM59">
        <v>0</v>
      </c>
      <c r="AN59">
        <v>1.25</v>
      </c>
      <c r="AO59">
        <v>0.09</v>
      </c>
      <c r="AP59">
        <v>0.19</v>
      </c>
      <c r="AQ59">
        <v>0.96</v>
      </c>
      <c r="AR59">
        <v>0.91</v>
      </c>
      <c r="AS59">
        <v>0.04</v>
      </c>
      <c r="AT59">
        <v>0.01</v>
      </c>
      <c r="AU59">
        <v>0.02</v>
      </c>
      <c r="AV59">
        <v>2.1800000000000002</v>
      </c>
      <c r="AW59">
        <v>1.18</v>
      </c>
      <c r="AX59">
        <v>0.21</v>
      </c>
      <c r="AY59">
        <v>0.53</v>
      </c>
      <c r="AZ59">
        <v>0</v>
      </c>
      <c r="BA59">
        <v>0.97</v>
      </c>
      <c r="BB59">
        <v>0.08</v>
      </c>
      <c r="BC59">
        <v>0.14000000000000001</v>
      </c>
      <c r="BD59">
        <v>0.27</v>
      </c>
      <c r="BE59">
        <v>5.72</v>
      </c>
      <c r="BF59">
        <v>5.03</v>
      </c>
      <c r="BG59">
        <v>0.24</v>
      </c>
      <c r="BH59">
        <v>0.45</v>
      </c>
      <c r="BI59">
        <v>0</v>
      </c>
      <c r="BJ59">
        <v>0.04</v>
      </c>
      <c r="BK59">
        <v>4.99</v>
      </c>
      <c r="BL59">
        <v>0</v>
      </c>
      <c r="BM59">
        <v>1.73</v>
      </c>
      <c r="BN59">
        <v>0.21</v>
      </c>
      <c r="BO59">
        <v>0.46</v>
      </c>
      <c r="BP59">
        <v>1.05</v>
      </c>
      <c r="BQ59">
        <v>0.9</v>
      </c>
      <c r="BR59">
        <v>0.06</v>
      </c>
      <c r="BS59">
        <v>0.1</v>
      </c>
      <c r="BT59">
        <v>0</v>
      </c>
      <c r="BU59">
        <v>6.12</v>
      </c>
      <c r="BV59">
        <v>5.0599999999999996</v>
      </c>
      <c r="BW59">
        <v>0.34</v>
      </c>
      <c r="BX59">
        <v>0.72</v>
      </c>
      <c r="BY59">
        <v>0</v>
      </c>
      <c r="BZ59">
        <v>0.04</v>
      </c>
      <c r="CA59">
        <v>5.0199999999999996</v>
      </c>
      <c r="CB59">
        <v>0</v>
      </c>
      <c r="CC59">
        <f t="shared" si="0"/>
        <v>2.75</v>
      </c>
      <c r="CD59">
        <v>3.96</v>
      </c>
      <c r="CE59">
        <v>0.34230769230769231</v>
      </c>
      <c r="CF59">
        <v>0.44500000000000001</v>
      </c>
      <c r="CG59">
        <v>0.1492537313432836</v>
      </c>
      <c r="CH59">
        <v>0.25979020979020978</v>
      </c>
      <c r="CI59">
        <v>0</v>
      </c>
      <c r="CJ59">
        <v>26029</v>
      </c>
      <c r="CK59" t="s">
        <v>169</v>
      </c>
      <c r="CL59" t="s">
        <v>347</v>
      </c>
      <c r="CM59" t="s">
        <v>143</v>
      </c>
      <c r="CN59">
        <v>0.39656515372899998</v>
      </c>
      <c r="CO59">
        <v>2.352295155032238</v>
      </c>
      <c r="CP59">
        <v>58</v>
      </c>
      <c r="CQ59" t="s">
        <v>199</v>
      </c>
      <c r="CR59">
        <v>26</v>
      </c>
      <c r="CS59" t="s">
        <v>200</v>
      </c>
      <c r="CT59" t="s">
        <v>201</v>
      </c>
      <c r="CU59" t="s">
        <v>167</v>
      </c>
      <c r="CV59" t="s">
        <v>202</v>
      </c>
      <c r="CW59" t="s">
        <v>203</v>
      </c>
      <c r="CX59" t="s">
        <v>204</v>
      </c>
      <c r="CY59" t="s">
        <v>205</v>
      </c>
      <c r="CZ59" t="s">
        <v>206</v>
      </c>
      <c r="DA59" t="s">
        <v>152</v>
      </c>
      <c r="DB59" t="s">
        <v>153</v>
      </c>
      <c r="DC59" t="s">
        <v>207</v>
      </c>
      <c r="DD59" t="s">
        <v>208</v>
      </c>
      <c r="DE59">
        <v>49915</v>
      </c>
      <c r="DF59">
        <v>-102.456551</v>
      </c>
      <c r="DG59">
        <v>31.762763</v>
      </c>
      <c r="DH59">
        <v>7340</v>
      </c>
      <c r="DI59">
        <v>390</v>
      </c>
      <c r="DJ59">
        <v>3400</v>
      </c>
      <c r="DK59">
        <v>160</v>
      </c>
      <c r="DL59">
        <v>8.5</v>
      </c>
      <c r="DO59">
        <v>66</v>
      </c>
      <c r="DP59">
        <v>0.1</v>
      </c>
      <c r="DQ59">
        <v>1100</v>
      </c>
      <c r="DS59" t="s">
        <v>209</v>
      </c>
      <c r="DT59">
        <v>1.2500000000000001E-2</v>
      </c>
      <c r="DU59">
        <v>1.2500000000000001E-2</v>
      </c>
      <c r="DV59">
        <v>0.32500000000000001</v>
      </c>
      <c r="DW59">
        <v>0.32500000000000001</v>
      </c>
      <c r="DX59">
        <v>0.32500000000000001</v>
      </c>
      <c r="DY59">
        <v>0</v>
      </c>
      <c r="DZ59" s="4">
        <v>4.01</v>
      </c>
      <c r="EA59" s="4" t="s">
        <v>340</v>
      </c>
      <c r="EB59" s="4" t="s">
        <v>341</v>
      </c>
      <c r="EC59">
        <v>4.8239999999999998</v>
      </c>
      <c r="ED59">
        <v>517</v>
      </c>
      <c r="EE59" t="s">
        <v>471</v>
      </c>
      <c r="EF59">
        <v>0</v>
      </c>
      <c r="EH59">
        <f t="shared" si="1"/>
        <v>0.58000000000000007</v>
      </c>
      <c r="EI59">
        <v>3.38</v>
      </c>
      <c r="EJ59">
        <v>3.65</v>
      </c>
    </row>
    <row r="60" spans="1:140" x14ac:dyDescent="0.35">
      <c r="A60" s="1">
        <v>58</v>
      </c>
      <c r="B60">
        <v>-102.30446545204769</v>
      </c>
      <c r="C60">
        <v>33.162943398976488</v>
      </c>
      <c r="D60" t="s">
        <v>472</v>
      </c>
      <c r="E60">
        <v>0.02</v>
      </c>
      <c r="F60" t="s">
        <v>160</v>
      </c>
      <c r="G60">
        <v>0.13250000000000001</v>
      </c>
      <c r="H60" t="s">
        <v>161</v>
      </c>
      <c r="I60">
        <v>-11388481</v>
      </c>
      <c r="J60">
        <v>3916952</v>
      </c>
      <c r="K60" t="s">
        <v>165</v>
      </c>
      <c r="L60" t="s">
        <v>473</v>
      </c>
      <c r="M60">
        <v>223</v>
      </c>
      <c r="N60">
        <v>3.3889999999999998</v>
      </c>
      <c r="O60">
        <v>3</v>
      </c>
      <c r="P60">
        <v>7</v>
      </c>
      <c r="Q60">
        <v>48</v>
      </c>
      <c r="R60">
        <v>445</v>
      </c>
      <c r="S60">
        <v>11832</v>
      </c>
      <c r="T60" t="s">
        <v>167</v>
      </c>
      <c r="U60">
        <v>4.3100995732574674</v>
      </c>
      <c r="V60" t="s">
        <v>165</v>
      </c>
      <c r="W60">
        <v>9.7899999999999987E-2</v>
      </c>
      <c r="X60">
        <v>10</v>
      </c>
      <c r="Y60">
        <v>8.9</v>
      </c>
      <c r="Z60">
        <v>8.9</v>
      </c>
      <c r="AA60">
        <v>20</v>
      </c>
      <c r="AB60">
        <v>26</v>
      </c>
      <c r="AC60">
        <v>0.82299999999999995</v>
      </c>
      <c r="AD60">
        <v>67</v>
      </c>
      <c r="AE60">
        <v>0.1308010171646535</v>
      </c>
      <c r="AF60">
        <v>2.86</v>
      </c>
      <c r="AG60" t="s">
        <v>167</v>
      </c>
      <c r="AH60" t="s">
        <v>165</v>
      </c>
      <c r="AI60">
        <v>37</v>
      </c>
      <c r="AJ60">
        <v>1.233333333333333E-2</v>
      </c>
      <c r="AK60">
        <v>12.33333333333333</v>
      </c>
      <c r="AL60" t="s">
        <v>474</v>
      </c>
      <c r="AM60">
        <v>25457.873236152791</v>
      </c>
      <c r="AN60">
        <v>1.03</v>
      </c>
      <c r="AO60">
        <v>0.09</v>
      </c>
      <c r="AP60">
        <v>0.19</v>
      </c>
      <c r="AQ60">
        <v>0.74</v>
      </c>
      <c r="AR60">
        <v>0.68</v>
      </c>
      <c r="AS60">
        <v>0.04</v>
      </c>
      <c r="AT60">
        <v>0.01</v>
      </c>
      <c r="AU60">
        <v>0.02</v>
      </c>
      <c r="AV60">
        <v>1.95</v>
      </c>
      <c r="AW60">
        <v>0.96</v>
      </c>
      <c r="AX60">
        <v>0.21</v>
      </c>
      <c r="AY60">
        <v>0.53</v>
      </c>
      <c r="AZ60">
        <v>0</v>
      </c>
      <c r="BA60">
        <v>0.72</v>
      </c>
      <c r="BB60">
        <v>0.08</v>
      </c>
      <c r="BC60">
        <v>0.15</v>
      </c>
      <c r="BD60">
        <v>0.27</v>
      </c>
      <c r="BE60">
        <v>6.28</v>
      </c>
      <c r="BF60">
        <v>5.59</v>
      </c>
      <c r="BG60">
        <v>0.24</v>
      </c>
      <c r="BH60">
        <v>0.45</v>
      </c>
      <c r="BI60">
        <v>0</v>
      </c>
      <c r="BJ60">
        <v>0.04</v>
      </c>
      <c r="BK60">
        <v>5.55</v>
      </c>
      <c r="BL60">
        <v>0</v>
      </c>
      <c r="BM60">
        <v>1.51</v>
      </c>
      <c r="BN60">
        <v>0.21</v>
      </c>
      <c r="BO60">
        <v>0.46</v>
      </c>
      <c r="BP60">
        <v>0.84</v>
      </c>
      <c r="BQ60">
        <v>0.67</v>
      </c>
      <c r="BR60">
        <v>0.06</v>
      </c>
      <c r="BS60">
        <v>0.11</v>
      </c>
      <c r="BT60">
        <v>0</v>
      </c>
      <c r="BU60">
        <v>6.68</v>
      </c>
      <c r="BV60">
        <v>5.62</v>
      </c>
      <c r="BW60">
        <v>0.34</v>
      </c>
      <c r="BX60">
        <v>0.72</v>
      </c>
      <c r="BY60">
        <v>0</v>
      </c>
      <c r="BZ60">
        <v>0.04</v>
      </c>
      <c r="CA60">
        <v>5.58</v>
      </c>
      <c r="CB60">
        <v>0</v>
      </c>
      <c r="CC60">
        <f t="shared" si="0"/>
        <v>2.75</v>
      </c>
      <c r="CD60">
        <v>3.96</v>
      </c>
      <c r="CE60">
        <v>0.34230769230769231</v>
      </c>
      <c r="CF60">
        <v>0.44500000000000001</v>
      </c>
      <c r="CG60">
        <v>0.1492537313432836</v>
      </c>
      <c r="CH60">
        <v>0.28776223776223769</v>
      </c>
      <c r="CI60">
        <v>0</v>
      </c>
      <c r="CJ60">
        <v>19172</v>
      </c>
      <c r="CK60" t="s">
        <v>141</v>
      </c>
      <c r="CL60" t="s">
        <v>475</v>
      </c>
      <c r="CM60" t="s">
        <v>143</v>
      </c>
      <c r="CN60">
        <v>0.44330308577400002</v>
      </c>
      <c r="CO60">
        <v>3.7437903226886222</v>
      </c>
      <c r="CP60">
        <v>59</v>
      </c>
      <c r="CQ60" t="s">
        <v>199</v>
      </c>
      <c r="CR60">
        <v>26</v>
      </c>
      <c r="CS60" t="s">
        <v>200</v>
      </c>
      <c r="CT60" t="s">
        <v>201</v>
      </c>
      <c r="CU60" t="s">
        <v>167</v>
      </c>
      <c r="CV60" t="s">
        <v>202</v>
      </c>
      <c r="CW60" t="s">
        <v>203</v>
      </c>
      <c r="CX60" t="s">
        <v>204</v>
      </c>
      <c r="CY60" t="s">
        <v>205</v>
      </c>
      <c r="CZ60" t="s">
        <v>206</v>
      </c>
      <c r="DA60" t="s">
        <v>152</v>
      </c>
      <c r="DB60" t="s">
        <v>153</v>
      </c>
      <c r="DC60" t="s">
        <v>207</v>
      </c>
      <c r="DD60" t="s">
        <v>208</v>
      </c>
      <c r="DE60">
        <v>49915</v>
      </c>
      <c r="DF60">
        <v>-102.456551</v>
      </c>
      <c r="DG60">
        <v>31.762763</v>
      </c>
      <c r="DH60">
        <v>7340</v>
      </c>
      <c r="DI60">
        <v>390</v>
      </c>
      <c r="DJ60">
        <v>3400</v>
      </c>
      <c r="DK60">
        <v>160</v>
      </c>
      <c r="DL60">
        <v>8.5</v>
      </c>
      <c r="DO60">
        <v>66</v>
      </c>
      <c r="DP60">
        <v>0.1</v>
      </c>
      <c r="DQ60">
        <v>1100</v>
      </c>
      <c r="DS60" t="s">
        <v>209</v>
      </c>
      <c r="DT60">
        <v>1.2500000000000001E-2</v>
      </c>
      <c r="DU60">
        <v>1.2500000000000001E-2</v>
      </c>
      <c r="DV60">
        <v>0.32500000000000001</v>
      </c>
      <c r="DW60">
        <v>0.32500000000000001</v>
      </c>
      <c r="DX60">
        <v>0.32500000000000001</v>
      </c>
      <c r="DY60">
        <v>0</v>
      </c>
      <c r="DZ60" s="4">
        <v>3.4470000000000001</v>
      </c>
      <c r="EA60" s="4" t="s">
        <v>182</v>
      </c>
      <c r="EB60" s="4" t="s">
        <v>183</v>
      </c>
      <c r="EC60">
        <v>4.4379999999999997</v>
      </c>
      <c r="ED60">
        <v>764</v>
      </c>
      <c r="EE60" t="s">
        <v>476</v>
      </c>
      <c r="EF60">
        <v>0.22542490703078649</v>
      </c>
      <c r="EH60">
        <f t="shared" si="1"/>
        <v>0.58000000000000007</v>
      </c>
      <c r="EI60">
        <v>3.38</v>
      </c>
      <c r="EJ60">
        <v>3.65</v>
      </c>
    </row>
    <row r="61" spans="1:140" x14ac:dyDescent="0.35">
      <c r="A61" s="1">
        <v>59</v>
      </c>
      <c r="B61">
        <v>-100.5078348838087</v>
      </c>
      <c r="C61">
        <v>33.162943398976488</v>
      </c>
      <c r="D61" t="s">
        <v>477</v>
      </c>
      <c r="E61">
        <v>0.1</v>
      </c>
      <c r="F61" t="s">
        <v>135</v>
      </c>
      <c r="G61">
        <v>0.13250000000000001</v>
      </c>
      <c r="H61" t="s">
        <v>161</v>
      </c>
      <c r="I61">
        <v>-11188481</v>
      </c>
      <c r="J61">
        <v>3916952</v>
      </c>
      <c r="K61" t="s">
        <v>165</v>
      </c>
      <c r="L61" t="s">
        <v>478</v>
      </c>
      <c r="M61">
        <v>217</v>
      </c>
      <c r="N61">
        <v>3.6989999999999998</v>
      </c>
      <c r="O61">
        <v>3</v>
      </c>
      <c r="P61">
        <v>7</v>
      </c>
      <c r="Q61">
        <v>48</v>
      </c>
      <c r="R61">
        <v>433</v>
      </c>
      <c r="S61">
        <v>1246</v>
      </c>
      <c r="T61" t="s">
        <v>167</v>
      </c>
      <c r="U61">
        <v>4.3100995732574674</v>
      </c>
      <c r="V61" t="s">
        <v>165</v>
      </c>
      <c r="W61">
        <v>9.7899999999999987E-2</v>
      </c>
      <c r="X61">
        <v>10</v>
      </c>
      <c r="Y61">
        <v>8.9</v>
      </c>
      <c r="Z61">
        <v>8.9</v>
      </c>
      <c r="AA61">
        <v>20</v>
      </c>
      <c r="AB61">
        <v>26</v>
      </c>
      <c r="AC61">
        <v>0.82299999999999995</v>
      </c>
      <c r="AD61">
        <v>67</v>
      </c>
      <c r="AE61">
        <v>0.1308010171646535</v>
      </c>
      <c r="AF61">
        <v>2.86</v>
      </c>
      <c r="AG61" t="s">
        <v>167</v>
      </c>
      <c r="AH61" t="s">
        <v>165</v>
      </c>
      <c r="AI61">
        <v>37</v>
      </c>
      <c r="AJ61">
        <v>1.233333333333333E-2</v>
      </c>
      <c r="AK61">
        <v>12.33333333333333</v>
      </c>
      <c r="AL61" t="s">
        <v>479</v>
      </c>
      <c r="AM61">
        <v>31202.519325668702</v>
      </c>
      <c r="AN61">
        <v>1.03</v>
      </c>
      <c r="AO61">
        <v>0.09</v>
      </c>
      <c r="AP61">
        <v>0.19</v>
      </c>
      <c r="AQ61">
        <v>0.74</v>
      </c>
      <c r="AR61">
        <v>0.68</v>
      </c>
      <c r="AS61">
        <v>0.04</v>
      </c>
      <c r="AT61">
        <v>0.01</v>
      </c>
      <c r="AU61">
        <v>0.02</v>
      </c>
      <c r="AV61">
        <v>1.95</v>
      </c>
      <c r="AW61">
        <v>0.96</v>
      </c>
      <c r="AX61">
        <v>0.21</v>
      </c>
      <c r="AY61">
        <v>0.53</v>
      </c>
      <c r="AZ61">
        <v>0</v>
      </c>
      <c r="BA61">
        <v>0.72</v>
      </c>
      <c r="BB61">
        <v>0.08</v>
      </c>
      <c r="BC61">
        <v>0.15</v>
      </c>
      <c r="BD61">
        <v>0.27</v>
      </c>
      <c r="BE61">
        <v>6.28</v>
      </c>
      <c r="BF61">
        <v>5.59</v>
      </c>
      <c r="BG61">
        <v>0.24</v>
      </c>
      <c r="BH61">
        <v>0.45</v>
      </c>
      <c r="BI61">
        <v>0</v>
      </c>
      <c r="BJ61">
        <v>0.04</v>
      </c>
      <c r="BK61">
        <v>5.55</v>
      </c>
      <c r="BL61">
        <v>0</v>
      </c>
      <c r="BM61">
        <v>1.51</v>
      </c>
      <c r="BN61">
        <v>0.21</v>
      </c>
      <c r="BO61">
        <v>0.46</v>
      </c>
      <c r="BP61">
        <v>0.84</v>
      </c>
      <c r="BQ61">
        <v>0.67</v>
      </c>
      <c r="BR61">
        <v>0.06</v>
      </c>
      <c r="BS61">
        <v>0.11</v>
      </c>
      <c r="BT61">
        <v>0</v>
      </c>
      <c r="BU61">
        <v>6.68</v>
      </c>
      <c r="BV61">
        <v>5.62</v>
      </c>
      <c r="BW61">
        <v>0.34</v>
      </c>
      <c r="BX61">
        <v>0.72</v>
      </c>
      <c r="BY61">
        <v>0</v>
      </c>
      <c r="BZ61">
        <v>0.04</v>
      </c>
      <c r="CA61">
        <v>5.58</v>
      </c>
      <c r="CB61">
        <v>0</v>
      </c>
      <c r="CC61">
        <f t="shared" si="0"/>
        <v>2.75</v>
      </c>
      <c r="CD61">
        <v>3.96</v>
      </c>
      <c r="CE61">
        <v>0.34230769230769231</v>
      </c>
      <c r="CF61">
        <v>0.44500000000000001</v>
      </c>
      <c r="CG61">
        <v>0.1492537313432836</v>
      </c>
      <c r="CH61">
        <v>0.28776223776223769</v>
      </c>
      <c r="CI61">
        <v>0</v>
      </c>
      <c r="CJ61">
        <v>26105</v>
      </c>
      <c r="CK61" t="s">
        <v>169</v>
      </c>
      <c r="CL61" t="s">
        <v>347</v>
      </c>
      <c r="CM61" t="s">
        <v>143</v>
      </c>
      <c r="CN61">
        <v>0.43238399999999999</v>
      </c>
      <c r="CO61">
        <v>13.3257091894239</v>
      </c>
      <c r="CP61">
        <v>60</v>
      </c>
      <c r="CQ61" t="s">
        <v>480</v>
      </c>
      <c r="CR61">
        <v>26</v>
      </c>
      <c r="CS61" t="s">
        <v>200</v>
      </c>
      <c r="CT61" t="s">
        <v>201</v>
      </c>
      <c r="CU61" t="s">
        <v>167</v>
      </c>
      <c r="CV61" t="s">
        <v>202</v>
      </c>
      <c r="CW61" t="s">
        <v>203</v>
      </c>
      <c r="CX61" t="s">
        <v>204</v>
      </c>
      <c r="CY61" t="s">
        <v>205</v>
      </c>
      <c r="CZ61" t="s">
        <v>206</v>
      </c>
      <c r="DA61" t="s">
        <v>152</v>
      </c>
      <c r="DB61" t="s">
        <v>153</v>
      </c>
      <c r="DC61" t="s">
        <v>207</v>
      </c>
      <c r="DD61" t="s">
        <v>208</v>
      </c>
      <c r="DE61">
        <v>49915</v>
      </c>
      <c r="DF61">
        <v>-102.456551</v>
      </c>
      <c r="DG61">
        <v>31.762763</v>
      </c>
      <c r="DH61">
        <v>7340</v>
      </c>
      <c r="DI61">
        <v>390</v>
      </c>
      <c r="DJ61">
        <v>3400</v>
      </c>
      <c r="DK61">
        <v>160</v>
      </c>
      <c r="DL61">
        <v>8.5</v>
      </c>
      <c r="DO61">
        <v>66</v>
      </c>
      <c r="DP61">
        <v>0.1</v>
      </c>
      <c r="DQ61">
        <v>1100</v>
      </c>
      <c r="DS61" t="s">
        <v>209</v>
      </c>
      <c r="DT61">
        <v>1.2500000000000001E-2</v>
      </c>
      <c r="DU61">
        <v>1.2500000000000001E-2</v>
      </c>
      <c r="DV61">
        <v>0.32500000000000001</v>
      </c>
      <c r="DW61">
        <v>0.32500000000000001</v>
      </c>
      <c r="DX61">
        <v>0.32500000000000001</v>
      </c>
      <c r="DY61">
        <v>19.549931864540849</v>
      </c>
      <c r="DZ61" s="4">
        <v>3.4470000000000001</v>
      </c>
      <c r="EA61" s="4" t="s">
        <v>182</v>
      </c>
      <c r="EB61" s="4" t="s">
        <v>183</v>
      </c>
      <c r="EC61">
        <v>4.4379999999999997</v>
      </c>
      <c r="ED61">
        <v>546</v>
      </c>
      <c r="EE61" t="s">
        <v>479</v>
      </c>
      <c r="EF61">
        <v>0.24840376702620889</v>
      </c>
      <c r="EH61">
        <f t="shared" si="1"/>
        <v>0.58000000000000007</v>
      </c>
      <c r="EI61">
        <v>3.38</v>
      </c>
      <c r="EJ61">
        <v>3.65</v>
      </c>
    </row>
    <row r="62" spans="1:140" x14ac:dyDescent="0.35">
      <c r="A62" s="1">
        <v>60</v>
      </c>
      <c r="B62">
        <v>-98.711204315569631</v>
      </c>
      <c r="C62">
        <v>33.162943398976488</v>
      </c>
      <c r="D62" t="s">
        <v>481</v>
      </c>
      <c r="E62">
        <v>0.1</v>
      </c>
      <c r="F62" t="s">
        <v>306</v>
      </c>
      <c r="G62">
        <v>4.8399999999999999E-2</v>
      </c>
      <c r="H62" t="s">
        <v>161</v>
      </c>
      <c r="I62">
        <v>-10988481</v>
      </c>
      <c r="J62">
        <v>3916952</v>
      </c>
      <c r="K62" t="s">
        <v>165</v>
      </c>
      <c r="L62" t="s">
        <v>482</v>
      </c>
      <c r="M62">
        <v>252</v>
      </c>
      <c r="N62">
        <v>3.488</v>
      </c>
      <c r="O62">
        <v>3</v>
      </c>
      <c r="P62">
        <v>7</v>
      </c>
      <c r="Q62">
        <v>48</v>
      </c>
      <c r="R62">
        <v>503</v>
      </c>
      <c r="S62">
        <v>17867</v>
      </c>
      <c r="T62" t="s">
        <v>167</v>
      </c>
      <c r="U62">
        <v>4.3100995732574674</v>
      </c>
      <c r="V62" t="s">
        <v>165</v>
      </c>
      <c r="W62">
        <v>9.7899999999999987E-2</v>
      </c>
      <c r="X62">
        <v>10</v>
      </c>
      <c r="Y62">
        <v>8.9</v>
      </c>
      <c r="Z62">
        <v>8.9</v>
      </c>
      <c r="AA62">
        <v>20</v>
      </c>
      <c r="AB62">
        <v>26</v>
      </c>
      <c r="AC62">
        <v>0.82299999999999995</v>
      </c>
      <c r="AD62">
        <v>67</v>
      </c>
      <c r="AE62">
        <v>0.1308010171646535</v>
      </c>
      <c r="AF62">
        <v>2.86</v>
      </c>
      <c r="AG62" t="s">
        <v>167</v>
      </c>
      <c r="AH62" t="s">
        <v>165</v>
      </c>
      <c r="AI62">
        <v>37</v>
      </c>
      <c r="AJ62">
        <v>1.233333333333333E-2</v>
      </c>
      <c r="AK62">
        <v>12.33333333333333</v>
      </c>
      <c r="AL62" t="s">
        <v>483</v>
      </c>
      <c r="AM62">
        <v>30977.547712216001</v>
      </c>
      <c r="AN62">
        <v>1.03</v>
      </c>
      <c r="AO62">
        <v>0.09</v>
      </c>
      <c r="AP62">
        <v>0.19</v>
      </c>
      <c r="AQ62">
        <v>0.74</v>
      </c>
      <c r="AR62">
        <v>0.68</v>
      </c>
      <c r="AS62">
        <v>0.04</v>
      </c>
      <c r="AT62">
        <v>0.01</v>
      </c>
      <c r="AU62">
        <v>0.02</v>
      </c>
      <c r="AV62">
        <v>1.95</v>
      </c>
      <c r="AW62">
        <v>0.96</v>
      </c>
      <c r="AX62">
        <v>0.21</v>
      </c>
      <c r="AY62">
        <v>0.53</v>
      </c>
      <c r="AZ62">
        <v>0</v>
      </c>
      <c r="BA62">
        <v>0.72</v>
      </c>
      <c r="BB62">
        <v>0.08</v>
      </c>
      <c r="BC62">
        <v>0.15</v>
      </c>
      <c r="BD62">
        <v>0.27</v>
      </c>
      <c r="BE62">
        <v>6.28</v>
      </c>
      <c r="BF62">
        <v>5.59</v>
      </c>
      <c r="BG62">
        <v>0.24</v>
      </c>
      <c r="BH62">
        <v>0.45</v>
      </c>
      <c r="BI62">
        <v>0</v>
      </c>
      <c r="BJ62">
        <v>0.04</v>
      </c>
      <c r="BK62">
        <v>5.55</v>
      </c>
      <c r="BL62">
        <v>0</v>
      </c>
      <c r="BM62">
        <v>1.51</v>
      </c>
      <c r="BN62">
        <v>0.21</v>
      </c>
      <c r="BO62">
        <v>0.46</v>
      </c>
      <c r="BP62">
        <v>0.84</v>
      </c>
      <c r="BQ62">
        <v>0.67</v>
      </c>
      <c r="BR62">
        <v>0.06</v>
      </c>
      <c r="BS62">
        <v>0.11</v>
      </c>
      <c r="BT62">
        <v>0</v>
      </c>
      <c r="BU62">
        <v>6.68</v>
      </c>
      <c r="BV62">
        <v>5.62</v>
      </c>
      <c r="BW62">
        <v>0.34</v>
      </c>
      <c r="BX62">
        <v>0.72</v>
      </c>
      <c r="BY62">
        <v>0</v>
      </c>
      <c r="BZ62">
        <v>0.04</v>
      </c>
      <c r="CA62">
        <v>5.58</v>
      </c>
      <c r="CB62">
        <v>0</v>
      </c>
      <c r="CC62">
        <f t="shared" si="0"/>
        <v>2.75</v>
      </c>
      <c r="CD62">
        <v>3.96</v>
      </c>
      <c r="CE62">
        <v>0.34230769230769231</v>
      </c>
      <c r="CF62">
        <v>0.44500000000000001</v>
      </c>
      <c r="CG62">
        <v>0.1492537313432836</v>
      </c>
      <c r="CH62">
        <v>0.28776223776223769</v>
      </c>
      <c r="CI62">
        <v>0</v>
      </c>
      <c r="CJ62">
        <v>32471</v>
      </c>
      <c r="CK62" t="s">
        <v>169</v>
      </c>
      <c r="CL62" t="s">
        <v>261</v>
      </c>
      <c r="CM62" t="s">
        <v>143</v>
      </c>
      <c r="CN62">
        <v>0.67023581313900005</v>
      </c>
      <c r="CO62">
        <v>7.3189116646758272</v>
      </c>
      <c r="CP62">
        <v>61</v>
      </c>
      <c r="CQ62" t="s">
        <v>484</v>
      </c>
      <c r="CR62">
        <v>1</v>
      </c>
      <c r="CS62" t="s">
        <v>485</v>
      </c>
      <c r="CT62" t="s">
        <v>486</v>
      </c>
      <c r="CU62" t="s">
        <v>487</v>
      </c>
      <c r="CV62" t="s">
        <v>488</v>
      </c>
      <c r="CW62" t="s">
        <v>489</v>
      </c>
      <c r="CX62" t="s">
        <v>490</v>
      </c>
      <c r="CY62" t="s">
        <v>490</v>
      </c>
      <c r="CZ62" t="s">
        <v>206</v>
      </c>
      <c r="DA62" t="s">
        <v>152</v>
      </c>
      <c r="DB62" t="s">
        <v>491</v>
      </c>
      <c r="DC62" t="s">
        <v>459</v>
      </c>
      <c r="DD62" t="s">
        <v>492</v>
      </c>
      <c r="DE62">
        <v>10229</v>
      </c>
      <c r="DF62">
        <v>-98.554415000000006</v>
      </c>
      <c r="DG62">
        <v>36.399382000000003</v>
      </c>
      <c r="DH62">
        <v>6562</v>
      </c>
      <c r="DI62">
        <v>572</v>
      </c>
      <c r="DJ62">
        <v>2640</v>
      </c>
      <c r="DK62">
        <v>139</v>
      </c>
      <c r="DL62">
        <v>10</v>
      </c>
      <c r="DO62">
        <v>50</v>
      </c>
      <c r="DR62">
        <v>150000</v>
      </c>
      <c r="DS62">
        <v>42</v>
      </c>
      <c r="DT62">
        <v>1.2500000000000001E-2</v>
      </c>
      <c r="DU62">
        <v>1.2500000000000001E-2</v>
      </c>
      <c r="DV62">
        <v>0.32500000000000001</v>
      </c>
      <c r="DW62">
        <v>0.32500000000000001</v>
      </c>
      <c r="DX62">
        <v>0.32500000000000001</v>
      </c>
      <c r="DY62">
        <v>134.20664208397631</v>
      </c>
      <c r="DZ62" s="4">
        <v>3.4470000000000001</v>
      </c>
      <c r="EA62" s="4" t="s">
        <v>182</v>
      </c>
      <c r="EB62" s="4" t="s">
        <v>183</v>
      </c>
      <c r="EC62">
        <v>4.4379999999999997</v>
      </c>
      <c r="ED62">
        <v>390</v>
      </c>
      <c r="EE62" t="s">
        <v>483</v>
      </c>
      <c r="EF62">
        <v>0.23264032345965821</v>
      </c>
      <c r="EH62">
        <f t="shared" si="1"/>
        <v>0.58000000000000007</v>
      </c>
      <c r="EI62">
        <v>3.38</v>
      </c>
      <c r="EJ62">
        <v>3.65</v>
      </c>
    </row>
    <row r="63" spans="1:140" x14ac:dyDescent="0.35">
      <c r="A63" s="1">
        <v>61</v>
      </c>
      <c r="B63">
        <v>-96.914573747330593</v>
      </c>
      <c r="C63">
        <v>33.162943398976488</v>
      </c>
      <c r="D63" t="s">
        <v>493</v>
      </c>
      <c r="E63">
        <v>0.1</v>
      </c>
      <c r="F63" t="s">
        <v>135</v>
      </c>
      <c r="G63">
        <v>3.9300000000000002E-2</v>
      </c>
      <c r="H63" t="s">
        <v>161</v>
      </c>
      <c r="I63">
        <v>-10788481</v>
      </c>
      <c r="J63">
        <v>3916952</v>
      </c>
      <c r="K63" t="s">
        <v>165</v>
      </c>
      <c r="L63" t="s">
        <v>494</v>
      </c>
      <c r="M63">
        <v>61</v>
      </c>
      <c r="N63">
        <v>3.3660000000000001</v>
      </c>
      <c r="O63">
        <v>3</v>
      </c>
      <c r="P63">
        <v>7</v>
      </c>
      <c r="Q63">
        <v>48</v>
      </c>
      <c r="R63">
        <v>121</v>
      </c>
      <c r="S63">
        <v>906405</v>
      </c>
      <c r="T63" t="s">
        <v>167</v>
      </c>
      <c r="U63">
        <v>4.3100995732574674</v>
      </c>
      <c r="V63" t="s">
        <v>165</v>
      </c>
      <c r="W63">
        <v>9.7899999999999987E-2</v>
      </c>
      <c r="X63">
        <v>10</v>
      </c>
      <c r="Y63">
        <v>8.9</v>
      </c>
      <c r="Z63">
        <v>8.9</v>
      </c>
      <c r="AA63">
        <v>20</v>
      </c>
      <c r="AB63">
        <v>26</v>
      </c>
      <c r="AC63">
        <v>0.82299999999999995</v>
      </c>
      <c r="AD63">
        <v>67</v>
      </c>
      <c r="AE63">
        <v>0.1308010171646535</v>
      </c>
      <c r="AF63">
        <v>2.86</v>
      </c>
      <c r="AG63" t="s">
        <v>167</v>
      </c>
      <c r="AH63" t="s">
        <v>165</v>
      </c>
      <c r="AI63">
        <v>37</v>
      </c>
      <c r="AJ63">
        <v>1.233333333333333E-2</v>
      </c>
      <c r="AK63">
        <v>12.33333333333333</v>
      </c>
      <c r="AL63" t="s">
        <v>495</v>
      </c>
      <c r="AM63">
        <v>0</v>
      </c>
      <c r="AN63">
        <v>1.03</v>
      </c>
      <c r="AO63">
        <v>0.09</v>
      </c>
      <c r="AP63">
        <v>0.19</v>
      </c>
      <c r="AQ63">
        <v>0.74</v>
      </c>
      <c r="AR63">
        <v>0.68</v>
      </c>
      <c r="AS63">
        <v>0.04</v>
      </c>
      <c r="AT63">
        <v>0.01</v>
      </c>
      <c r="AU63">
        <v>0.02</v>
      </c>
      <c r="AV63">
        <v>1.95</v>
      </c>
      <c r="AW63">
        <v>0.96</v>
      </c>
      <c r="AX63">
        <v>0.21</v>
      </c>
      <c r="AY63">
        <v>0.53</v>
      </c>
      <c r="AZ63">
        <v>0</v>
      </c>
      <c r="BA63">
        <v>0.72</v>
      </c>
      <c r="BB63">
        <v>0.08</v>
      </c>
      <c r="BC63">
        <v>0.15</v>
      </c>
      <c r="BD63">
        <v>0.27</v>
      </c>
      <c r="BE63">
        <v>6.28</v>
      </c>
      <c r="BF63">
        <v>5.59</v>
      </c>
      <c r="BG63">
        <v>0.24</v>
      </c>
      <c r="BH63">
        <v>0.45</v>
      </c>
      <c r="BI63">
        <v>0</v>
      </c>
      <c r="BJ63">
        <v>0.04</v>
      </c>
      <c r="BK63">
        <v>5.55</v>
      </c>
      <c r="BL63">
        <v>0</v>
      </c>
      <c r="BM63">
        <v>1.51</v>
      </c>
      <c r="BN63">
        <v>0.21</v>
      </c>
      <c r="BO63">
        <v>0.46</v>
      </c>
      <c r="BP63">
        <v>0.84</v>
      </c>
      <c r="BQ63">
        <v>0.67</v>
      </c>
      <c r="BR63">
        <v>0.06</v>
      </c>
      <c r="BS63">
        <v>0.11</v>
      </c>
      <c r="BT63">
        <v>0</v>
      </c>
      <c r="BU63">
        <v>6.68</v>
      </c>
      <c r="BV63">
        <v>5.62</v>
      </c>
      <c r="BW63">
        <v>0.34</v>
      </c>
      <c r="BX63">
        <v>0.72</v>
      </c>
      <c r="BY63">
        <v>0</v>
      </c>
      <c r="BZ63">
        <v>0.04</v>
      </c>
      <c r="CA63">
        <v>5.58</v>
      </c>
      <c r="CB63">
        <v>0</v>
      </c>
      <c r="CC63">
        <f t="shared" si="0"/>
        <v>2.75</v>
      </c>
      <c r="CD63">
        <v>3.96</v>
      </c>
      <c r="CE63">
        <v>0.34230769230769231</v>
      </c>
      <c r="CF63">
        <v>0.44500000000000001</v>
      </c>
      <c r="CG63">
        <v>0.1492537313432836</v>
      </c>
      <c r="CH63">
        <v>0.28776223776223769</v>
      </c>
      <c r="CI63">
        <v>0</v>
      </c>
      <c r="CJ63">
        <v>13575</v>
      </c>
      <c r="CK63" t="s">
        <v>169</v>
      </c>
      <c r="CL63" t="s">
        <v>354</v>
      </c>
      <c r="CM63" t="s">
        <v>143</v>
      </c>
      <c r="CN63">
        <v>0.27199185780099999</v>
      </c>
      <c r="CO63">
        <v>3.0076680592038509</v>
      </c>
      <c r="CP63">
        <v>62</v>
      </c>
      <c r="CQ63" t="s">
        <v>358</v>
      </c>
      <c r="CR63">
        <v>228</v>
      </c>
      <c r="CS63" t="s">
        <v>359</v>
      </c>
      <c r="CT63" t="s">
        <v>360</v>
      </c>
      <c r="CU63" t="s">
        <v>167</v>
      </c>
      <c r="CV63" t="s">
        <v>361</v>
      </c>
      <c r="CW63" t="s">
        <v>362</v>
      </c>
      <c r="CX63" t="s">
        <v>363</v>
      </c>
      <c r="CY63" t="s">
        <v>364</v>
      </c>
      <c r="CZ63" t="s">
        <v>151</v>
      </c>
      <c r="DA63" t="s">
        <v>152</v>
      </c>
      <c r="DB63" t="s">
        <v>178</v>
      </c>
      <c r="DC63" t="s">
        <v>365</v>
      </c>
      <c r="DD63" t="s">
        <v>155</v>
      </c>
      <c r="DE63">
        <v>13575</v>
      </c>
      <c r="DF63">
        <v>-95.574181999999993</v>
      </c>
      <c r="DG63">
        <v>31.698111000000001</v>
      </c>
      <c r="DH63">
        <v>5500</v>
      </c>
      <c r="DI63">
        <v>700</v>
      </c>
      <c r="DL63">
        <v>20</v>
      </c>
      <c r="DO63">
        <v>500</v>
      </c>
      <c r="DP63">
        <v>1</v>
      </c>
      <c r="DQ63">
        <v>2320</v>
      </c>
      <c r="DS63" t="s">
        <v>366</v>
      </c>
      <c r="DT63">
        <v>1.2500000000000001E-2</v>
      </c>
      <c r="DU63">
        <v>1.2500000000000001E-2</v>
      </c>
      <c r="DV63">
        <v>0.32500000000000001</v>
      </c>
      <c r="DW63">
        <v>0.32500000000000001</v>
      </c>
      <c r="DX63">
        <v>0.32500000000000001</v>
      </c>
      <c r="DY63">
        <v>28.65867187568594</v>
      </c>
      <c r="DZ63" s="4">
        <v>3.4470000000000001</v>
      </c>
      <c r="EA63" s="4" t="s">
        <v>182</v>
      </c>
      <c r="EB63" s="4" t="s">
        <v>183</v>
      </c>
      <c r="EC63">
        <v>4.4379999999999997</v>
      </c>
      <c r="ED63">
        <v>121</v>
      </c>
      <c r="EE63" t="s">
        <v>495</v>
      </c>
      <c r="EF63">
        <v>0</v>
      </c>
      <c r="EH63">
        <f t="shared" si="1"/>
        <v>0.58000000000000007</v>
      </c>
      <c r="EI63">
        <v>3.38</v>
      </c>
      <c r="EJ63">
        <v>3.65</v>
      </c>
    </row>
    <row r="64" spans="1:140" x14ac:dyDescent="0.35">
      <c r="A64" s="1">
        <v>62</v>
      </c>
      <c r="B64">
        <v>-95.11794317909154</v>
      </c>
      <c r="C64">
        <v>33.162943398976488</v>
      </c>
      <c r="D64" t="s">
        <v>496</v>
      </c>
      <c r="E64">
        <v>0.02</v>
      </c>
      <c r="F64" t="s">
        <v>160</v>
      </c>
      <c r="G64">
        <v>3.9300000000000002E-2</v>
      </c>
      <c r="H64" t="s">
        <v>161</v>
      </c>
      <c r="I64">
        <v>-10588481</v>
      </c>
      <c r="J64">
        <v>3916952</v>
      </c>
      <c r="K64" t="s">
        <v>165</v>
      </c>
      <c r="L64" t="s">
        <v>497</v>
      </c>
      <c r="M64">
        <v>225</v>
      </c>
      <c r="N64">
        <v>3.4649999999999999</v>
      </c>
      <c r="O64">
        <v>3</v>
      </c>
      <c r="P64">
        <v>7</v>
      </c>
      <c r="Q64">
        <v>48</v>
      </c>
      <c r="R64">
        <v>449</v>
      </c>
      <c r="S64">
        <v>31245</v>
      </c>
      <c r="T64" t="s">
        <v>167</v>
      </c>
      <c r="U64">
        <v>4.3100995732574674</v>
      </c>
      <c r="V64" t="s">
        <v>165</v>
      </c>
      <c r="W64">
        <v>9.7899999999999987E-2</v>
      </c>
      <c r="X64">
        <v>10</v>
      </c>
      <c r="Y64">
        <v>8.9</v>
      </c>
      <c r="Z64">
        <v>8.9</v>
      </c>
      <c r="AA64">
        <v>20</v>
      </c>
      <c r="AB64">
        <v>26</v>
      </c>
      <c r="AC64">
        <v>0.82299999999999995</v>
      </c>
      <c r="AD64">
        <v>67</v>
      </c>
      <c r="AE64">
        <v>0.1308010171646535</v>
      </c>
      <c r="AF64">
        <v>2.86</v>
      </c>
      <c r="AG64" t="s">
        <v>167</v>
      </c>
      <c r="AH64" t="s">
        <v>165</v>
      </c>
      <c r="AI64">
        <v>37</v>
      </c>
      <c r="AJ64">
        <v>1.233333333333333E-2</v>
      </c>
      <c r="AK64">
        <v>12.33333333333333</v>
      </c>
      <c r="AL64" t="s">
        <v>498</v>
      </c>
      <c r="AM64">
        <v>0</v>
      </c>
      <c r="AN64">
        <v>1.03</v>
      </c>
      <c r="AO64">
        <v>0.09</v>
      </c>
      <c r="AP64">
        <v>0.19</v>
      </c>
      <c r="AQ64">
        <v>0.74</v>
      </c>
      <c r="AR64">
        <v>0.68</v>
      </c>
      <c r="AS64">
        <v>0.04</v>
      </c>
      <c r="AT64">
        <v>0.01</v>
      </c>
      <c r="AU64">
        <v>0.02</v>
      </c>
      <c r="AV64">
        <v>1.95</v>
      </c>
      <c r="AW64">
        <v>0.96</v>
      </c>
      <c r="AX64">
        <v>0.21</v>
      </c>
      <c r="AY64">
        <v>0.53</v>
      </c>
      <c r="AZ64">
        <v>0</v>
      </c>
      <c r="BA64">
        <v>0.72</v>
      </c>
      <c r="BB64">
        <v>0.08</v>
      </c>
      <c r="BC64">
        <v>0.15</v>
      </c>
      <c r="BD64">
        <v>0.27</v>
      </c>
      <c r="BE64">
        <v>6.28</v>
      </c>
      <c r="BF64">
        <v>5.59</v>
      </c>
      <c r="BG64">
        <v>0.24</v>
      </c>
      <c r="BH64">
        <v>0.45</v>
      </c>
      <c r="BI64">
        <v>0</v>
      </c>
      <c r="BJ64">
        <v>0.04</v>
      </c>
      <c r="BK64">
        <v>5.55</v>
      </c>
      <c r="BL64">
        <v>0</v>
      </c>
      <c r="BM64">
        <v>1.51</v>
      </c>
      <c r="BN64">
        <v>0.21</v>
      </c>
      <c r="BO64">
        <v>0.46</v>
      </c>
      <c r="BP64">
        <v>0.84</v>
      </c>
      <c r="BQ64">
        <v>0.67</v>
      </c>
      <c r="BR64">
        <v>0.06</v>
      </c>
      <c r="BS64">
        <v>0.11</v>
      </c>
      <c r="BT64">
        <v>0</v>
      </c>
      <c r="BU64">
        <v>6.68</v>
      </c>
      <c r="BV64">
        <v>5.62</v>
      </c>
      <c r="BW64">
        <v>0.34</v>
      </c>
      <c r="BX64">
        <v>0.72</v>
      </c>
      <c r="BY64">
        <v>0</v>
      </c>
      <c r="BZ64">
        <v>0.04</v>
      </c>
      <c r="CA64">
        <v>5.58</v>
      </c>
      <c r="CB64">
        <v>0</v>
      </c>
      <c r="CC64">
        <f t="shared" si="0"/>
        <v>2.75</v>
      </c>
      <c r="CD64">
        <v>3.96</v>
      </c>
      <c r="CE64">
        <v>0.34230769230769231</v>
      </c>
      <c r="CF64">
        <v>0.44500000000000001</v>
      </c>
      <c r="CG64">
        <v>0.1492537313432836</v>
      </c>
      <c r="CH64">
        <v>0.28776223776223769</v>
      </c>
      <c r="CI64">
        <v>0</v>
      </c>
      <c r="CJ64">
        <v>22076</v>
      </c>
      <c r="CK64" t="s">
        <v>141</v>
      </c>
      <c r="CL64" t="s">
        <v>499</v>
      </c>
      <c r="CM64" t="s">
        <v>143</v>
      </c>
      <c r="CN64">
        <v>0.256512598413</v>
      </c>
      <c r="CO64">
        <v>0.1045341983815444</v>
      </c>
      <c r="CP64">
        <v>63</v>
      </c>
      <c r="CQ64" t="s">
        <v>358</v>
      </c>
      <c r="CR64">
        <v>228</v>
      </c>
      <c r="CS64" t="s">
        <v>359</v>
      </c>
      <c r="CT64" t="s">
        <v>360</v>
      </c>
      <c r="CU64" t="s">
        <v>167</v>
      </c>
      <c r="CV64" t="s">
        <v>361</v>
      </c>
      <c r="CW64" t="s">
        <v>362</v>
      </c>
      <c r="CX64" t="s">
        <v>363</v>
      </c>
      <c r="CY64" t="s">
        <v>364</v>
      </c>
      <c r="CZ64" t="s">
        <v>151</v>
      </c>
      <c r="DA64" t="s">
        <v>152</v>
      </c>
      <c r="DB64" t="s">
        <v>178</v>
      </c>
      <c r="DC64" t="s">
        <v>365</v>
      </c>
      <c r="DD64" t="s">
        <v>155</v>
      </c>
      <c r="DE64">
        <v>13575</v>
      </c>
      <c r="DF64">
        <v>-95.574181999999993</v>
      </c>
      <c r="DG64">
        <v>31.698111000000001</v>
      </c>
      <c r="DH64">
        <v>5500</v>
      </c>
      <c r="DI64">
        <v>700</v>
      </c>
      <c r="DL64">
        <v>20</v>
      </c>
      <c r="DO64">
        <v>500</v>
      </c>
      <c r="DP64">
        <v>1</v>
      </c>
      <c r="DQ64">
        <v>2320</v>
      </c>
      <c r="DS64" t="s">
        <v>366</v>
      </c>
      <c r="DT64">
        <v>1.2500000000000001E-2</v>
      </c>
      <c r="DU64">
        <v>1.2500000000000001E-2</v>
      </c>
      <c r="DV64">
        <v>0.32500000000000001</v>
      </c>
      <c r="DW64">
        <v>0.32500000000000001</v>
      </c>
      <c r="DX64">
        <v>0.32500000000000001</v>
      </c>
      <c r="DY64">
        <v>0</v>
      </c>
      <c r="DZ64" s="4">
        <v>3.4470000000000001</v>
      </c>
      <c r="EA64" s="4" t="s">
        <v>182</v>
      </c>
      <c r="EB64" s="4" t="s">
        <v>183</v>
      </c>
      <c r="EC64">
        <v>4.4379999999999997</v>
      </c>
      <c r="ED64">
        <v>85</v>
      </c>
      <c r="EE64" t="s">
        <v>498</v>
      </c>
      <c r="EF64">
        <v>0</v>
      </c>
      <c r="EH64">
        <f t="shared" si="1"/>
        <v>0.58000000000000007</v>
      </c>
      <c r="EI64">
        <v>3.38</v>
      </c>
      <c r="EJ64">
        <v>3.65</v>
      </c>
    </row>
    <row r="65" spans="1:140" x14ac:dyDescent="0.35">
      <c r="A65" s="1">
        <v>63</v>
      </c>
      <c r="B65">
        <v>-93.321312610852502</v>
      </c>
      <c r="C65">
        <v>33.162943398976488</v>
      </c>
      <c r="D65" t="s">
        <v>500</v>
      </c>
      <c r="E65">
        <v>0.1</v>
      </c>
      <c r="F65" t="s">
        <v>135</v>
      </c>
      <c r="G65">
        <v>3.9300000000000002E-2</v>
      </c>
      <c r="H65" t="s">
        <v>161</v>
      </c>
      <c r="I65">
        <v>-10388481</v>
      </c>
      <c r="J65">
        <v>3916952</v>
      </c>
      <c r="K65" t="s">
        <v>501</v>
      </c>
      <c r="L65" t="s">
        <v>298</v>
      </c>
      <c r="M65">
        <v>14</v>
      </c>
      <c r="N65">
        <v>3.7349999999999999</v>
      </c>
      <c r="O65">
        <v>3</v>
      </c>
      <c r="P65">
        <v>7</v>
      </c>
      <c r="Q65">
        <v>5</v>
      </c>
      <c r="R65">
        <v>27</v>
      </c>
      <c r="S65">
        <v>22798</v>
      </c>
      <c r="T65" t="s">
        <v>502</v>
      </c>
      <c r="U65">
        <v>7.4107777890672626</v>
      </c>
      <c r="V65" t="s">
        <v>501</v>
      </c>
      <c r="W65">
        <v>9.5899999999999999E-2</v>
      </c>
      <c r="X65">
        <v>10</v>
      </c>
      <c r="Y65">
        <v>8.9</v>
      </c>
      <c r="Z65">
        <v>8.9</v>
      </c>
      <c r="AA65">
        <v>20</v>
      </c>
      <c r="AB65">
        <v>26</v>
      </c>
      <c r="AC65">
        <v>0.96</v>
      </c>
      <c r="AD65">
        <v>67</v>
      </c>
      <c r="AE65">
        <v>0.15257469802924351</v>
      </c>
      <c r="AF65">
        <v>2.86</v>
      </c>
      <c r="AG65" t="s">
        <v>502</v>
      </c>
      <c r="AH65" t="s">
        <v>501</v>
      </c>
      <c r="AI65">
        <v>26</v>
      </c>
      <c r="AJ65">
        <v>8.6666666666666663E-3</v>
      </c>
      <c r="AK65">
        <v>8.6666666666666661</v>
      </c>
      <c r="AL65" t="s">
        <v>503</v>
      </c>
      <c r="AM65">
        <v>0</v>
      </c>
      <c r="AN65">
        <v>1.52</v>
      </c>
      <c r="AO65">
        <v>0.09</v>
      </c>
      <c r="AP65">
        <v>0.19</v>
      </c>
      <c r="AQ65">
        <v>1.23</v>
      </c>
      <c r="AR65">
        <v>1.17</v>
      </c>
      <c r="AS65">
        <v>0.04</v>
      </c>
      <c r="AT65">
        <v>0.01</v>
      </c>
      <c r="AU65">
        <v>0.02</v>
      </c>
      <c r="AV65">
        <v>2.4700000000000002</v>
      </c>
      <c r="AW65">
        <v>1.48</v>
      </c>
      <c r="AX65">
        <v>0.21</v>
      </c>
      <c r="AY65">
        <v>0.53</v>
      </c>
      <c r="AZ65">
        <v>0</v>
      </c>
      <c r="BA65">
        <v>1.24</v>
      </c>
      <c r="BB65">
        <v>0.08</v>
      </c>
      <c r="BC65">
        <v>0.15</v>
      </c>
      <c r="BD65">
        <v>0.27</v>
      </c>
      <c r="BE65">
        <v>6.28</v>
      </c>
      <c r="BF65">
        <v>5.59</v>
      </c>
      <c r="BG65">
        <v>0.24</v>
      </c>
      <c r="BH65">
        <v>0.45</v>
      </c>
      <c r="BI65">
        <v>0</v>
      </c>
      <c r="BJ65">
        <v>0.04</v>
      </c>
      <c r="BK65">
        <v>5.55</v>
      </c>
      <c r="BL65">
        <v>0</v>
      </c>
      <c r="BM65">
        <v>2</v>
      </c>
      <c r="BN65">
        <v>0.21</v>
      </c>
      <c r="BO65">
        <v>0.46</v>
      </c>
      <c r="BP65">
        <v>1.32</v>
      </c>
      <c r="BQ65">
        <v>1.1599999999999999</v>
      </c>
      <c r="BR65">
        <v>0.06</v>
      </c>
      <c r="BS65">
        <v>0.11</v>
      </c>
      <c r="BT65">
        <v>0</v>
      </c>
      <c r="BU65">
        <v>6.68</v>
      </c>
      <c r="BV65">
        <v>5.62</v>
      </c>
      <c r="BW65">
        <v>0.34</v>
      </c>
      <c r="BX65">
        <v>0.72</v>
      </c>
      <c r="BY65">
        <v>0</v>
      </c>
      <c r="BZ65">
        <v>0.04</v>
      </c>
      <c r="CA65">
        <v>5.58</v>
      </c>
      <c r="CB65">
        <v>0</v>
      </c>
      <c r="CC65">
        <f t="shared" si="0"/>
        <v>2.75</v>
      </c>
      <c r="CD65">
        <v>3.96</v>
      </c>
      <c r="CE65">
        <v>0.34230769230769231</v>
      </c>
      <c r="CF65">
        <v>0.44500000000000001</v>
      </c>
      <c r="CG65">
        <v>0.1492537313432836</v>
      </c>
      <c r="CH65">
        <v>0.33566433566433568</v>
      </c>
      <c r="CI65">
        <v>0</v>
      </c>
      <c r="CJ65">
        <v>20650</v>
      </c>
      <c r="CK65" t="s">
        <v>141</v>
      </c>
      <c r="CL65" t="s">
        <v>499</v>
      </c>
      <c r="CM65" t="s">
        <v>143</v>
      </c>
      <c r="CN65">
        <v>1.5508299828700001</v>
      </c>
      <c r="CO65">
        <v>3.8647072718949418E-2</v>
      </c>
      <c r="CP65">
        <v>64</v>
      </c>
      <c r="CQ65" t="s">
        <v>358</v>
      </c>
      <c r="CR65">
        <v>228</v>
      </c>
      <c r="CS65" t="s">
        <v>359</v>
      </c>
      <c r="CT65" t="s">
        <v>360</v>
      </c>
      <c r="CU65" t="s">
        <v>167</v>
      </c>
      <c r="CV65" t="s">
        <v>361</v>
      </c>
      <c r="CW65" t="s">
        <v>362</v>
      </c>
      <c r="CX65" t="s">
        <v>363</v>
      </c>
      <c r="CY65" t="s">
        <v>364</v>
      </c>
      <c r="CZ65" t="s">
        <v>151</v>
      </c>
      <c r="DA65" t="s">
        <v>152</v>
      </c>
      <c r="DB65" t="s">
        <v>178</v>
      </c>
      <c r="DC65" t="s">
        <v>365</v>
      </c>
      <c r="DD65" t="s">
        <v>155</v>
      </c>
      <c r="DE65">
        <v>13575</v>
      </c>
      <c r="DF65">
        <v>-95.574181999999993</v>
      </c>
      <c r="DG65">
        <v>31.698111000000001</v>
      </c>
      <c r="DH65">
        <v>5500</v>
      </c>
      <c r="DI65">
        <v>700</v>
      </c>
      <c r="DL65">
        <v>20</v>
      </c>
      <c r="DO65">
        <v>500</v>
      </c>
      <c r="DP65">
        <v>1</v>
      </c>
      <c r="DQ65">
        <v>2320</v>
      </c>
      <c r="DS65" t="s">
        <v>366</v>
      </c>
      <c r="DT65">
        <v>1.2500000000000001E-2</v>
      </c>
      <c r="DU65">
        <v>1.2500000000000001E-2</v>
      </c>
      <c r="DV65">
        <v>0.32500000000000001</v>
      </c>
      <c r="DW65">
        <v>0.32500000000000001</v>
      </c>
      <c r="DX65">
        <v>0.32500000000000001</v>
      </c>
      <c r="DY65">
        <v>43.896912887174643</v>
      </c>
      <c r="DZ65" s="4">
        <v>3.48</v>
      </c>
      <c r="EA65" s="4" t="s">
        <v>504</v>
      </c>
      <c r="EB65" s="4" t="s">
        <v>505</v>
      </c>
      <c r="EC65">
        <v>4.3410000000000002</v>
      </c>
      <c r="ED65">
        <v>492</v>
      </c>
      <c r="EE65" t="s">
        <v>503</v>
      </c>
      <c r="EF65">
        <v>0</v>
      </c>
      <c r="EH65">
        <f t="shared" si="1"/>
        <v>0.58000000000000007</v>
      </c>
      <c r="EI65">
        <v>3.38</v>
      </c>
      <c r="EJ65">
        <v>3.65</v>
      </c>
    </row>
    <row r="66" spans="1:140" x14ac:dyDescent="0.35">
      <c r="A66" s="1">
        <v>64</v>
      </c>
      <c r="B66">
        <v>-91.524682042613449</v>
      </c>
      <c r="C66">
        <v>33.162943398976488</v>
      </c>
      <c r="D66" t="s">
        <v>506</v>
      </c>
      <c r="E66">
        <v>0.02</v>
      </c>
      <c r="F66" t="s">
        <v>160</v>
      </c>
      <c r="G66">
        <v>3.7400000000000003E-2</v>
      </c>
      <c r="H66" t="s">
        <v>161</v>
      </c>
      <c r="I66">
        <v>-10188481</v>
      </c>
      <c r="J66">
        <v>3916952</v>
      </c>
      <c r="K66" t="s">
        <v>501</v>
      </c>
      <c r="L66" t="s">
        <v>507</v>
      </c>
      <c r="M66">
        <v>2</v>
      </c>
      <c r="N66">
        <v>3.4260000000000002</v>
      </c>
      <c r="O66">
        <v>3</v>
      </c>
      <c r="P66">
        <v>7</v>
      </c>
      <c r="Q66">
        <v>5</v>
      </c>
      <c r="R66">
        <v>3</v>
      </c>
      <c r="S66">
        <v>19064</v>
      </c>
      <c r="T66" t="s">
        <v>502</v>
      </c>
      <c r="U66">
        <v>7.4107777890672626</v>
      </c>
      <c r="V66" t="s">
        <v>501</v>
      </c>
      <c r="W66">
        <v>9.5899999999999999E-2</v>
      </c>
      <c r="X66">
        <v>10</v>
      </c>
      <c r="Y66">
        <v>8.9</v>
      </c>
      <c r="Z66">
        <v>8.9</v>
      </c>
      <c r="AA66">
        <v>20</v>
      </c>
      <c r="AB66">
        <v>26</v>
      </c>
      <c r="AC66">
        <v>0.96</v>
      </c>
      <c r="AD66">
        <v>67</v>
      </c>
      <c r="AE66">
        <v>0.15257469802924351</v>
      </c>
      <c r="AF66">
        <v>2.86</v>
      </c>
      <c r="AG66" t="s">
        <v>502</v>
      </c>
      <c r="AH66" t="s">
        <v>501</v>
      </c>
      <c r="AI66">
        <v>26</v>
      </c>
      <c r="AJ66">
        <v>8.6666666666666663E-3</v>
      </c>
      <c r="AK66">
        <v>8.6666666666666661</v>
      </c>
      <c r="AL66" t="s">
        <v>508</v>
      </c>
      <c r="AM66">
        <v>20744.451009176981</v>
      </c>
      <c r="AN66">
        <v>1.52</v>
      </c>
      <c r="AO66">
        <v>0.09</v>
      </c>
      <c r="AP66">
        <v>0.19</v>
      </c>
      <c r="AQ66">
        <v>1.23</v>
      </c>
      <c r="AR66">
        <v>1.17</v>
      </c>
      <c r="AS66">
        <v>0.04</v>
      </c>
      <c r="AT66">
        <v>0.01</v>
      </c>
      <c r="AU66">
        <v>0.02</v>
      </c>
      <c r="AV66">
        <v>2.4700000000000002</v>
      </c>
      <c r="AW66">
        <v>1.48</v>
      </c>
      <c r="AX66">
        <v>0.21</v>
      </c>
      <c r="AY66">
        <v>0.53</v>
      </c>
      <c r="AZ66">
        <v>0</v>
      </c>
      <c r="BA66">
        <v>1.24</v>
      </c>
      <c r="BB66">
        <v>0.08</v>
      </c>
      <c r="BC66">
        <v>0.15</v>
      </c>
      <c r="BD66">
        <v>0.27</v>
      </c>
      <c r="BE66">
        <v>6.28</v>
      </c>
      <c r="BF66">
        <v>5.59</v>
      </c>
      <c r="BG66">
        <v>0.24</v>
      </c>
      <c r="BH66">
        <v>0.45</v>
      </c>
      <c r="BI66">
        <v>0</v>
      </c>
      <c r="BJ66">
        <v>0.04</v>
      </c>
      <c r="BK66">
        <v>5.55</v>
      </c>
      <c r="BL66">
        <v>0</v>
      </c>
      <c r="BM66">
        <v>2</v>
      </c>
      <c r="BN66">
        <v>0.21</v>
      </c>
      <c r="BO66">
        <v>0.46</v>
      </c>
      <c r="BP66">
        <v>1.32</v>
      </c>
      <c r="BQ66">
        <v>1.1599999999999999</v>
      </c>
      <c r="BR66">
        <v>0.06</v>
      </c>
      <c r="BS66">
        <v>0.11</v>
      </c>
      <c r="BT66">
        <v>0</v>
      </c>
      <c r="BU66">
        <v>6.68</v>
      </c>
      <c r="BV66">
        <v>5.62</v>
      </c>
      <c r="BW66">
        <v>0.34</v>
      </c>
      <c r="BX66">
        <v>0.72</v>
      </c>
      <c r="BY66">
        <v>0</v>
      </c>
      <c r="BZ66">
        <v>0.04</v>
      </c>
      <c r="CA66">
        <v>5.58</v>
      </c>
      <c r="CB66">
        <v>0</v>
      </c>
      <c r="CC66">
        <f t="shared" si="0"/>
        <v>2.75</v>
      </c>
      <c r="CD66">
        <v>3.96</v>
      </c>
      <c r="CE66">
        <v>0.34230769230769231</v>
      </c>
      <c r="CF66">
        <v>0.44500000000000001</v>
      </c>
      <c r="CG66">
        <v>0.1492537313432836</v>
      </c>
      <c r="CH66">
        <v>0.33566433566433568</v>
      </c>
      <c r="CI66">
        <v>0</v>
      </c>
      <c r="CJ66">
        <v>25672</v>
      </c>
      <c r="CK66" t="s">
        <v>141</v>
      </c>
      <c r="CL66" t="s">
        <v>509</v>
      </c>
      <c r="CM66" t="s">
        <v>143</v>
      </c>
      <c r="CN66">
        <v>0.28729278306599998</v>
      </c>
      <c r="CO66">
        <v>4.066432194226083</v>
      </c>
      <c r="CP66">
        <v>65</v>
      </c>
      <c r="CQ66" t="s">
        <v>378</v>
      </c>
      <c r="CR66">
        <v>109</v>
      </c>
      <c r="CS66" t="s">
        <v>379</v>
      </c>
      <c r="CT66" t="s">
        <v>215</v>
      </c>
      <c r="CU66" t="s">
        <v>216</v>
      </c>
      <c r="CV66" t="s">
        <v>380</v>
      </c>
      <c r="CW66" t="s">
        <v>175</v>
      </c>
      <c r="CX66" t="s">
        <v>218</v>
      </c>
      <c r="CY66" t="s">
        <v>219</v>
      </c>
      <c r="CZ66" t="s">
        <v>151</v>
      </c>
      <c r="DA66" t="s">
        <v>152</v>
      </c>
      <c r="DB66" t="s">
        <v>178</v>
      </c>
      <c r="DC66" t="s">
        <v>179</v>
      </c>
      <c r="DD66" t="s">
        <v>155</v>
      </c>
      <c r="DE66">
        <v>8003</v>
      </c>
      <c r="DF66">
        <v>-90.094294000000005</v>
      </c>
      <c r="DG66">
        <v>31.364063000000002</v>
      </c>
      <c r="DH66">
        <v>10000</v>
      </c>
      <c r="DI66">
        <v>400</v>
      </c>
      <c r="DJ66">
        <v>4500</v>
      </c>
      <c r="DL66">
        <v>22</v>
      </c>
      <c r="DM66">
        <v>16</v>
      </c>
      <c r="DN66">
        <v>29</v>
      </c>
      <c r="DO66">
        <v>200</v>
      </c>
      <c r="DP66">
        <v>4</v>
      </c>
      <c r="DQ66">
        <v>4170</v>
      </c>
      <c r="DS66">
        <v>11</v>
      </c>
      <c r="DT66">
        <v>1.2500000000000001E-2</v>
      </c>
      <c r="DU66">
        <v>1.2500000000000001E-2</v>
      </c>
      <c r="DV66">
        <v>0.32500000000000001</v>
      </c>
      <c r="DW66">
        <v>0.32500000000000001</v>
      </c>
      <c r="DX66">
        <v>0.32500000000000001</v>
      </c>
      <c r="DY66">
        <v>0</v>
      </c>
      <c r="DZ66" s="4">
        <v>3.48</v>
      </c>
      <c r="EA66" s="4" t="s">
        <v>504</v>
      </c>
      <c r="EB66" s="4" t="s">
        <v>505</v>
      </c>
      <c r="EC66">
        <v>4.3410000000000002</v>
      </c>
      <c r="ED66">
        <v>105</v>
      </c>
      <c r="EE66" t="s">
        <v>508</v>
      </c>
      <c r="EF66">
        <v>0.15613616215310591</v>
      </c>
      <c r="EH66">
        <f t="shared" si="1"/>
        <v>0.58000000000000007</v>
      </c>
      <c r="EI66">
        <v>3.38</v>
      </c>
      <c r="EJ66">
        <v>3.65</v>
      </c>
    </row>
    <row r="67" spans="1:140" x14ac:dyDescent="0.35">
      <c r="A67" s="1">
        <v>65</v>
      </c>
      <c r="B67">
        <v>-89.728051474374411</v>
      </c>
      <c r="C67">
        <v>33.162943398976488</v>
      </c>
      <c r="D67" t="s">
        <v>510</v>
      </c>
      <c r="E67">
        <v>0.02</v>
      </c>
      <c r="F67" t="s">
        <v>160</v>
      </c>
      <c r="G67">
        <v>3.7400000000000003E-2</v>
      </c>
      <c r="H67" t="s">
        <v>161</v>
      </c>
      <c r="I67">
        <v>-9988481</v>
      </c>
      <c r="J67">
        <v>3916952</v>
      </c>
      <c r="K67" t="s">
        <v>386</v>
      </c>
      <c r="L67" t="s">
        <v>511</v>
      </c>
      <c r="M67">
        <v>4</v>
      </c>
      <c r="N67">
        <v>3.464</v>
      </c>
      <c r="O67">
        <v>3</v>
      </c>
      <c r="P67">
        <v>6</v>
      </c>
      <c r="Q67">
        <v>28</v>
      </c>
      <c r="R67">
        <v>7</v>
      </c>
      <c r="S67">
        <v>17885</v>
      </c>
      <c r="T67" t="s">
        <v>216</v>
      </c>
      <c r="U67">
        <v>5.9160358666937602</v>
      </c>
      <c r="V67" t="s">
        <v>386</v>
      </c>
      <c r="W67">
        <v>0.10929999999999999</v>
      </c>
      <c r="X67">
        <v>10</v>
      </c>
      <c r="Y67">
        <v>8.9</v>
      </c>
      <c r="Z67">
        <v>8.9</v>
      </c>
      <c r="AA67">
        <v>20</v>
      </c>
      <c r="AB67">
        <v>26</v>
      </c>
      <c r="AC67">
        <v>0.79400000000000004</v>
      </c>
      <c r="AD67">
        <v>67</v>
      </c>
      <c r="AE67">
        <v>0.12619198982835339</v>
      </c>
      <c r="AF67">
        <v>2.86</v>
      </c>
      <c r="AG67" t="s">
        <v>216</v>
      </c>
      <c r="AH67" t="s">
        <v>386</v>
      </c>
      <c r="AI67">
        <v>23</v>
      </c>
      <c r="AJ67">
        <v>7.6666666666666662E-3</v>
      </c>
      <c r="AK67">
        <v>7.6666666666666661</v>
      </c>
      <c r="AL67" t="s">
        <v>512</v>
      </c>
      <c r="AM67">
        <v>7200.8392422816632</v>
      </c>
      <c r="AN67">
        <v>1.28</v>
      </c>
      <c r="AO67">
        <v>0.09</v>
      </c>
      <c r="AP67">
        <v>0.19</v>
      </c>
      <c r="AQ67">
        <v>0.99</v>
      </c>
      <c r="AR67">
        <v>0.94</v>
      </c>
      <c r="AS67">
        <v>0.04</v>
      </c>
      <c r="AT67">
        <v>0.01</v>
      </c>
      <c r="AU67">
        <v>0.02</v>
      </c>
      <c r="AV67">
        <v>2.2400000000000002</v>
      </c>
      <c r="AW67">
        <v>1.24</v>
      </c>
      <c r="AX67">
        <v>0.21</v>
      </c>
      <c r="AY67">
        <v>0.53</v>
      </c>
      <c r="AZ67">
        <v>0</v>
      </c>
      <c r="BA67">
        <v>0.99</v>
      </c>
      <c r="BB67">
        <v>0.08</v>
      </c>
      <c r="BC67">
        <v>0.17</v>
      </c>
      <c r="BD67">
        <v>0.27</v>
      </c>
      <c r="BE67">
        <v>6.83</v>
      </c>
      <c r="BF67">
        <v>6.14</v>
      </c>
      <c r="BG67">
        <v>0.24</v>
      </c>
      <c r="BH67">
        <v>0.45</v>
      </c>
      <c r="BI67">
        <v>0</v>
      </c>
      <c r="BJ67">
        <v>0.04</v>
      </c>
      <c r="BK67">
        <v>6.1</v>
      </c>
      <c r="BL67">
        <v>0</v>
      </c>
      <c r="BM67">
        <v>1.77</v>
      </c>
      <c r="BN67">
        <v>0.21</v>
      </c>
      <c r="BO67">
        <v>0.46</v>
      </c>
      <c r="BP67">
        <v>1.1000000000000001</v>
      </c>
      <c r="BQ67">
        <v>0.92</v>
      </c>
      <c r="BR67">
        <v>0.06</v>
      </c>
      <c r="BS67">
        <v>0.12</v>
      </c>
      <c r="BT67">
        <v>0</v>
      </c>
      <c r="BU67">
        <v>7.24</v>
      </c>
      <c r="BV67">
        <v>6.18</v>
      </c>
      <c r="BW67">
        <v>0.34</v>
      </c>
      <c r="BX67">
        <v>0.72</v>
      </c>
      <c r="BY67">
        <v>0</v>
      </c>
      <c r="BZ67">
        <v>0.04</v>
      </c>
      <c r="CA67">
        <v>6.14</v>
      </c>
      <c r="CB67">
        <v>0</v>
      </c>
      <c r="CC67">
        <f t="shared" ref="CC67:CC130" si="2">6.71-CD67</f>
        <v>2.75</v>
      </c>
      <c r="CD67">
        <v>3.96</v>
      </c>
      <c r="CE67">
        <v>0.34230769230769231</v>
      </c>
      <c r="CF67">
        <v>0.44500000000000001</v>
      </c>
      <c r="CG67">
        <v>0.1492537313432836</v>
      </c>
      <c r="CH67">
        <v>0.27762237762237763</v>
      </c>
      <c r="CI67">
        <v>0</v>
      </c>
      <c r="CJ67">
        <v>22790</v>
      </c>
      <c r="CK67" t="s">
        <v>141</v>
      </c>
      <c r="CL67" t="s">
        <v>240</v>
      </c>
      <c r="CM67" t="s">
        <v>143</v>
      </c>
      <c r="CN67">
        <v>9.1522685821600003E-2</v>
      </c>
      <c r="CO67">
        <v>9.501297808399352</v>
      </c>
      <c r="CP67">
        <v>66</v>
      </c>
      <c r="CQ67" t="s">
        <v>513</v>
      </c>
      <c r="CR67">
        <v>110</v>
      </c>
      <c r="CS67" t="s">
        <v>214</v>
      </c>
      <c r="CT67" t="s">
        <v>215</v>
      </c>
      <c r="CU67" t="s">
        <v>216</v>
      </c>
      <c r="CV67" t="s">
        <v>217</v>
      </c>
      <c r="CW67" t="s">
        <v>175</v>
      </c>
      <c r="CX67" t="s">
        <v>218</v>
      </c>
      <c r="CY67" t="s">
        <v>219</v>
      </c>
      <c r="CZ67" t="s">
        <v>151</v>
      </c>
      <c r="DA67" t="s">
        <v>152</v>
      </c>
      <c r="DB67" t="s">
        <v>178</v>
      </c>
      <c r="DC67" t="s">
        <v>179</v>
      </c>
      <c r="DD67" t="s">
        <v>155</v>
      </c>
      <c r="DE67">
        <v>4393</v>
      </c>
      <c r="DF67">
        <v>-89.078338000000002</v>
      </c>
      <c r="DG67">
        <v>30.725223</v>
      </c>
      <c r="DH67">
        <v>8000</v>
      </c>
      <c r="DI67">
        <v>650</v>
      </c>
      <c r="DJ67">
        <v>3600</v>
      </c>
      <c r="DL67">
        <v>21</v>
      </c>
      <c r="DM67">
        <v>16</v>
      </c>
      <c r="DN67">
        <v>29</v>
      </c>
      <c r="DO67">
        <v>400</v>
      </c>
      <c r="DP67">
        <v>67</v>
      </c>
      <c r="DQ67">
        <v>3080</v>
      </c>
      <c r="DS67">
        <v>11</v>
      </c>
      <c r="DT67">
        <v>1.2500000000000001E-2</v>
      </c>
      <c r="DU67">
        <v>1.2500000000000001E-2</v>
      </c>
      <c r="DV67">
        <v>0.32500000000000001</v>
      </c>
      <c r="DW67">
        <v>0.32500000000000001</v>
      </c>
      <c r="DX67">
        <v>0.32500000000000001</v>
      </c>
      <c r="DY67">
        <v>0</v>
      </c>
      <c r="DZ67" s="4">
        <v>3.4470000000000001</v>
      </c>
      <c r="EA67" s="4" t="s">
        <v>391</v>
      </c>
      <c r="EB67" s="4" t="s">
        <v>392</v>
      </c>
      <c r="EC67">
        <v>4.4000000000000004</v>
      </c>
      <c r="ED67">
        <v>2</v>
      </c>
      <c r="EE67" t="s">
        <v>512</v>
      </c>
      <c r="EF67">
        <v>5.5193732346221068E-2</v>
      </c>
      <c r="EH67">
        <f t="shared" ref="EH67:EH130" si="3">0.39+0.19</f>
        <v>0.58000000000000007</v>
      </c>
      <c r="EI67">
        <v>3.38</v>
      </c>
      <c r="EJ67">
        <v>3.65</v>
      </c>
    </row>
    <row r="68" spans="1:140" x14ac:dyDescent="0.35">
      <c r="A68" s="1">
        <v>66</v>
      </c>
      <c r="B68">
        <v>-87.931420906135358</v>
      </c>
      <c r="C68">
        <v>33.162943398976488</v>
      </c>
      <c r="D68" t="s">
        <v>514</v>
      </c>
      <c r="E68">
        <v>0.02</v>
      </c>
      <c r="F68" t="s">
        <v>160</v>
      </c>
      <c r="G68">
        <v>4.6300000000000001E-2</v>
      </c>
      <c r="H68" t="s">
        <v>161</v>
      </c>
      <c r="I68">
        <v>-9788481</v>
      </c>
      <c r="J68">
        <v>3916952</v>
      </c>
      <c r="K68" t="s">
        <v>274</v>
      </c>
      <c r="L68" t="s">
        <v>515</v>
      </c>
      <c r="M68">
        <v>54</v>
      </c>
      <c r="N68">
        <v>3.5630000000000002</v>
      </c>
      <c r="O68">
        <v>3</v>
      </c>
      <c r="P68">
        <v>6</v>
      </c>
      <c r="Q68">
        <v>1</v>
      </c>
      <c r="R68">
        <v>107</v>
      </c>
      <c r="S68">
        <v>19124</v>
      </c>
      <c r="T68" t="s">
        <v>276</v>
      </c>
      <c r="U68">
        <v>5.7134919223735006</v>
      </c>
      <c r="V68" t="s">
        <v>274</v>
      </c>
      <c r="W68">
        <v>0.11899999999999999</v>
      </c>
      <c r="X68">
        <v>10</v>
      </c>
      <c r="Y68">
        <v>8.9</v>
      </c>
      <c r="Z68">
        <v>8.9</v>
      </c>
      <c r="AA68">
        <v>20</v>
      </c>
      <c r="AB68">
        <v>26</v>
      </c>
      <c r="AC68">
        <v>0.747</v>
      </c>
      <c r="AD68">
        <v>67</v>
      </c>
      <c r="AE68">
        <v>0.1187221869040051</v>
      </c>
      <c r="AF68">
        <v>2.86</v>
      </c>
      <c r="AG68" t="s">
        <v>276</v>
      </c>
      <c r="AH68" t="s">
        <v>274</v>
      </c>
      <c r="AI68">
        <v>30</v>
      </c>
      <c r="AJ68">
        <v>0.01</v>
      </c>
      <c r="AK68">
        <v>10</v>
      </c>
      <c r="AL68" t="s">
        <v>516</v>
      </c>
      <c r="AM68">
        <v>0</v>
      </c>
      <c r="AN68">
        <v>1.25</v>
      </c>
      <c r="AO68">
        <v>0.09</v>
      </c>
      <c r="AP68">
        <v>0.19</v>
      </c>
      <c r="AQ68">
        <v>0.96</v>
      </c>
      <c r="AR68">
        <v>0.9</v>
      </c>
      <c r="AS68">
        <v>0.04</v>
      </c>
      <c r="AT68">
        <v>0.02</v>
      </c>
      <c r="AU68">
        <v>0.02</v>
      </c>
      <c r="AV68">
        <v>2.2200000000000002</v>
      </c>
      <c r="AW68">
        <v>1.22</v>
      </c>
      <c r="AX68">
        <v>0.21</v>
      </c>
      <c r="AY68">
        <v>0.53</v>
      </c>
      <c r="AZ68">
        <v>0</v>
      </c>
      <c r="BA68">
        <v>0.96</v>
      </c>
      <c r="BB68">
        <v>0.08</v>
      </c>
      <c r="BC68">
        <v>0.18</v>
      </c>
      <c r="BD68">
        <v>0.27</v>
      </c>
      <c r="BE68">
        <v>7.39</v>
      </c>
      <c r="BF68">
        <v>6.7</v>
      </c>
      <c r="BG68">
        <v>0.24</v>
      </c>
      <c r="BH68">
        <v>0.45</v>
      </c>
      <c r="BI68">
        <v>0</v>
      </c>
      <c r="BJ68">
        <v>0.04</v>
      </c>
      <c r="BK68">
        <v>6.66</v>
      </c>
      <c r="BL68">
        <v>0</v>
      </c>
      <c r="BM68">
        <v>1.75</v>
      </c>
      <c r="BN68">
        <v>0.21</v>
      </c>
      <c r="BO68">
        <v>0.46</v>
      </c>
      <c r="BP68">
        <v>1.08</v>
      </c>
      <c r="BQ68">
        <v>0.89</v>
      </c>
      <c r="BR68">
        <v>0.06</v>
      </c>
      <c r="BS68">
        <v>0.13</v>
      </c>
      <c r="BT68">
        <v>0</v>
      </c>
      <c r="BU68">
        <v>7.79</v>
      </c>
      <c r="BV68">
        <v>6.73</v>
      </c>
      <c r="BW68">
        <v>0.34</v>
      </c>
      <c r="BX68">
        <v>0.72</v>
      </c>
      <c r="BY68">
        <v>0</v>
      </c>
      <c r="BZ68">
        <v>0.04</v>
      </c>
      <c r="CA68">
        <v>6.7</v>
      </c>
      <c r="CB68">
        <v>0</v>
      </c>
      <c r="CC68">
        <f t="shared" si="2"/>
        <v>2.75</v>
      </c>
      <c r="CD68">
        <v>3.96</v>
      </c>
      <c r="CE68">
        <v>0.34230769230769231</v>
      </c>
      <c r="CF68">
        <v>0.44500000000000001</v>
      </c>
      <c r="CG68">
        <v>0.1492537313432836</v>
      </c>
      <c r="CH68">
        <v>0.26118881118881121</v>
      </c>
      <c r="CI68">
        <v>0</v>
      </c>
      <c r="CJ68">
        <v>4090</v>
      </c>
      <c r="CK68" t="s">
        <v>169</v>
      </c>
      <c r="CL68" t="s">
        <v>517</v>
      </c>
      <c r="CM68" t="s">
        <v>143</v>
      </c>
      <c r="CN68">
        <v>0.29601079085699999</v>
      </c>
      <c r="CO68">
        <v>9.6923755483473872</v>
      </c>
      <c r="CP68">
        <v>67</v>
      </c>
      <c r="CQ68" t="s">
        <v>518</v>
      </c>
      <c r="CR68">
        <v>165</v>
      </c>
      <c r="CS68" t="s">
        <v>519</v>
      </c>
      <c r="CT68" t="s">
        <v>520</v>
      </c>
      <c r="CU68" t="s">
        <v>276</v>
      </c>
      <c r="CV68" t="s">
        <v>397</v>
      </c>
      <c r="CW68" t="s">
        <v>175</v>
      </c>
      <c r="CX68" t="s">
        <v>398</v>
      </c>
      <c r="CY68" t="s">
        <v>399</v>
      </c>
      <c r="CZ68" t="s">
        <v>151</v>
      </c>
      <c r="DA68" t="s">
        <v>152</v>
      </c>
      <c r="DB68" t="s">
        <v>178</v>
      </c>
      <c r="DC68" t="s">
        <v>179</v>
      </c>
      <c r="DD68" t="s">
        <v>155</v>
      </c>
      <c r="DE68">
        <v>16568</v>
      </c>
      <c r="DF68">
        <v>-87.321291000000002</v>
      </c>
      <c r="DG68">
        <v>31.485686999999999</v>
      </c>
      <c r="DH68">
        <v>8470</v>
      </c>
      <c r="DI68">
        <v>470</v>
      </c>
      <c r="DL68">
        <v>23</v>
      </c>
      <c r="DO68">
        <v>25</v>
      </c>
      <c r="DP68">
        <v>8</v>
      </c>
      <c r="DQ68">
        <v>42</v>
      </c>
      <c r="DS68" t="s">
        <v>521</v>
      </c>
      <c r="DT68">
        <v>1.2500000000000001E-2</v>
      </c>
      <c r="DU68">
        <v>1.2500000000000001E-2</v>
      </c>
      <c r="DV68">
        <v>0.32500000000000001</v>
      </c>
      <c r="DW68">
        <v>0.32500000000000001</v>
      </c>
      <c r="DX68">
        <v>0.32500000000000001</v>
      </c>
      <c r="DY68">
        <v>0</v>
      </c>
      <c r="DZ68" s="4">
        <v>3.504</v>
      </c>
      <c r="EA68" s="4" t="s">
        <v>279</v>
      </c>
      <c r="EB68" s="4" t="s">
        <v>280</v>
      </c>
      <c r="EC68">
        <v>4.53</v>
      </c>
      <c r="ED68">
        <v>736</v>
      </c>
      <c r="EE68" t="s">
        <v>516</v>
      </c>
      <c r="EF68">
        <v>0</v>
      </c>
      <c r="EH68">
        <f t="shared" si="3"/>
        <v>0.58000000000000007</v>
      </c>
      <c r="EI68">
        <v>3.38</v>
      </c>
      <c r="EJ68">
        <v>3.65</v>
      </c>
    </row>
    <row r="69" spans="1:140" x14ac:dyDescent="0.35">
      <c r="A69" s="1">
        <v>67</v>
      </c>
      <c r="B69">
        <v>-86.13479033789632</v>
      </c>
      <c r="C69">
        <v>33.162943398976488</v>
      </c>
      <c r="D69" t="s">
        <v>522</v>
      </c>
      <c r="E69">
        <v>0.1</v>
      </c>
      <c r="F69" t="s">
        <v>135</v>
      </c>
      <c r="G69">
        <v>4.6300000000000001E-2</v>
      </c>
      <c r="H69" t="s">
        <v>161</v>
      </c>
      <c r="I69">
        <v>-9588481</v>
      </c>
      <c r="J69">
        <v>3916952</v>
      </c>
      <c r="K69" t="s">
        <v>274</v>
      </c>
      <c r="L69" t="s">
        <v>523</v>
      </c>
      <c r="M69">
        <v>14</v>
      </c>
      <c r="N69">
        <v>3.6739999999999999</v>
      </c>
      <c r="O69">
        <v>3</v>
      </c>
      <c r="P69">
        <v>6</v>
      </c>
      <c r="Q69">
        <v>1</v>
      </c>
      <c r="R69">
        <v>27</v>
      </c>
      <c r="S69">
        <v>14237</v>
      </c>
      <c r="T69" t="s">
        <v>276</v>
      </c>
      <c r="U69">
        <v>5.7134919223735006</v>
      </c>
      <c r="V69" t="s">
        <v>274</v>
      </c>
      <c r="W69">
        <v>0.11899999999999999</v>
      </c>
      <c r="X69">
        <v>10</v>
      </c>
      <c r="Y69">
        <v>8.9</v>
      </c>
      <c r="Z69">
        <v>8.9</v>
      </c>
      <c r="AA69">
        <v>20</v>
      </c>
      <c r="AB69">
        <v>26</v>
      </c>
      <c r="AC69">
        <v>0.747</v>
      </c>
      <c r="AD69">
        <v>67</v>
      </c>
      <c r="AE69">
        <v>0.1187221869040051</v>
      </c>
      <c r="AF69">
        <v>2.86</v>
      </c>
      <c r="AG69" t="s">
        <v>276</v>
      </c>
      <c r="AH69" t="s">
        <v>274</v>
      </c>
      <c r="AI69">
        <v>30</v>
      </c>
      <c r="AJ69">
        <v>0.01</v>
      </c>
      <c r="AK69">
        <v>10</v>
      </c>
      <c r="AL69" t="s">
        <v>524</v>
      </c>
      <c r="AM69">
        <v>4271.8207854749098</v>
      </c>
      <c r="AN69">
        <v>1.25</v>
      </c>
      <c r="AO69">
        <v>0.09</v>
      </c>
      <c r="AP69">
        <v>0.19</v>
      </c>
      <c r="AQ69">
        <v>0.96</v>
      </c>
      <c r="AR69">
        <v>0.9</v>
      </c>
      <c r="AS69">
        <v>0.04</v>
      </c>
      <c r="AT69">
        <v>0.02</v>
      </c>
      <c r="AU69">
        <v>0.02</v>
      </c>
      <c r="AV69">
        <v>2.2200000000000002</v>
      </c>
      <c r="AW69">
        <v>1.22</v>
      </c>
      <c r="AX69">
        <v>0.21</v>
      </c>
      <c r="AY69">
        <v>0.53</v>
      </c>
      <c r="AZ69">
        <v>0</v>
      </c>
      <c r="BA69">
        <v>0.96</v>
      </c>
      <c r="BB69">
        <v>0.08</v>
      </c>
      <c r="BC69">
        <v>0.18</v>
      </c>
      <c r="BD69">
        <v>0.27</v>
      </c>
      <c r="BE69">
        <v>7.39</v>
      </c>
      <c r="BF69">
        <v>6.7</v>
      </c>
      <c r="BG69">
        <v>0.24</v>
      </c>
      <c r="BH69">
        <v>0.45</v>
      </c>
      <c r="BI69">
        <v>0</v>
      </c>
      <c r="BJ69">
        <v>0.04</v>
      </c>
      <c r="BK69">
        <v>6.66</v>
      </c>
      <c r="BL69">
        <v>0</v>
      </c>
      <c r="BM69">
        <v>1.75</v>
      </c>
      <c r="BN69">
        <v>0.21</v>
      </c>
      <c r="BO69">
        <v>0.46</v>
      </c>
      <c r="BP69">
        <v>1.08</v>
      </c>
      <c r="BQ69">
        <v>0.89</v>
      </c>
      <c r="BR69">
        <v>0.06</v>
      </c>
      <c r="BS69">
        <v>0.13</v>
      </c>
      <c r="BT69">
        <v>0</v>
      </c>
      <c r="BU69">
        <v>7.79</v>
      </c>
      <c r="BV69">
        <v>6.73</v>
      </c>
      <c r="BW69">
        <v>0.34</v>
      </c>
      <c r="BX69">
        <v>0.72</v>
      </c>
      <c r="BY69">
        <v>0</v>
      </c>
      <c r="BZ69">
        <v>0.04</v>
      </c>
      <c r="CA69">
        <v>6.7</v>
      </c>
      <c r="CB69">
        <v>0</v>
      </c>
      <c r="CC69">
        <f t="shared" si="2"/>
        <v>2.75</v>
      </c>
      <c r="CD69">
        <v>3.96</v>
      </c>
      <c r="CE69">
        <v>0.34230769230769231</v>
      </c>
      <c r="CF69">
        <v>0.44500000000000001</v>
      </c>
      <c r="CG69">
        <v>0.1492537313432836</v>
      </c>
      <c r="CH69">
        <v>0.26118881118881121</v>
      </c>
      <c r="CI69">
        <v>0</v>
      </c>
      <c r="CJ69">
        <v>27182</v>
      </c>
      <c r="CK69" t="s">
        <v>141</v>
      </c>
      <c r="CL69" t="s">
        <v>187</v>
      </c>
      <c r="CM69" t="s">
        <v>143</v>
      </c>
      <c r="CN69">
        <v>9.2142947967300007E-2</v>
      </c>
      <c r="CO69">
        <v>19.001491074256059</v>
      </c>
      <c r="CP69">
        <v>68</v>
      </c>
      <c r="CQ69" t="s">
        <v>518</v>
      </c>
      <c r="CR69">
        <v>165</v>
      </c>
      <c r="CS69" t="s">
        <v>519</v>
      </c>
      <c r="CT69" t="s">
        <v>520</v>
      </c>
      <c r="CU69" t="s">
        <v>276</v>
      </c>
      <c r="CV69" t="s">
        <v>397</v>
      </c>
      <c r="CW69" t="s">
        <v>175</v>
      </c>
      <c r="CX69" t="s">
        <v>398</v>
      </c>
      <c r="CY69" t="s">
        <v>399</v>
      </c>
      <c r="CZ69" t="s">
        <v>151</v>
      </c>
      <c r="DA69" t="s">
        <v>152</v>
      </c>
      <c r="DB69" t="s">
        <v>178</v>
      </c>
      <c r="DC69" t="s">
        <v>179</v>
      </c>
      <c r="DD69" t="s">
        <v>155</v>
      </c>
      <c r="DE69">
        <v>16568</v>
      </c>
      <c r="DF69">
        <v>-87.321291000000002</v>
      </c>
      <c r="DG69">
        <v>31.485686999999999</v>
      </c>
      <c r="DH69">
        <v>8470</v>
      </c>
      <c r="DI69">
        <v>470</v>
      </c>
      <c r="DL69">
        <v>23</v>
      </c>
      <c r="DO69">
        <v>25</v>
      </c>
      <c r="DP69">
        <v>8</v>
      </c>
      <c r="DQ69">
        <v>42</v>
      </c>
      <c r="DS69" t="s">
        <v>521</v>
      </c>
      <c r="DT69">
        <v>1.2500000000000001E-2</v>
      </c>
      <c r="DU69">
        <v>1.2500000000000001E-2</v>
      </c>
      <c r="DV69">
        <v>0.32500000000000001</v>
      </c>
      <c r="DW69">
        <v>0.32500000000000001</v>
      </c>
      <c r="DX69">
        <v>0.32500000000000001</v>
      </c>
      <c r="DY69">
        <v>68.393218955862125</v>
      </c>
      <c r="DZ69" s="4">
        <v>3.504</v>
      </c>
      <c r="EA69" s="4" t="s">
        <v>279</v>
      </c>
      <c r="EB69" s="4" t="s">
        <v>280</v>
      </c>
      <c r="EC69">
        <v>4.53</v>
      </c>
      <c r="ED69">
        <v>81</v>
      </c>
      <c r="EE69" t="s">
        <v>524</v>
      </c>
      <c r="EF69">
        <v>3.2119828464257823E-2</v>
      </c>
      <c r="EH69">
        <f t="shared" si="3"/>
        <v>0.58000000000000007</v>
      </c>
      <c r="EI69">
        <v>3.38</v>
      </c>
      <c r="EJ69">
        <v>3.65</v>
      </c>
    </row>
    <row r="70" spans="1:140" x14ac:dyDescent="0.35">
      <c r="A70" s="1">
        <v>68</v>
      </c>
      <c r="B70">
        <v>-84.338159769657281</v>
      </c>
      <c r="C70">
        <v>33.162943398976488</v>
      </c>
      <c r="D70" t="s">
        <v>525</v>
      </c>
      <c r="E70">
        <v>0.1</v>
      </c>
      <c r="F70" t="s">
        <v>135</v>
      </c>
      <c r="G70">
        <v>3.7400000000000003E-2</v>
      </c>
      <c r="H70" t="s">
        <v>161</v>
      </c>
      <c r="I70">
        <v>-9388481</v>
      </c>
      <c r="J70">
        <v>3916952</v>
      </c>
      <c r="K70" t="s">
        <v>406</v>
      </c>
      <c r="L70" t="s">
        <v>402</v>
      </c>
      <c r="O70">
        <v>3</v>
      </c>
      <c r="P70">
        <v>5</v>
      </c>
      <c r="Q70">
        <v>13</v>
      </c>
      <c r="R70">
        <v>231</v>
      </c>
      <c r="S70">
        <v>18881</v>
      </c>
      <c r="T70" t="s">
        <v>407</v>
      </c>
      <c r="U70">
        <v>6.0277382645803694</v>
      </c>
      <c r="V70" t="s">
        <v>406</v>
      </c>
      <c r="W70">
        <v>0.114</v>
      </c>
      <c r="X70">
        <v>10</v>
      </c>
      <c r="Y70">
        <v>8.9</v>
      </c>
      <c r="Z70">
        <v>8.9</v>
      </c>
      <c r="AA70">
        <v>20</v>
      </c>
      <c r="AB70">
        <v>26</v>
      </c>
      <c r="AC70">
        <v>0.67200000000000004</v>
      </c>
      <c r="AD70">
        <v>67</v>
      </c>
      <c r="AE70">
        <v>0.10680228862047041</v>
      </c>
      <c r="AF70">
        <v>2.86</v>
      </c>
      <c r="AG70" t="s">
        <v>407</v>
      </c>
      <c r="AH70" t="s">
        <v>406</v>
      </c>
      <c r="AI70">
        <v>28</v>
      </c>
      <c r="AJ70">
        <v>9.3333333333333341E-3</v>
      </c>
      <c r="AK70">
        <v>9.3333333333333339</v>
      </c>
      <c r="AL70" t="s">
        <v>526</v>
      </c>
      <c r="AM70">
        <v>0</v>
      </c>
      <c r="AN70">
        <v>1.3</v>
      </c>
      <c r="AO70">
        <v>0.09</v>
      </c>
      <c r="AP70">
        <v>0.19</v>
      </c>
      <c r="AQ70">
        <v>1.01</v>
      </c>
      <c r="AR70">
        <v>0.95</v>
      </c>
      <c r="AS70">
        <v>0.04</v>
      </c>
      <c r="AT70">
        <v>0.01</v>
      </c>
      <c r="AU70">
        <v>0.02</v>
      </c>
      <c r="AV70">
        <v>2.2599999999999998</v>
      </c>
      <c r="AW70">
        <v>1.26</v>
      </c>
      <c r="AX70">
        <v>0.21</v>
      </c>
      <c r="AY70">
        <v>0.53</v>
      </c>
      <c r="AZ70">
        <v>0</v>
      </c>
      <c r="BA70">
        <v>1.01</v>
      </c>
      <c r="BB70">
        <v>0.08</v>
      </c>
      <c r="BC70">
        <v>0.17</v>
      </c>
      <c r="BD70">
        <v>0.27</v>
      </c>
      <c r="BE70">
        <v>6.83</v>
      </c>
      <c r="BF70">
        <v>6.14</v>
      </c>
      <c r="BG70">
        <v>0.24</v>
      </c>
      <c r="BH70">
        <v>0.45</v>
      </c>
      <c r="BI70">
        <v>0</v>
      </c>
      <c r="BJ70">
        <v>0.04</v>
      </c>
      <c r="BK70">
        <v>6.1</v>
      </c>
      <c r="BL70">
        <v>0</v>
      </c>
      <c r="BM70">
        <v>1.79</v>
      </c>
      <c r="BN70">
        <v>0.21</v>
      </c>
      <c r="BO70">
        <v>0.46</v>
      </c>
      <c r="BP70">
        <v>1.1200000000000001</v>
      </c>
      <c r="BQ70">
        <v>0.94</v>
      </c>
      <c r="BR70">
        <v>0.06</v>
      </c>
      <c r="BS70">
        <v>0.12</v>
      </c>
      <c r="BT70">
        <v>0</v>
      </c>
      <c r="BU70">
        <v>7.24</v>
      </c>
      <c r="BV70">
        <v>6.18</v>
      </c>
      <c r="BW70">
        <v>0.34</v>
      </c>
      <c r="BX70">
        <v>0.72</v>
      </c>
      <c r="BY70">
        <v>0</v>
      </c>
      <c r="BZ70">
        <v>0.04</v>
      </c>
      <c r="CA70">
        <v>6.14</v>
      </c>
      <c r="CB70">
        <v>0</v>
      </c>
      <c r="CC70">
        <f t="shared" si="2"/>
        <v>2.75</v>
      </c>
      <c r="CD70">
        <v>3.96</v>
      </c>
      <c r="CE70">
        <v>0.34230769230769231</v>
      </c>
      <c r="CF70">
        <v>0.44500000000000001</v>
      </c>
      <c r="CG70">
        <v>0.1492537313432836</v>
      </c>
      <c r="CH70">
        <v>0.23496503496503501</v>
      </c>
      <c r="CI70">
        <v>0</v>
      </c>
      <c r="CJ70">
        <v>22703</v>
      </c>
      <c r="CK70" t="s">
        <v>141</v>
      </c>
      <c r="CL70" t="s">
        <v>240</v>
      </c>
      <c r="CM70" t="s">
        <v>143</v>
      </c>
      <c r="CN70">
        <v>0.19147602219599999</v>
      </c>
      <c r="CO70">
        <v>9.1237845661590224</v>
      </c>
      <c r="CP70">
        <v>69</v>
      </c>
      <c r="CQ70" t="s">
        <v>527</v>
      </c>
      <c r="CR70">
        <v>105</v>
      </c>
      <c r="CS70" t="s">
        <v>411</v>
      </c>
      <c r="CT70" t="s">
        <v>215</v>
      </c>
      <c r="CU70" t="s">
        <v>407</v>
      </c>
      <c r="CV70" t="s">
        <v>412</v>
      </c>
      <c r="CW70" t="s">
        <v>175</v>
      </c>
      <c r="CX70" t="s">
        <v>413</v>
      </c>
      <c r="CY70" t="s">
        <v>414</v>
      </c>
      <c r="CZ70" t="s">
        <v>151</v>
      </c>
      <c r="DA70" t="s">
        <v>152</v>
      </c>
      <c r="DB70" t="s">
        <v>178</v>
      </c>
      <c r="DC70" t="s">
        <v>207</v>
      </c>
      <c r="DD70" t="s">
        <v>155</v>
      </c>
      <c r="DE70">
        <v>2855</v>
      </c>
      <c r="DF70">
        <v>-84.459380999999993</v>
      </c>
      <c r="DG70">
        <v>31.008075000000002</v>
      </c>
      <c r="DH70">
        <v>3500</v>
      </c>
      <c r="DI70">
        <v>180</v>
      </c>
      <c r="DL70">
        <v>27</v>
      </c>
      <c r="DM70">
        <v>25</v>
      </c>
      <c r="DN70">
        <v>29</v>
      </c>
      <c r="DO70">
        <v>300</v>
      </c>
      <c r="DS70">
        <v>11</v>
      </c>
      <c r="DT70">
        <v>1.2500000000000001E-2</v>
      </c>
      <c r="DU70">
        <v>1.2500000000000001E-2</v>
      </c>
      <c r="DV70">
        <v>0.32500000000000001</v>
      </c>
      <c r="DW70">
        <v>0.32500000000000001</v>
      </c>
      <c r="DX70">
        <v>0.32500000000000001</v>
      </c>
      <c r="DY70">
        <v>71.565646608434236</v>
      </c>
      <c r="DZ70" s="4">
        <v>3.585</v>
      </c>
      <c r="EA70" s="4" t="s">
        <v>415</v>
      </c>
      <c r="EB70" s="4" t="s">
        <v>416</v>
      </c>
      <c r="EC70">
        <v>4.6749999999999998</v>
      </c>
      <c r="ED70">
        <v>829</v>
      </c>
      <c r="EE70" t="s">
        <v>526</v>
      </c>
      <c r="EF70">
        <v>0</v>
      </c>
      <c r="EH70">
        <f t="shared" si="3"/>
        <v>0.58000000000000007</v>
      </c>
      <c r="EI70">
        <v>3.38</v>
      </c>
      <c r="EJ70">
        <v>3.65</v>
      </c>
    </row>
    <row r="71" spans="1:140" x14ac:dyDescent="0.35">
      <c r="A71" s="1">
        <v>69</v>
      </c>
      <c r="B71">
        <v>-82.541529201418243</v>
      </c>
      <c r="C71">
        <v>33.162943398976488</v>
      </c>
      <c r="D71" t="s">
        <v>528</v>
      </c>
      <c r="E71">
        <v>0.1</v>
      </c>
      <c r="F71" t="s">
        <v>135</v>
      </c>
      <c r="G71">
        <v>3.7400000000000003E-2</v>
      </c>
      <c r="H71" t="s">
        <v>161</v>
      </c>
      <c r="I71">
        <v>-9188481</v>
      </c>
      <c r="J71">
        <v>3916952</v>
      </c>
      <c r="K71" t="s">
        <v>406</v>
      </c>
      <c r="L71" t="s">
        <v>529</v>
      </c>
      <c r="O71">
        <v>3</v>
      </c>
      <c r="P71">
        <v>5</v>
      </c>
      <c r="Q71">
        <v>13</v>
      </c>
      <c r="R71">
        <v>163</v>
      </c>
      <c r="S71">
        <v>15714</v>
      </c>
      <c r="T71" t="s">
        <v>407</v>
      </c>
      <c r="U71">
        <v>6.0277382645803694</v>
      </c>
      <c r="V71" t="s">
        <v>406</v>
      </c>
      <c r="W71">
        <v>0.114</v>
      </c>
      <c r="X71">
        <v>10</v>
      </c>
      <c r="Y71">
        <v>8.9</v>
      </c>
      <c r="Z71">
        <v>8.9</v>
      </c>
      <c r="AA71">
        <v>20</v>
      </c>
      <c r="AB71">
        <v>26</v>
      </c>
      <c r="AC71">
        <v>0.67200000000000004</v>
      </c>
      <c r="AD71">
        <v>67</v>
      </c>
      <c r="AE71">
        <v>0.10680228862047041</v>
      </c>
      <c r="AF71">
        <v>2.86</v>
      </c>
      <c r="AG71" t="s">
        <v>407</v>
      </c>
      <c r="AH71" t="s">
        <v>406</v>
      </c>
      <c r="AI71">
        <v>28</v>
      </c>
      <c r="AJ71">
        <v>9.3333333333333341E-3</v>
      </c>
      <c r="AK71">
        <v>9.3333333333333339</v>
      </c>
      <c r="AL71" t="s">
        <v>530</v>
      </c>
      <c r="AM71">
        <v>23752.89812948856</v>
      </c>
      <c r="AN71">
        <v>1.3</v>
      </c>
      <c r="AO71">
        <v>0.09</v>
      </c>
      <c r="AP71">
        <v>0.19</v>
      </c>
      <c r="AQ71">
        <v>1.01</v>
      </c>
      <c r="AR71">
        <v>0.95</v>
      </c>
      <c r="AS71">
        <v>0.04</v>
      </c>
      <c r="AT71">
        <v>0.01</v>
      </c>
      <c r="AU71">
        <v>0.02</v>
      </c>
      <c r="AV71">
        <v>2.2599999999999998</v>
      </c>
      <c r="AW71">
        <v>1.26</v>
      </c>
      <c r="AX71">
        <v>0.21</v>
      </c>
      <c r="AY71">
        <v>0.53</v>
      </c>
      <c r="AZ71">
        <v>0</v>
      </c>
      <c r="BA71">
        <v>1.01</v>
      </c>
      <c r="BB71">
        <v>0.08</v>
      </c>
      <c r="BC71">
        <v>0.17</v>
      </c>
      <c r="BD71">
        <v>0.27</v>
      </c>
      <c r="BE71">
        <v>6.83</v>
      </c>
      <c r="BF71">
        <v>6.14</v>
      </c>
      <c r="BG71">
        <v>0.24</v>
      </c>
      <c r="BH71">
        <v>0.45</v>
      </c>
      <c r="BI71">
        <v>0</v>
      </c>
      <c r="BJ71">
        <v>0.04</v>
      </c>
      <c r="BK71">
        <v>6.1</v>
      </c>
      <c r="BL71">
        <v>0</v>
      </c>
      <c r="BM71">
        <v>1.79</v>
      </c>
      <c r="BN71">
        <v>0.21</v>
      </c>
      <c r="BO71">
        <v>0.46</v>
      </c>
      <c r="BP71">
        <v>1.1200000000000001</v>
      </c>
      <c r="BQ71">
        <v>0.94</v>
      </c>
      <c r="BR71">
        <v>0.06</v>
      </c>
      <c r="BS71">
        <v>0.12</v>
      </c>
      <c r="BT71">
        <v>0</v>
      </c>
      <c r="BU71">
        <v>7.24</v>
      </c>
      <c r="BV71">
        <v>6.18</v>
      </c>
      <c r="BW71">
        <v>0.34</v>
      </c>
      <c r="BX71">
        <v>0.72</v>
      </c>
      <c r="BY71">
        <v>0</v>
      </c>
      <c r="BZ71">
        <v>0.04</v>
      </c>
      <c r="CA71">
        <v>6.14</v>
      </c>
      <c r="CB71">
        <v>0</v>
      </c>
      <c r="CC71">
        <f t="shared" si="2"/>
        <v>2.75</v>
      </c>
      <c r="CD71">
        <v>3.96</v>
      </c>
      <c r="CE71">
        <v>0.34230769230769231</v>
      </c>
      <c r="CF71">
        <v>0.44500000000000001</v>
      </c>
      <c r="CG71">
        <v>0.1492537313432836</v>
      </c>
      <c r="CH71">
        <v>0.23496503496503501</v>
      </c>
      <c r="CI71">
        <v>0</v>
      </c>
      <c r="CJ71">
        <v>22716</v>
      </c>
      <c r="CK71" t="s">
        <v>141</v>
      </c>
      <c r="CL71" t="s">
        <v>240</v>
      </c>
      <c r="CM71" t="s">
        <v>143</v>
      </c>
      <c r="CN71">
        <v>0.21664619193500001</v>
      </c>
      <c r="CO71">
        <v>3.788797138166399</v>
      </c>
      <c r="CP71">
        <v>70</v>
      </c>
      <c r="CQ71" t="s">
        <v>527</v>
      </c>
      <c r="CR71">
        <v>105</v>
      </c>
      <c r="CS71" t="s">
        <v>411</v>
      </c>
      <c r="CT71" t="s">
        <v>215</v>
      </c>
      <c r="CU71" t="s">
        <v>407</v>
      </c>
      <c r="CV71" t="s">
        <v>412</v>
      </c>
      <c r="CW71" t="s">
        <v>175</v>
      </c>
      <c r="CX71" t="s">
        <v>413</v>
      </c>
      <c r="CY71" t="s">
        <v>414</v>
      </c>
      <c r="CZ71" t="s">
        <v>151</v>
      </c>
      <c r="DA71" t="s">
        <v>152</v>
      </c>
      <c r="DB71" t="s">
        <v>178</v>
      </c>
      <c r="DC71" t="s">
        <v>207</v>
      </c>
      <c r="DD71" t="s">
        <v>155</v>
      </c>
      <c r="DE71">
        <v>2855</v>
      </c>
      <c r="DF71">
        <v>-84.459380999999993</v>
      </c>
      <c r="DG71">
        <v>31.008075000000002</v>
      </c>
      <c r="DH71">
        <v>3500</v>
      </c>
      <c r="DI71">
        <v>180</v>
      </c>
      <c r="DL71">
        <v>27</v>
      </c>
      <c r="DM71">
        <v>25</v>
      </c>
      <c r="DN71">
        <v>29</v>
      </c>
      <c r="DO71">
        <v>300</v>
      </c>
      <c r="DS71">
        <v>11</v>
      </c>
      <c r="DT71">
        <v>1.2500000000000001E-2</v>
      </c>
      <c r="DU71">
        <v>1.2500000000000001E-2</v>
      </c>
      <c r="DV71">
        <v>0.32500000000000001</v>
      </c>
      <c r="DW71">
        <v>0.32500000000000001</v>
      </c>
      <c r="DX71">
        <v>0.32500000000000001</v>
      </c>
      <c r="DY71">
        <v>15.59992301409719</v>
      </c>
      <c r="DZ71" s="4">
        <v>3.585</v>
      </c>
      <c r="EA71" s="4" t="s">
        <v>415</v>
      </c>
      <c r="EB71" s="4" t="s">
        <v>416</v>
      </c>
      <c r="EC71">
        <v>4.6749999999999998</v>
      </c>
      <c r="ED71">
        <v>28</v>
      </c>
      <c r="EE71" t="s">
        <v>530</v>
      </c>
      <c r="EF71">
        <v>0.17999247942044511</v>
      </c>
      <c r="EH71">
        <f t="shared" si="3"/>
        <v>0.58000000000000007</v>
      </c>
      <c r="EI71">
        <v>3.38</v>
      </c>
      <c r="EJ71">
        <v>3.65</v>
      </c>
    </row>
    <row r="72" spans="1:140" x14ac:dyDescent="0.35">
      <c r="A72" s="1">
        <v>70</v>
      </c>
      <c r="B72">
        <v>-80.74489863317919</v>
      </c>
      <c r="C72">
        <v>33.162943398976488</v>
      </c>
      <c r="D72" t="s">
        <v>531</v>
      </c>
      <c r="E72">
        <v>0.1</v>
      </c>
      <c r="F72" t="s">
        <v>135</v>
      </c>
      <c r="G72">
        <v>3.7400000000000003E-2</v>
      </c>
      <c r="H72" t="s">
        <v>161</v>
      </c>
      <c r="I72">
        <v>-8988481</v>
      </c>
      <c r="J72">
        <v>3916952</v>
      </c>
      <c r="K72" t="s">
        <v>532</v>
      </c>
      <c r="L72" t="s">
        <v>533</v>
      </c>
      <c r="M72">
        <v>15</v>
      </c>
      <c r="N72">
        <v>3.4750000000000001</v>
      </c>
      <c r="O72">
        <v>3</v>
      </c>
      <c r="P72">
        <v>5</v>
      </c>
      <c r="Q72">
        <v>45</v>
      </c>
      <c r="R72">
        <v>29</v>
      </c>
      <c r="S72">
        <v>38604</v>
      </c>
      <c r="T72" t="s">
        <v>534</v>
      </c>
      <c r="U72">
        <v>6.0384889840335383</v>
      </c>
      <c r="V72" t="s">
        <v>532</v>
      </c>
      <c r="W72">
        <v>0.109</v>
      </c>
      <c r="X72">
        <v>10</v>
      </c>
      <c r="Y72">
        <v>8.9</v>
      </c>
      <c r="Z72">
        <v>8.9</v>
      </c>
      <c r="AA72">
        <v>20</v>
      </c>
      <c r="AB72">
        <v>26</v>
      </c>
      <c r="AC72">
        <v>0.58899999999999997</v>
      </c>
      <c r="AD72">
        <v>67</v>
      </c>
      <c r="AE72">
        <v>9.3610934520025418E-2</v>
      </c>
      <c r="AF72">
        <v>2.86</v>
      </c>
      <c r="AG72" t="s">
        <v>534</v>
      </c>
      <c r="AH72" t="s">
        <v>532</v>
      </c>
      <c r="AI72">
        <v>33</v>
      </c>
      <c r="AJ72">
        <v>1.0999999999999999E-2</v>
      </c>
      <c r="AK72">
        <v>11</v>
      </c>
      <c r="AL72" t="s">
        <v>535</v>
      </c>
      <c r="AM72">
        <v>709.61313729819619</v>
      </c>
      <c r="AN72">
        <v>1.3</v>
      </c>
      <c r="AO72">
        <v>0.09</v>
      </c>
      <c r="AP72">
        <v>0.19</v>
      </c>
      <c r="AQ72">
        <v>1.01</v>
      </c>
      <c r="AR72">
        <v>0.95</v>
      </c>
      <c r="AS72">
        <v>0.04</v>
      </c>
      <c r="AT72">
        <v>0.01</v>
      </c>
      <c r="AU72">
        <v>0.02</v>
      </c>
      <c r="AV72">
        <v>2.2599999999999998</v>
      </c>
      <c r="AW72">
        <v>1.26</v>
      </c>
      <c r="AX72">
        <v>0.21</v>
      </c>
      <c r="AY72">
        <v>0.53</v>
      </c>
      <c r="AZ72">
        <v>0</v>
      </c>
      <c r="BA72">
        <v>1.01</v>
      </c>
      <c r="BB72">
        <v>0.08</v>
      </c>
      <c r="BC72">
        <v>0.17</v>
      </c>
      <c r="BD72">
        <v>0.27</v>
      </c>
      <c r="BE72">
        <v>6.83</v>
      </c>
      <c r="BF72">
        <v>6.14</v>
      </c>
      <c r="BG72">
        <v>0.24</v>
      </c>
      <c r="BH72">
        <v>0.45</v>
      </c>
      <c r="BI72">
        <v>0</v>
      </c>
      <c r="BJ72">
        <v>0.04</v>
      </c>
      <c r="BK72">
        <v>6.1</v>
      </c>
      <c r="BL72">
        <v>0</v>
      </c>
      <c r="BM72">
        <v>1.79</v>
      </c>
      <c r="BN72">
        <v>0.21</v>
      </c>
      <c r="BO72">
        <v>0.46</v>
      </c>
      <c r="BP72">
        <v>1.1200000000000001</v>
      </c>
      <c r="BQ72">
        <v>0.94</v>
      </c>
      <c r="BR72">
        <v>0.06</v>
      </c>
      <c r="BS72">
        <v>0.12</v>
      </c>
      <c r="BT72">
        <v>0</v>
      </c>
      <c r="BU72">
        <v>7.24</v>
      </c>
      <c r="BV72">
        <v>6.18</v>
      </c>
      <c r="BW72">
        <v>0.34</v>
      </c>
      <c r="BX72">
        <v>0.72</v>
      </c>
      <c r="BY72">
        <v>0</v>
      </c>
      <c r="BZ72">
        <v>0.04</v>
      </c>
      <c r="CA72">
        <v>6.14</v>
      </c>
      <c r="CB72">
        <v>0</v>
      </c>
      <c r="CC72">
        <f t="shared" si="2"/>
        <v>2.75</v>
      </c>
      <c r="CD72">
        <v>3.96</v>
      </c>
      <c r="CE72">
        <v>0.34230769230769231</v>
      </c>
      <c r="CF72">
        <v>0.44500000000000001</v>
      </c>
      <c r="CG72">
        <v>0.1492537313432836</v>
      </c>
      <c r="CH72">
        <v>0.2059440559440559</v>
      </c>
      <c r="CI72">
        <v>0</v>
      </c>
      <c r="CJ72">
        <v>31599</v>
      </c>
      <c r="CK72" t="s">
        <v>141</v>
      </c>
      <c r="CL72" t="s">
        <v>424</v>
      </c>
      <c r="CM72" t="s">
        <v>143</v>
      </c>
      <c r="CN72">
        <v>9.4204739073999996E-2</v>
      </c>
      <c r="CO72">
        <v>11.83382139790554</v>
      </c>
      <c r="CP72">
        <v>71</v>
      </c>
      <c r="CQ72" t="s">
        <v>536</v>
      </c>
      <c r="CR72">
        <v>105</v>
      </c>
      <c r="CS72" t="s">
        <v>411</v>
      </c>
      <c r="CT72" t="s">
        <v>215</v>
      </c>
      <c r="CU72" t="s">
        <v>407</v>
      </c>
      <c r="CV72" t="s">
        <v>412</v>
      </c>
      <c r="CW72" t="s">
        <v>175</v>
      </c>
      <c r="CX72" t="s">
        <v>413</v>
      </c>
      <c r="CY72" t="s">
        <v>414</v>
      </c>
      <c r="CZ72" t="s">
        <v>151</v>
      </c>
      <c r="DA72" t="s">
        <v>152</v>
      </c>
      <c r="DB72" t="s">
        <v>178</v>
      </c>
      <c r="DC72" t="s">
        <v>207</v>
      </c>
      <c r="DD72" t="s">
        <v>155</v>
      </c>
      <c r="DE72">
        <v>2855</v>
      </c>
      <c r="DF72">
        <v>-84.459380999999993</v>
      </c>
      <c r="DG72">
        <v>31.008075000000002</v>
      </c>
      <c r="DH72">
        <v>3500</v>
      </c>
      <c r="DI72">
        <v>180</v>
      </c>
      <c r="DL72">
        <v>27</v>
      </c>
      <c r="DM72">
        <v>25</v>
      </c>
      <c r="DN72">
        <v>29</v>
      </c>
      <c r="DO72">
        <v>300</v>
      </c>
      <c r="DS72">
        <v>11</v>
      </c>
      <c r="DT72">
        <v>1.2500000000000001E-2</v>
      </c>
      <c r="DU72">
        <v>1.2500000000000001E-2</v>
      </c>
      <c r="DV72">
        <v>0.32500000000000001</v>
      </c>
      <c r="DW72">
        <v>0.32500000000000001</v>
      </c>
      <c r="DX72">
        <v>0.32500000000000001</v>
      </c>
      <c r="DY72">
        <v>1.8273565329538231</v>
      </c>
      <c r="DZ72" s="4">
        <v>3.61</v>
      </c>
      <c r="EA72" s="4" t="s">
        <v>537</v>
      </c>
      <c r="EB72" s="4" t="s">
        <v>538</v>
      </c>
      <c r="EC72">
        <v>4.6849999999999996</v>
      </c>
      <c r="ED72">
        <v>295</v>
      </c>
      <c r="EE72" t="s">
        <v>535</v>
      </c>
      <c r="EF72">
        <v>5.3738755297348144E-3</v>
      </c>
      <c r="EH72">
        <f t="shared" si="3"/>
        <v>0.58000000000000007</v>
      </c>
      <c r="EI72">
        <v>3.38</v>
      </c>
      <c r="EJ72">
        <v>3.65</v>
      </c>
    </row>
    <row r="73" spans="1:140" x14ac:dyDescent="0.35">
      <c r="A73" s="1">
        <v>71</v>
      </c>
      <c r="B73">
        <v>-78.948268064940152</v>
      </c>
      <c r="C73">
        <v>33.162943398976488</v>
      </c>
      <c r="D73" t="s">
        <v>539</v>
      </c>
      <c r="E73">
        <v>0.02</v>
      </c>
      <c r="F73" t="s">
        <v>160</v>
      </c>
      <c r="G73">
        <v>3.7400000000000003E-2</v>
      </c>
      <c r="H73" t="s">
        <v>161</v>
      </c>
      <c r="I73">
        <v>-8788481</v>
      </c>
      <c r="J73">
        <v>3916952</v>
      </c>
      <c r="K73" t="s">
        <v>532</v>
      </c>
      <c r="L73" t="s">
        <v>540</v>
      </c>
      <c r="M73">
        <v>22</v>
      </c>
      <c r="N73">
        <v>3.528</v>
      </c>
      <c r="O73">
        <v>3</v>
      </c>
      <c r="P73">
        <v>5</v>
      </c>
      <c r="Q73">
        <v>45</v>
      </c>
      <c r="R73">
        <v>43</v>
      </c>
      <c r="S73">
        <v>63402</v>
      </c>
      <c r="T73" t="s">
        <v>534</v>
      </c>
      <c r="U73">
        <v>6.0384889840335383</v>
      </c>
      <c r="V73" t="s">
        <v>532</v>
      </c>
      <c r="W73">
        <v>0.109</v>
      </c>
      <c r="X73">
        <v>10</v>
      </c>
      <c r="Y73">
        <v>8.9</v>
      </c>
      <c r="Z73">
        <v>8.9</v>
      </c>
      <c r="AA73">
        <v>20</v>
      </c>
      <c r="AB73">
        <v>26</v>
      </c>
      <c r="AC73">
        <v>0.58899999999999997</v>
      </c>
      <c r="AD73">
        <v>67</v>
      </c>
      <c r="AE73">
        <v>9.3610934520025418E-2</v>
      </c>
      <c r="AF73">
        <v>2.86</v>
      </c>
      <c r="AG73" t="s">
        <v>534</v>
      </c>
      <c r="AH73" t="s">
        <v>532</v>
      </c>
      <c r="AI73">
        <v>33</v>
      </c>
      <c r="AJ73">
        <v>1.0999999999999999E-2</v>
      </c>
      <c r="AK73">
        <v>11</v>
      </c>
      <c r="AL73" t="s">
        <v>541</v>
      </c>
      <c r="AM73">
        <v>26115.474741829381</v>
      </c>
      <c r="AN73">
        <v>1.3</v>
      </c>
      <c r="AO73">
        <v>0.09</v>
      </c>
      <c r="AP73">
        <v>0.19</v>
      </c>
      <c r="AQ73">
        <v>1.01</v>
      </c>
      <c r="AR73">
        <v>0.95</v>
      </c>
      <c r="AS73">
        <v>0.04</v>
      </c>
      <c r="AT73">
        <v>0.01</v>
      </c>
      <c r="AU73">
        <v>0.02</v>
      </c>
      <c r="AV73">
        <v>2.2599999999999998</v>
      </c>
      <c r="AW73">
        <v>1.26</v>
      </c>
      <c r="AX73">
        <v>0.21</v>
      </c>
      <c r="AY73">
        <v>0.53</v>
      </c>
      <c r="AZ73">
        <v>0</v>
      </c>
      <c r="BA73">
        <v>1.01</v>
      </c>
      <c r="BB73">
        <v>0.08</v>
      </c>
      <c r="BC73">
        <v>0.17</v>
      </c>
      <c r="BD73">
        <v>0.27</v>
      </c>
      <c r="BE73">
        <v>6.83</v>
      </c>
      <c r="BF73">
        <v>6.14</v>
      </c>
      <c r="BG73">
        <v>0.24</v>
      </c>
      <c r="BH73">
        <v>0.45</v>
      </c>
      <c r="BI73">
        <v>0</v>
      </c>
      <c r="BJ73">
        <v>0.04</v>
      </c>
      <c r="BK73">
        <v>6.1</v>
      </c>
      <c r="BL73">
        <v>0</v>
      </c>
      <c r="BM73">
        <v>1.79</v>
      </c>
      <c r="BN73">
        <v>0.21</v>
      </c>
      <c r="BO73">
        <v>0.46</v>
      </c>
      <c r="BP73">
        <v>1.1200000000000001</v>
      </c>
      <c r="BQ73">
        <v>0.94</v>
      </c>
      <c r="BR73">
        <v>0.06</v>
      </c>
      <c r="BS73">
        <v>0.12</v>
      </c>
      <c r="BT73">
        <v>0</v>
      </c>
      <c r="BU73">
        <v>7.24</v>
      </c>
      <c r="BV73">
        <v>6.18</v>
      </c>
      <c r="BW73">
        <v>0.34</v>
      </c>
      <c r="BX73">
        <v>0.72</v>
      </c>
      <c r="BY73">
        <v>0</v>
      </c>
      <c r="BZ73">
        <v>0.04</v>
      </c>
      <c r="CA73">
        <v>6.14</v>
      </c>
      <c r="CB73">
        <v>0</v>
      </c>
      <c r="CC73">
        <f t="shared" si="2"/>
        <v>2.75</v>
      </c>
      <c r="CD73">
        <v>3.96</v>
      </c>
      <c r="CE73">
        <v>0.34230769230769231</v>
      </c>
      <c r="CF73">
        <v>0.44500000000000001</v>
      </c>
      <c r="CG73">
        <v>0.1492537313432836</v>
      </c>
      <c r="CH73">
        <v>0.2059440559440559</v>
      </c>
      <c r="CI73">
        <v>0</v>
      </c>
      <c r="CJ73">
        <v>31613</v>
      </c>
      <c r="CK73" t="s">
        <v>141</v>
      </c>
      <c r="CL73" t="s">
        <v>424</v>
      </c>
      <c r="CM73" t="s">
        <v>143</v>
      </c>
      <c r="CN73">
        <v>0.278261710941</v>
      </c>
      <c r="CO73">
        <v>24.165447337198309</v>
      </c>
      <c r="CP73">
        <v>72</v>
      </c>
      <c r="CQ73" t="s">
        <v>536</v>
      </c>
      <c r="CR73">
        <v>105</v>
      </c>
      <c r="CS73" t="s">
        <v>411</v>
      </c>
      <c r="CT73" t="s">
        <v>215</v>
      </c>
      <c r="CU73" t="s">
        <v>407</v>
      </c>
      <c r="CV73" t="s">
        <v>412</v>
      </c>
      <c r="CW73" t="s">
        <v>175</v>
      </c>
      <c r="CX73" t="s">
        <v>413</v>
      </c>
      <c r="CY73" t="s">
        <v>414</v>
      </c>
      <c r="CZ73" t="s">
        <v>151</v>
      </c>
      <c r="DA73" t="s">
        <v>152</v>
      </c>
      <c r="DB73" t="s">
        <v>178</v>
      </c>
      <c r="DC73" t="s">
        <v>207</v>
      </c>
      <c r="DD73" t="s">
        <v>155</v>
      </c>
      <c r="DE73">
        <v>2855</v>
      </c>
      <c r="DF73">
        <v>-84.459380999999993</v>
      </c>
      <c r="DG73">
        <v>31.008075000000002</v>
      </c>
      <c r="DH73">
        <v>3500</v>
      </c>
      <c r="DI73">
        <v>180</v>
      </c>
      <c r="DL73">
        <v>27</v>
      </c>
      <c r="DM73">
        <v>25</v>
      </c>
      <c r="DN73">
        <v>29</v>
      </c>
      <c r="DO73">
        <v>300</v>
      </c>
      <c r="DS73">
        <v>11</v>
      </c>
      <c r="DT73">
        <v>1.2500000000000001E-2</v>
      </c>
      <c r="DU73">
        <v>1.2500000000000001E-2</v>
      </c>
      <c r="DV73">
        <v>0.32500000000000001</v>
      </c>
      <c r="DW73">
        <v>0.32500000000000001</v>
      </c>
      <c r="DX73">
        <v>0.32500000000000001</v>
      </c>
      <c r="DY73">
        <v>0</v>
      </c>
      <c r="DZ73" s="4">
        <v>3.61</v>
      </c>
      <c r="EA73" s="4" t="s">
        <v>537</v>
      </c>
      <c r="EB73" s="4" t="s">
        <v>538</v>
      </c>
      <c r="EC73">
        <v>4.6849999999999996</v>
      </c>
      <c r="ED73">
        <v>116</v>
      </c>
      <c r="EE73" t="s">
        <v>541</v>
      </c>
      <c r="EF73">
        <v>0.23247882866711461</v>
      </c>
      <c r="EH73">
        <f t="shared" si="3"/>
        <v>0.58000000000000007</v>
      </c>
      <c r="EI73">
        <v>3.38</v>
      </c>
      <c r="EJ73">
        <v>3.65</v>
      </c>
    </row>
    <row r="74" spans="1:140" x14ac:dyDescent="0.35">
      <c r="A74" s="1">
        <v>72</v>
      </c>
      <c r="B74">
        <v>-120.27077113443811</v>
      </c>
      <c r="C74">
        <v>34.653941081806892</v>
      </c>
      <c r="D74" t="s">
        <v>542</v>
      </c>
      <c r="E74">
        <v>0.02</v>
      </c>
      <c r="F74" t="s">
        <v>160</v>
      </c>
      <c r="G74">
        <v>0.16800000000000001</v>
      </c>
      <c r="H74" t="s">
        <v>161</v>
      </c>
      <c r="I74">
        <v>-13388481</v>
      </c>
      <c r="J74">
        <v>4116952</v>
      </c>
      <c r="K74" t="s">
        <v>427</v>
      </c>
      <c r="L74" t="s">
        <v>543</v>
      </c>
      <c r="M74">
        <v>42</v>
      </c>
      <c r="N74">
        <v>5.5270000000000001</v>
      </c>
      <c r="O74">
        <v>4</v>
      </c>
      <c r="P74">
        <v>9</v>
      </c>
      <c r="Q74">
        <v>6</v>
      </c>
      <c r="R74">
        <v>83</v>
      </c>
      <c r="S74">
        <v>448217</v>
      </c>
      <c r="T74" t="s">
        <v>315</v>
      </c>
      <c r="U74">
        <v>8.1439147775781446</v>
      </c>
      <c r="V74" t="s">
        <v>427</v>
      </c>
      <c r="W74">
        <v>0.27039999999999997</v>
      </c>
      <c r="X74">
        <v>10</v>
      </c>
      <c r="Y74">
        <v>8.9</v>
      </c>
      <c r="Z74">
        <v>8.9</v>
      </c>
      <c r="AA74">
        <v>20</v>
      </c>
      <c r="AB74">
        <v>26</v>
      </c>
      <c r="AC74">
        <v>0.40699999999999997</v>
      </c>
      <c r="AD74">
        <v>67</v>
      </c>
      <c r="AE74">
        <v>6.4685314685314674E-2</v>
      </c>
      <c r="AF74">
        <v>2.86</v>
      </c>
      <c r="AG74" t="s">
        <v>315</v>
      </c>
      <c r="AH74" t="s">
        <v>427</v>
      </c>
      <c r="AI74">
        <v>77</v>
      </c>
      <c r="AJ74">
        <v>2.5666666666666671E-2</v>
      </c>
      <c r="AK74">
        <v>25.666666666666671</v>
      </c>
      <c r="AL74" t="s">
        <v>544</v>
      </c>
      <c r="AM74">
        <v>0</v>
      </c>
      <c r="AN74">
        <v>1.74</v>
      </c>
      <c r="AO74">
        <v>0.09</v>
      </c>
      <c r="AP74">
        <v>0.19</v>
      </c>
      <c r="AQ74">
        <v>1.45</v>
      </c>
      <c r="AR74">
        <v>1.29</v>
      </c>
      <c r="AS74">
        <v>0.13</v>
      </c>
      <c r="AT74">
        <v>0.04</v>
      </c>
      <c r="AU74">
        <v>0.02</v>
      </c>
      <c r="AV74">
        <v>3.01</v>
      </c>
      <c r="AW74">
        <v>2.02</v>
      </c>
      <c r="AX74">
        <v>0.21</v>
      </c>
      <c r="AY74">
        <v>0.53</v>
      </c>
      <c r="AZ74">
        <v>0</v>
      </c>
      <c r="BA74">
        <v>1.37</v>
      </c>
      <c r="BB74">
        <v>0.24</v>
      </c>
      <c r="BC74">
        <v>0.41</v>
      </c>
      <c r="BD74">
        <v>0.27</v>
      </c>
      <c r="BE74">
        <v>15.79</v>
      </c>
      <c r="BF74">
        <v>15.1</v>
      </c>
      <c r="BG74">
        <v>0.24</v>
      </c>
      <c r="BH74">
        <v>0.45</v>
      </c>
      <c r="BI74">
        <v>0</v>
      </c>
      <c r="BJ74">
        <v>0.11</v>
      </c>
      <c r="BK74">
        <v>14.98</v>
      </c>
      <c r="BL74">
        <v>0</v>
      </c>
      <c r="BM74">
        <v>2.41</v>
      </c>
      <c r="BN74">
        <v>0.21</v>
      </c>
      <c r="BO74">
        <v>0.46</v>
      </c>
      <c r="BP74">
        <v>1.74</v>
      </c>
      <c r="BQ74">
        <v>1.27</v>
      </c>
      <c r="BR74">
        <v>0.17</v>
      </c>
      <c r="BS74">
        <v>0.3</v>
      </c>
      <c r="BT74">
        <v>0</v>
      </c>
      <c r="BU74">
        <v>16.239999999999998</v>
      </c>
      <c r="BV74">
        <v>15.18</v>
      </c>
      <c r="BW74">
        <v>0.34</v>
      </c>
      <c r="BX74">
        <v>0.72</v>
      </c>
      <c r="BY74">
        <v>0</v>
      </c>
      <c r="BZ74">
        <v>0.11</v>
      </c>
      <c r="CA74">
        <v>15.07</v>
      </c>
      <c r="CB74">
        <v>0</v>
      </c>
      <c r="CC74">
        <f t="shared" si="2"/>
        <v>2.75</v>
      </c>
      <c r="CD74">
        <v>3.96</v>
      </c>
      <c r="CE74">
        <v>0.34230769230769231</v>
      </c>
      <c r="CF74">
        <v>0.44500000000000001</v>
      </c>
      <c r="CG74">
        <v>0.1492537313432836</v>
      </c>
      <c r="CH74">
        <v>0.1423076923076923</v>
      </c>
      <c r="CI74">
        <v>0</v>
      </c>
      <c r="CJ74">
        <v>22626</v>
      </c>
      <c r="CK74" t="s">
        <v>169</v>
      </c>
      <c r="CL74" t="s">
        <v>430</v>
      </c>
      <c r="CM74" t="s">
        <v>143</v>
      </c>
      <c r="CN74">
        <v>0.162322686621</v>
      </c>
      <c r="CO74">
        <v>11.136768198845539</v>
      </c>
      <c r="CP74">
        <v>73</v>
      </c>
      <c r="CQ74" t="s">
        <v>545</v>
      </c>
      <c r="CR74">
        <v>204</v>
      </c>
      <c r="CS74" t="s">
        <v>546</v>
      </c>
      <c r="CT74" t="s">
        <v>547</v>
      </c>
      <c r="CU74" t="s">
        <v>315</v>
      </c>
      <c r="CV74" t="s">
        <v>548</v>
      </c>
      <c r="CW74" t="s">
        <v>549</v>
      </c>
      <c r="CX74" t="s">
        <v>550</v>
      </c>
      <c r="CY74" t="s">
        <v>551</v>
      </c>
      <c r="CZ74" t="s">
        <v>319</v>
      </c>
      <c r="DA74" t="s">
        <v>152</v>
      </c>
      <c r="DB74" t="s">
        <v>178</v>
      </c>
      <c r="DC74" t="s">
        <v>207</v>
      </c>
      <c r="DD74" t="s">
        <v>180</v>
      </c>
      <c r="DE74">
        <v>2393</v>
      </c>
      <c r="DF74">
        <v>-119.305311</v>
      </c>
      <c r="DG74">
        <v>35.410406000000002</v>
      </c>
      <c r="DH74">
        <v>7200</v>
      </c>
      <c r="DI74">
        <v>200</v>
      </c>
      <c r="DL74">
        <v>15</v>
      </c>
      <c r="DM74">
        <v>10</v>
      </c>
      <c r="DN74">
        <v>40</v>
      </c>
      <c r="DO74">
        <v>50</v>
      </c>
      <c r="DP74">
        <v>0.2</v>
      </c>
      <c r="DQ74">
        <v>10000</v>
      </c>
      <c r="DS74" t="s">
        <v>322</v>
      </c>
      <c r="DT74">
        <v>1.2500000000000001E-2</v>
      </c>
      <c r="DU74">
        <v>1.2500000000000001E-2</v>
      </c>
      <c r="DV74">
        <v>0.32500000000000001</v>
      </c>
      <c r="DW74">
        <v>0.32500000000000001</v>
      </c>
      <c r="DX74">
        <v>0.32500000000000001</v>
      </c>
      <c r="DY74">
        <v>0</v>
      </c>
      <c r="DZ74" s="4">
        <v>5.3979999999999997</v>
      </c>
      <c r="EA74" s="4" t="s">
        <v>432</v>
      </c>
      <c r="EB74" s="4" t="s">
        <v>433</v>
      </c>
      <c r="EC74">
        <v>6.4850000000000003</v>
      </c>
      <c r="ED74">
        <v>569</v>
      </c>
      <c r="EE74" t="s">
        <v>544</v>
      </c>
      <c r="EF74">
        <v>0</v>
      </c>
      <c r="EH74">
        <f t="shared" si="3"/>
        <v>0.58000000000000007</v>
      </c>
      <c r="EI74">
        <v>3.38</v>
      </c>
      <c r="EJ74">
        <v>3.65</v>
      </c>
    </row>
    <row r="75" spans="1:140" x14ac:dyDescent="0.35">
      <c r="A75" s="1">
        <v>73</v>
      </c>
      <c r="B75">
        <v>-118.4741405661991</v>
      </c>
      <c r="C75">
        <v>34.653941081806892</v>
      </c>
      <c r="D75" t="s">
        <v>552</v>
      </c>
      <c r="E75">
        <v>0.1</v>
      </c>
      <c r="F75" t="s">
        <v>135</v>
      </c>
      <c r="G75">
        <v>7.1599999999999997E-2</v>
      </c>
      <c r="H75" t="s">
        <v>161</v>
      </c>
      <c r="I75">
        <v>-13188481</v>
      </c>
      <c r="J75">
        <v>4116952</v>
      </c>
      <c r="K75" t="s">
        <v>427</v>
      </c>
      <c r="L75" t="s">
        <v>317</v>
      </c>
      <c r="M75">
        <v>19</v>
      </c>
      <c r="N75">
        <v>5.4029999999999996</v>
      </c>
      <c r="O75">
        <v>4</v>
      </c>
      <c r="P75">
        <v>9</v>
      </c>
      <c r="Q75">
        <v>6</v>
      </c>
      <c r="R75">
        <v>37</v>
      </c>
      <c r="S75">
        <v>10014042</v>
      </c>
      <c r="T75" t="s">
        <v>315</v>
      </c>
      <c r="U75">
        <v>8.1439147775781446</v>
      </c>
      <c r="V75" t="s">
        <v>427</v>
      </c>
      <c r="W75">
        <v>0.27039999999999997</v>
      </c>
      <c r="X75">
        <v>10</v>
      </c>
      <c r="Y75">
        <v>8.9</v>
      </c>
      <c r="Z75">
        <v>8.9</v>
      </c>
      <c r="AA75">
        <v>20</v>
      </c>
      <c r="AB75">
        <v>26</v>
      </c>
      <c r="AC75">
        <v>0.40699999999999997</v>
      </c>
      <c r="AD75">
        <v>67</v>
      </c>
      <c r="AE75">
        <v>6.4685314685314674E-2</v>
      </c>
      <c r="AF75">
        <v>2.86</v>
      </c>
      <c r="AG75" t="s">
        <v>315</v>
      </c>
      <c r="AH75" t="s">
        <v>427</v>
      </c>
      <c r="AI75">
        <v>77</v>
      </c>
      <c r="AJ75">
        <v>2.5666666666666671E-2</v>
      </c>
      <c r="AK75">
        <v>25.666666666666671</v>
      </c>
      <c r="AL75" t="s">
        <v>435</v>
      </c>
      <c r="AM75">
        <v>0</v>
      </c>
      <c r="AN75">
        <v>1.74</v>
      </c>
      <c r="AO75">
        <v>0.09</v>
      </c>
      <c r="AP75">
        <v>0.19</v>
      </c>
      <c r="AQ75">
        <v>1.45</v>
      </c>
      <c r="AR75">
        <v>1.29</v>
      </c>
      <c r="AS75">
        <v>0.13</v>
      </c>
      <c r="AT75">
        <v>0.04</v>
      </c>
      <c r="AU75">
        <v>0.02</v>
      </c>
      <c r="AV75">
        <v>3.01</v>
      </c>
      <c r="AW75">
        <v>2.02</v>
      </c>
      <c r="AX75">
        <v>0.21</v>
      </c>
      <c r="AY75">
        <v>0.53</v>
      </c>
      <c r="AZ75">
        <v>0</v>
      </c>
      <c r="BA75">
        <v>1.37</v>
      </c>
      <c r="BB75">
        <v>0.24</v>
      </c>
      <c r="BC75">
        <v>0.41</v>
      </c>
      <c r="BD75">
        <v>0.27</v>
      </c>
      <c r="BE75">
        <v>15.79</v>
      </c>
      <c r="BF75">
        <v>15.1</v>
      </c>
      <c r="BG75">
        <v>0.24</v>
      </c>
      <c r="BH75">
        <v>0.45</v>
      </c>
      <c r="BI75">
        <v>0</v>
      </c>
      <c r="BJ75">
        <v>0.11</v>
      </c>
      <c r="BK75">
        <v>14.98</v>
      </c>
      <c r="BL75">
        <v>0</v>
      </c>
      <c r="BM75">
        <v>2.41</v>
      </c>
      <c r="BN75">
        <v>0.21</v>
      </c>
      <c r="BO75">
        <v>0.46</v>
      </c>
      <c r="BP75">
        <v>1.74</v>
      </c>
      <c r="BQ75">
        <v>1.27</v>
      </c>
      <c r="BR75">
        <v>0.17</v>
      </c>
      <c r="BS75">
        <v>0.3</v>
      </c>
      <c r="BT75">
        <v>0</v>
      </c>
      <c r="BU75">
        <v>16.239999999999998</v>
      </c>
      <c r="BV75">
        <v>15.18</v>
      </c>
      <c r="BW75">
        <v>0.34</v>
      </c>
      <c r="BX75">
        <v>0.72</v>
      </c>
      <c r="BY75">
        <v>0</v>
      </c>
      <c r="BZ75">
        <v>0.11</v>
      </c>
      <c r="CA75">
        <v>15.07</v>
      </c>
      <c r="CB75">
        <v>0</v>
      </c>
      <c r="CC75">
        <f t="shared" si="2"/>
        <v>2.75</v>
      </c>
      <c r="CD75">
        <v>3.96</v>
      </c>
      <c r="CE75">
        <v>0.34230769230769231</v>
      </c>
      <c r="CF75">
        <v>0.44500000000000001</v>
      </c>
      <c r="CG75">
        <v>0.1492537313432836</v>
      </c>
      <c r="CH75">
        <v>0.1423076923076923</v>
      </c>
      <c r="CI75">
        <v>0</v>
      </c>
      <c r="CJ75">
        <v>22502</v>
      </c>
      <c r="CK75" t="s">
        <v>169</v>
      </c>
      <c r="CL75" t="s">
        <v>430</v>
      </c>
      <c r="CM75" t="s">
        <v>143</v>
      </c>
      <c r="CN75">
        <v>0.273795295562</v>
      </c>
      <c r="CO75">
        <v>15.22762184146616</v>
      </c>
      <c r="CP75">
        <v>74</v>
      </c>
      <c r="CQ75" t="s">
        <v>553</v>
      </c>
      <c r="CR75">
        <v>174</v>
      </c>
      <c r="CS75" t="s">
        <v>313</v>
      </c>
      <c r="CT75" t="s">
        <v>314</v>
      </c>
      <c r="CU75" t="s">
        <v>315</v>
      </c>
      <c r="CV75" t="s">
        <v>316</v>
      </c>
      <c r="CW75" t="s">
        <v>317</v>
      </c>
      <c r="CX75" t="s">
        <v>318</v>
      </c>
      <c r="CY75" t="s">
        <v>317</v>
      </c>
      <c r="CZ75" t="s">
        <v>319</v>
      </c>
      <c r="DA75" t="s">
        <v>152</v>
      </c>
      <c r="DB75" t="s">
        <v>178</v>
      </c>
      <c r="DC75" t="s">
        <v>320</v>
      </c>
      <c r="DD75" t="s">
        <v>180</v>
      </c>
      <c r="DE75">
        <v>51</v>
      </c>
      <c r="DF75">
        <v>-118.161213</v>
      </c>
      <c r="DG75">
        <v>33.886425000000003</v>
      </c>
      <c r="DH75">
        <v>4000</v>
      </c>
      <c r="DI75">
        <v>1000</v>
      </c>
      <c r="DL75">
        <v>30</v>
      </c>
      <c r="DM75">
        <v>22</v>
      </c>
      <c r="DN75">
        <v>35</v>
      </c>
      <c r="DO75">
        <v>400</v>
      </c>
      <c r="DP75">
        <v>10</v>
      </c>
      <c r="DQ75">
        <v>2300</v>
      </c>
      <c r="DR75" t="s">
        <v>321</v>
      </c>
      <c r="DS75" t="s">
        <v>322</v>
      </c>
      <c r="DT75">
        <v>1.2500000000000001E-2</v>
      </c>
      <c r="DU75">
        <v>1.2500000000000001E-2</v>
      </c>
      <c r="DV75">
        <v>0.32500000000000001</v>
      </c>
      <c r="DW75">
        <v>0.32500000000000001</v>
      </c>
      <c r="DX75">
        <v>0.32500000000000001</v>
      </c>
      <c r="DY75">
        <v>12.629156414473879</v>
      </c>
      <c r="DZ75" s="4">
        <v>5.3979999999999997</v>
      </c>
      <c r="EA75" s="4" t="s">
        <v>432</v>
      </c>
      <c r="EB75" s="4" t="s">
        <v>433</v>
      </c>
      <c r="EC75">
        <v>6.4850000000000003</v>
      </c>
      <c r="ED75">
        <v>338</v>
      </c>
      <c r="EE75" t="s">
        <v>435</v>
      </c>
      <c r="EF75">
        <v>0</v>
      </c>
      <c r="EH75">
        <f t="shared" si="3"/>
        <v>0.58000000000000007</v>
      </c>
      <c r="EI75">
        <v>3.38</v>
      </c>
      <c r="EJ75">
        <v>3.65</v>
      </c>
    </row>
    <row r="76" spans="1:140" x14ac:dyDescent="0.35">
      <c r="A76" s="1">
        <v>74</v>
      </c>
      <c r="B76">
        <v>-116.6775099979601</v>
      </c>
      <c r="C76">
        <v>34.653941081806892</v>
      </c>
      <c r="D76" t="s">
        <v>554</v>
      </c>
      <c r="E76">
        <v>0.1</v>
      </c>
      <c r="F76" t="s">
        <v>135</v>
      </c>
      <c r="G76">
        <v>7.1599999999999997E-2</v>
      </c>
      <c r="H76" t="s">
        <v>161</v>
      </c>
      <c r="I76">
        <v>-12988481</v>
      </c>
      <c r="J76">
        <v>4116952</v>
      </c>
      <c r="K76" t="s">
        <v>427</v>
      </c>
      <c r="L76" t="s">
        <v>555</v>
      </c>
      <c r="M76">
        <v>36</v>
      </c>
      <c r="N76">
        <v>5.2560000000000002</v>
      </c>
      <c r="O76">
        <v>4</v>
      </c>
      <c r="P76">
        <v>9</v>
      </c>
      <c r="Q76">
        <v>6</v>
      </c>
      <c r="R76">
        <v>71</v>
      </c>
      <c r="S76">
        <v>2181662</v>
      </c>
      <c r="T76" t="s">
        <v>315</v>
      </c>
      <c r="U76">
        <v>8.1439147775781446</v>
      </c>
      <c r="V76" t="s">
        <v>427</v>
      </c>
      <c r="W76">
        <v>0.27039999999999997</v>
      </c>
      <c r="X76">
        <v>10</v>
      </c>
      <c r="Y76">
        <v>8.9</v>
      </c>
      <c r="Z76">
        <v>8.9</v>
      </c>
      <c r="AA76">
        <v>20</v>
      </c>
      <c r="AB76">
        <v>26</v>
      </c>
      <c r="AC76">
        <v>0.40699999999999997</v>
      </c>
      <c r="AD76">
        <v>67</v>
      </c>
      <c r="AE76">
        <v>6.4685314685314674E-2</v>
      </c>
      <c r="AF76">
        <v>2.86</v>
      </c>
      <c r="AG76" t="s">
        <v>315</v>
      </c>
      <c r="AH76" t="s">
        <v>427</v>
      </c>
      <c r="AI76">
        <v>77</v>
      </c>
      <c r="AJ76">
        <v>2.5666666666666671E-2</v>
      </c>
      <c r="AK76">
        <v>25.666666666666671</v>
      </c>
      <c r="AL76" t="s">
        <v>556</v>
      </c>
      <c r="AM76">
        <v>0</v>
      </c>
      <c r="AN76">
        <v>1.74</v>
      </c>
      <c r="AO76">
        <v>0.09</v>
      </c>
      <c r="AP76">
        <v>0.19</v>
      </c>
      <c r="AQ76">
        <v>1.45</v>
      </c>
      <c r="AR76">
        <v>1.29</v>
      </c>
      <c r="AS76">
        <v>0.13</v>
      </c>
      <c r="AT76">
        <v>0.04</v>
      </c>
      <c r="AU76">
        <v>0.02</v>
      </c>
      <c r="AV76">
        <v>3.01</v>
      </c>
      <c r="AW76">
        <v>2.02</v>
      </c>
      <c r="AX76">
        <v>0.21</v>
      </c>
      <c r="AY76">
        <v>0.53</v>
      </c>
      <c r="AZ76">
        <v>0</v>
      </c>
      <c r="BA76">
        <v>1.37</v>
      </c>
      <c r="BB76">
        <v>0.24</v>
      </c>
      <c r="BC76">
        <v>0.41</v>
      </c>
      <c r="BD76">
        <v>0.27</v>
      </c>
      <c r="BE76">
        <v>15.79</v>
      </c>
      <c r="BF76">
        <v>15.1</v>
      </c>
      <c r="BG76">
        <v>0.24</v>
      </c>
      <c r="BH76">
        <v>0.45</v>
      </c>
      <c r="BI76">
        <v>0</v>
      </c>
      <c r="BJ76">
        <v>0.11</v>
      </c>
      <c r="BK76">
        <v>14.98</v>
      </c>
      <c r="BL76">
        <v>0</v>
      </c>
      <c r="BM76">
        <v>2.41</v>
      </c>
      <c r="BN76">
        <v>0.21</v>
      </c>
      <c r="BO76">
        <v>0.46</v>
      </c>
      <c r="BP76">
        <v>1.74</v>
      </c>
      <c r="BQ76">
        <v>1.27</v>
      </c>
      <c r="BR76">
        <v>0.17</v>
      </c>
      <c r="BS76">
        <v>0.3</v>
      </c>
      <c r="BT76">
        <v>0</v>
      </c>
      <c r="BU76">
        <v>16.239999999999998</v>
      </c>
      <c r="BV76">
        <v>15.18</v>
      </c>
      <c r="BW76">
        <v>0.34</v>
      </c>
      <c r="BX76">
        <v>0.72</v>
      </c>
      <c r="BY76">
        <v>0</v>
      </c>
      <c r="BZ76">
        <v>0.11</v>
      </c>
      <c r="CA76">
        <v>15.07</v>
      </c>
      <c r="CB76">
        <v>0</v>
      </c>
      <c r="CC76">
        <f t="shared" si="2"/>
        <v>2.75</v>
      </c>
      <c r="CD76">
        <v>3.96</v>
      </c>
      <c r="CE76">
        <v>0.34230769230769231</v>
      </c>
      <c r="CF76">
        <v>0.44500000000000001</v>
      </c>
      <c r="CG76">
        <v>0.1492537313432836</v>
      </c>
      <c r="CH76">
        <v>0.1423076923076923</v>
      </c>
      <c r="CI76">
        <v>0</v>
      </c>
      <c r="CJ76">
        <v>22596</v>
      </c>
      <c r="CK76" t="s">
        <v>169</v>
      </c>
      <c r="CL76" t="s">
        <v>430</v>
      </c>
      <c r="CM76" t="s">
        <v>143</v>
      </c>
      <c r="CN76">
        <v>0.40738844959600001</v>
      </c>
      <c r="CO76">
        <v>5.1538578435799698</v>
      </c>
      <c r="CP76">
        <v>75</v>
      </c>
      <c r="CQ76" t="s">
        <v>557</v>
      </c>
      <c r="CR76">
        <v>174</v>
      </c>
      <c r="CS76" t="s">
        <v>313</v>
      </c>
      <c r="CT76" t="s">
        <v>314</v>
      </c>
      <c r="CU76" t="s">
        <v>315</v>
      </c>
      <c r="CV76" t="s">
        <v>316</v>
      </c>
      <c r="CW76" t="s">
        <v>317</v>
      </c>
      <c r="CX76" t="s">
        <v>318</v>
      </c>
      <c r="CY76" t="s">
        <v>317</v>
      </c>
      <c r="CZ76" t="s">
        <v>319</v>
      </c>
      <c r="DA76" t="s">
        <v>152</v>
      </c>
      <c r="DB76" t="s">
        <v>178</v>
      </c>
      <c r="DC76" t="s">
        <v>320</v>
      </c>
      <c r="DD76" t="s">
        <v>180</v>
      </c>
      <c r="DE76">
        <v>51</v>
      </c>
      <c r="DF76">
        <v>-118.161213</v>
      </c>
      <c r="DG76">
        <v>33.886425000000003</v>
      </c>
      <c r="DH76">
        <v>4000</v>
      </c>
      <c r="DI76">
        <v>1000</v>
      </c>
      <c r="DL76">
        <v>30</v>
      </c>
      <c r="DM76">
        <v>22</v>
      </c>
      <c r="DN76">
        <v>35</v>
      </c>
      <c r="DO76">
        <v>400</v>
      </c>
      <c r="DP76">
        <v>10</v>
      </c>
      <c r="DQ76">
        <v>2300</v>
      </c>
      <c r="DR76" t="s">
        <v>321</v>
      </c>
      <c r="DS76" t="s">
        <v>322</v>
      </c>
      <c r="DT76">
        <v>1.2500000000000001E-2</v>
      </c>
      <c r="DU76">
        <v>1.2500000000000001E-2</v>
      </c>
      <c r="DV76">
        <v>0.32500000000000001</v>
      </c>
      <c r="DW76">
        <v>0.32500000000000001</v>
      </c>
      <c r="DX76">
        <v>0.32500000000000001</v>
      </c>
      <c r="DY76">
        <v>20.862281973387478</v>
      </c>
      <c r="DZ76" s="4">
        <v>5.3979999999999997</v>
      </c>
      <c r="EA76" s="4" t="s">
        <v>432</v>
      </c>
      <c r="EB76" s="4" t="s">
        <v>433</v>
      </c>
      <c r="EC76">
        <v>6.4850000000000003</v>
      </c>
      <c r="ED76">
        <v>244</v>
      </c>
      <c r="EE76" t="s">
        <v>556</v>
      </c>
      <c r="EF76">
        <v>0</v>
      </c>
      <c r="EH76">
        <f t="shared" si="3"/>
        <v>0.58000000000000007</v>
      </c>
      <c r="EI76">
        <v>3.38</v>
      </c>
      <c r="EJ76">
        <v>3.65</v>
      </c>
    </row>
    <row r="77" spans="1:140" x14ac:dyDescent="0.35">
      <c r="A77" s="1">
        <v>75</v>
      </c>
      <c r="B77">
        <v>-114.88087942972101</v>
      </c>
      <c r="C77">
        <v>34.653941081806892</v>
      </c>
      <c r="D77" t="s">
        <v>558</v>
      </c>
      <c r="E77">
        <v>0.1</v>
      </c>
      <c r="F77" t="s">
        <v>135</v>
      </c>
      <c r="G77">
        <v>7.1599999999999997E-2</v>
      </c>
      <c r="H77" t="s">
        <v>161</v>
      </c>
      <c r="I77">
        <v>-12788481</v>
      </c>
      <c r="J77">
        <v>4116952</v>
      </c>
      <c r="K77" t="s">
        <v>427</v>
      </c>
      <c r="L77" t="s">
        <v>555</v>
      </c>
      <c r="M77">
        <v>36</v>
      </c>
      <c r="N77">
        <v>5.2560000000000002</v>
      </c>
      <c r="O77">
        <v>4</v>
      </c>
      <c r="P77">
        <v>9</v>
      </c>
      <c r="Q77">
        <v>6</v>
      </c>
      <c r="R77">
        <v>71</v>
      </c>
      <c r="S77">
        <v>2181662</v>
      </c>
      <c r="T77" t="s">
        <v>315</v>
      </c>
      <c r="U77">
        <v>8.1439147775781446</v>
      </c>
      <c r="V77" t="s">
        <v>427</v>
      </c>
      <c r="W77">
        <v>0.27039999999999997</v>
      </c>
      <c r="X77">
        <v>10</v>
      </c>
      <c r="Y77">
        <v>8.9</v>
      </c>
      <c r="Z77">
        <v>8.9</v>
      </c>
      <c r="AA77">
        <v>20</v>
      </c>
      <c r="AB77">
        <v>26</v>
      </c>
      <c r="AC77">
        <v>0.40699999999999997</v>
      </c>
      <c r="AD77">
        <v>67</v>
      </c>
      <c r="AE77">
        <v>6.4685314685314674E-2</v>
      </c>
      <c r="AF77">
        <v>2.86</v>
      </c>
      <c r="AG77" t="s">
        <v>315</v>
      </c>
      <c r="AH77" t="s">
        <v>427</v>
      </c>
      <c r="AI77">
        <v>77</v>
      </c>
      <c r="AJ77">
        <v>2.5666666666666671E-2</v>
      </c>
      <c r="AK77">
        <v>25.666666666666671</v>
      </c>
      <c r="AL77" t="s">
        <v>556</v>
      </c>
      <c r="AM77">
        <v>0</v>
      </c>
      <c r="AN77">
        <v>1.74</v>
      </c>
      <c r="AO77">
        <v>0.09</v>
      </c>
      <c r="AP77">
        <v>0.19</v>
      </c>
      <c r="AQ77">
        <v>1.45</v>
      </c>
      <c r="AR77">
        <v>1.29</v>
      </c>
      <c r="AS77">
        <v>0.13</v>
      </c>
      <c r="AT77">
        <v>0.04</v>
      </c>
      <c r="AU77">
        <v>0.02</v>
      </c>
      <c r="AV77">
        <v>3.01</v>
      </c>
      <c r="AW77">
        <v>2.02</v>
      </c>
      <c r="AX77">
        <v>0.21</v>
      </c>
      <c r="AY77">
        <v>0.53</v>
      </c>
      <c r="AZ77">
        <v>0</v>
      </c>
      <c r="BA77">
        <v>1.37</v>
      </c>
      <c r="BB77">
        <v>0.24</v>
      </c>
      <c r="BC77">
        <v>0.41</v>
      </c>
      <c r="BD77">
        <v>0.27</v>
      </c>
      <c r="BE77">
        <v>15.79</v>
      </c>
      <c r="BF77">
        <v>15.1</v>
      </c>
      <c r="BG77">
        <v>0.24</v>
      </c>
      <c r="BH77">
        <v>0.45</v>
      </c>
      <c r="BI77">
        <v>0</v>
      </c>
      <c r="BJ77">
        <v>0.11</v>
      </c>
      <c r="BK77">
        <v>14.98</v>
      </c>
      <c r="BL77">
        <v>0</v>
      </c>
      <c r="BM77">
        <v>2.41</v>
      </c>
      <c r="BN77">
        <v>0.21</v>
      </c>
      <c r="BO77">
        <v>0.46</v>
      </c>
      <c r="BP77">
        <v>1.74</v>
      </c>
      <c r="BQ77">
        <v>1.27</v>
      </c>
      <c r="BR77">
        <v>0.17</v>
      </c>
      <c r="BS77">
        <v>0.3</v>
      </c>
      <c r="BT77">
        <v>0</v>
      </c>
      <c r="BU77">
        <v>16.239999999999998</v>
      </c>
      <c r="BV77">
        <v>15.18</v>
      </c>
      <c r="BW77">
        <v>0.34</v>
      </c>
      <c r="BX77">
        <v>0.72</v>
      </c>
      <c r="BY77">
        <v>0</v>
      </c>
      <c r="BZ77">
        <v>0.11</v>
      </c>
      <c r="CA77">
        <v>15.07</v>
      </c>
      <c r="CB77">
        <v>0</v>
      </c>
      <c r="CC77">
        <f t="shared" si="2"/>
        <v>2.75</v>
      </c>
      <c r="CD77">
        <v>3.96</v>
      </c>
      <c r="CE77">
        <v>0.34230769230769231</v>
      </c>
      <c r="CF77">
        <v>0.44500000000000001</v>
      </c>
      <c r="CG77">
        <v>0.1492537313432836</v>
      </c>
      <c r="CH77">
        <v>0.1423076923076923</v>
      </c>
      <c r="CI77">
        <v>0</v>
      </c>
      <c r="CJ77">
        <v>10798</v>
      </c>
      <c r="CK77" t="s">
        <v>141</v>
      </c>
      <c r="CL77" t="s">
        <v>559</v>
      </c>
      <c r="CM77" t="s">
        <v>143</v>
      </c>
      <c r="CN77">
        <v>0.93252153083599998</v>
      </c>
      <c r="CO77">
        <v>2.2302485471975699</v>
      </c>
      <c r="CP77">
        <v>76</v>
      </c>
      <c r="CQ77" t="s">
        <v>560</v>
      </c>
      <c r="CR77">
        <v>174</v>
      </c>
      <c r="CS77" t="s">
        <v>313</v>
      </c>
      <c r="CT77" t="s">
        <v>314</v>
      </c>
      <c r="CU77" t="s">
        <v>315</v>
      </c>
      <c r="CV77" t="s">
        <v>316</v>
      </c>
      <c r="CW77" t="s">
        <v>317</v>
      </c>
      <c r="CX77" t="s">
        <v>318</v>
      </c>
      <c r="CY77" t="s">
        <v>317</v>
      </c>
      <c r="CZ77" t="s">
        <v>319</v>
      </c>
      <c r="DA77" t="s">
        <v>152</v>
      </c>
      <c r="DB77" t="s">
        <v>178</v>
      </c>
      <c r="DC77" t="s">
        <v>320</v>
      </c>
      <c r="DD77" t="s">
        <v>180</v>
      </c>
      <c r="DE77">
        <v>51</v>
      </c>
      <c r="DF77">
        <v>-118.161213</v>
      </c>
      <c r="DG77">
        <v>33.886425000000003</v>
      </c>
      <c r="DH77">
        <v>4000</v>
      </c>
      <c r="DI77">
        <v>1000</v>
      </c>
      <c r="DL77">
        <v>30</v>
      </c>
      <c r="DM77">
        <v>22</v>
      </c>
      <c r="DN77">
        <v>35</v>
      </c>
      <c r="DO77">
        <v>400</v>
      </c>
      <c r="DP77">
        <v>10</v>
      </c>
      <c r="DQ77">
        <v>2300</v>
      </c>
      <c r="DR77" t="s">
        <v>321</v>
      </c>
      <c r="DS77" t="s">
        <v>322</v>
      </c>
      <c r="DT77">
        <v>1.2500000000000001E-2</v>
      </c>
      <c r="DU77">
        <v>1.2500000000000001E-2</v>
      </c>
      <c r="DV77">
        <v>0.32500000000000001</v>
      </c>
      <c r="DW77">
        <v>0.32500000000000001</v>
      </c>
      <c r="DX77">
        <v>0.32500000000000001</v>
      </c>
      <c r="DY77">
        <v>1.578990333680022</v>
      </c>
      <c r="DZ77" s="4">
        <v>5.3979999999999997</v>
      </c>
      <c r="EA77" s="4" t="s">
        <v>432</v>
      </c>
      <c r="EB77" s="4" t="s">
        <v>433</v>
      </c>
      <c r="EC77">
        <v>6.4850000000000003</v>
      </c>
      <c r="ED77">
        <v>244</v>
      </c>
      <c r="EE77" t="s">
        <v>556</v>
      </c>
      <c r="EF77">
        <v>0</v>
      </c>
      <c r="EH77">
        <f t="shared" si="3"/>
        <v>0.58000000000000007</v>
      </c>
      <c r="EI77">
        <v>3.38</v>
      </c>
      <c r="EJ77">
        <v>3.65</v>
      </c>
    </row>
    <row r="78" spans="1:140" x14ac:dyDescent="0.35">
      <c r="A78" s="1">
        <v>76</v>
      </c>
      <c r="B78">
        <v>-113.084248861482</v>
      </c>
      <c r="C78">
        <v>34.653941081806892</v>
      </c>
      <c r="D78" t="s">
        <v>561</v>
      </c>
      <c r="E78">
        <v>0.1</v>
      </c>
      <c r="F78" t="s">
        <v>306</v>
      </c>
      <c r="G78">
        <v>7.1599999999999997E-2</v>
      </c>
      <c r="H78" t="s">
        <v>161</v>
      </c>
      <c r="I78">
        <v>-12588481</v>
      </c>
      <c r="J78">
        <v>4116952</v>
      </c>
      <c r="K78" t="s">
        <v>307</v>
      </c>
      <c r="L78" t="s">
        <v>562</v>
      </c>
      <c r="M78">
        <v>14</v>
      </c>
      <c r="N78">
        <v>4.3280000000000003</v>
      </c>
      <c r="O78">
        <v>4</v>
      </c>
      <c r="P78">
        <v>8</v>
      </c>
      <c r="Q78">
        <v>4</v>
      </c>
      <c r="R78">
        <v>25</v>
      </c>
      <c r="S78">
        <v>236218</v>
      </c>
      <c r="T78" t="s">
        <v>309</v>
      </c>
      <c r="U78">
        <v>6.5998399715504972</v>
      </c>
      <c r="V78" t="s">
        <v>307</v>
      </c>
      <c r="W78">
        <v>0.12740000000000001</v>
      </c>
      <c r="X78">
        <v>10</v>
      </c>
      <c r="Y78">
        <v>8.9</v>
      </c>
      <c r="Z78">
        <v>8.9</v>
      </c>
      <c r="AA78">
        <v>20</v>
      </c>
      <c r="AB78">
        <v>26</v>
      </c>
      <c r="AC78">
        <v>0.63400000000000001</v>
      </c>
      <c r="AD78">
        <v>67</v>
      </c>
      <c r="AE78">
        <v>0.1007628734901462</v>
      </c>
      <c r="AF78">
        <v>2.86</v>
      </c>
      <c r="AG78" t="s">
        <v>309</v>
      </c>
      <c r="AH78" t="s">
        <v>307</v>
      </c>
      <c r="AI78">
        <v>64</v>
      </c>
      <c r="AJ78">
        <v>2.1333333333333329E-2</v>
      </c>
      <c r="AK78">
        <v>21.333333333333329</v>
      </c>
      <c r="AL78" t="s">
        <v>563</v>
      </c>
      <c r="AM78">
        <v>0</v>
      </c>
      <c r="AN78">
        <v>1.43</v>
      </c>
      <c r="AO78">
        <v>0.09</v>
      </c>
      <c r="AP78">
        <v>0.19</v>
      </c>
      <c r="AQ78">
        <v>1.1499999999999999</v>
      </c>
      <c r="AR78">
        <v>1.04</v>
      </c>
      <c r="AS78">
        <v>0.09</v>
      </c>
      <c r="AT78">
        <v>0.02</v>
      </c>
      <c r="AU78">
        <v>0.02</v>
      </c>
      <c r="AV78">
        <v>2.46</v>
      </c>
      <c r="AW78">
        <v>1.47</v>
      </c>
      <c r="AX78">
        <v>0.21</v>
      </c>
      <c r="AY78">
        <v>0.53</v>
      </c>
      <c r="AZ78">
        <v>0</v>
      </c>
      <c r="BA78">
        <v>1.1100000000000001</v>
      </c>
      <c r="BB78">
        <v>0.16</v>
      </c>
      <c r="BC78">
        <v>0.2</v>
      </c>
      <c r="BD78">
        <v>0.27</v>
      </c>
      <c r="BE78">
        <v>7.98</v>
      </c>
      <c r="BF78">
        <v>7.29</v>
      </c>
      <c r="BG78">
        <v>0.24</v>
      </c>
      <c r="BH78">
        <v>0.45</v>
      </c>
      <c r="BI78">
        <v>0</v>
      </c>
      <c r="BJ78">
        <v>0.08</v>
      </c>
      <c r="BK78">
        <v>7.21</v>
      </c>
      <c r="BL78">
        <v>0</v>
      </c>
      <c r="BM78">
        <v>1.96</v>
      </c>
      <c r="BN78">
        <v>0.21</v>
      </c>
      <c r="BO78">
        <v>0.46</v>
      </c>
      <c r="BP78">
        <v>1.29</v>
      </c>
      <c r="BQ78">
        <v>1.03</v>
      </c>
      <c r="BR78">
        <v>0.12</v>
      </c>
      <c r="BS78">
        <v>0.14000000000000001</v>
      </c>
      <c r="BT78">
        <v>0</v>
      </c>
      <c r="BU78">
        <v>8.39</v>
      </c>
      <c r="BV78">
        <v>7.33</v>
      </c>
      <c r="BW78">
        <v>0.34</v>
      </c>
      <c r="BX78">
        <v>0.72</v>
      </c>
      <c r="BY78">
        <v>0</v>
      </c>
      <c r="BZ78">
        <v>0.08</v>
      </c>
      <c r="CA78">
        <v>7.25</v>
      </c>
      <c r="CB78">
        <v>0</v>
      </c>
      <c r="CC78">
        <f t="shared" si="2"/>
        <v>2.75</v>
      </c>
      <c r="CD78">
        <v>3.96</v>
      </c>
      <c r="CE78">
        <v>0.34230769230769231</v>
      </c>
      <c r="CF78">
        <v>0.44500000000000001</v>
      </c>
      <c r="CG78">
        <v>0.1492537313432836</v>
      </c>
      <c r="CH78">
        <v>0.22167832167832169</v>
      </c>
      <c r="CI78">
        <v>0</v>
      </c>
      <c r="CJ78">
        <v>29408</v>
      </c>
      <c r="CK78" t="s">
        <v>141</v>
      </c>
      <c r="CL78" t="s">
        <v>564</v>
      </c>
      <c r="CM78" t="s">
        <v>143</v>
      </c>
      <c r="CN78">
        <v>1.294679814</v>
      </c>
      <c r="CO78">
        <v>44.297781382805432</v>
      </c>
      <c r="CP78">
        <v>77</v>
      </c>
      <c r="CQ78" t="s">
        <v>565</v>
      </c>
      <c r="CR78">
        <v>174</v>
      </c>
      <c r="CS78" t="s">
        <v>313</v>
      </c>
      <c r="CT78" t="s">
        <v>314</v>
      </c>
      <c r="CU78" t="s">
        <v>315</v>
      </c>
      <c r="CV78" t="s">
        <v>316</v>
      </c>
      <c r="CW78" t="s">
        <v>317</v>
      </c>
      <c r="CX78" t="s">
        <v>318</v>
      </c>
      <c r="CY78" t="s">
        <v>317</v>
      </c>
      <c r="CZ78" t="s">
        <v>319</v>
      </c>
      <c r="DA78" t="s">
        <v>152</v>
      </c>
      <c r="DB78" t="s">
        <v>178</v>
      </c>
      <c r="DC78" t="s">
        <v>320</v>
      </c>
      <c r="DD78" t="s">
        <v>180</v>
      </c>
      <c r="DE78">
        <v>51</v>
      </c>
      <c r="DF78">
        <v>-118.161213</v>
      </c>
      <c r="DG78">
        <v>33.886425000000003</v>
      </c>
      <c r="DH78">
        <v>4000</v>
      </c>
      <c r="DI78">
        <v>1000</v>
      </c>
      <c r="DL78">
        <v>30</v>
      </c>
      <c r="DM78">
        <v>22</v>
      </c>
      <c r="DN78">
        <v>35</v>
      </c>
      <c r="DO78">
        <v>400</v>
      </c>
      <c r="DP78">
        <v>10</v>
      </c>
      <c r="DQ78">
        <v>2300</v>
      </c>
      <c r="DR78" t="s">
        <v>321</v>
      </c>
      <c r="DS78" t="s">
        <v>322</v>
      </c>
      <c r="DT78">
        <v>1.2500000000000001E-2</v>
      </c>
      <c r="DU78">
        <v>1.2500000000000001E-2</v>
      </c>
      <c r="DV78">
        <v>0.32500000000000001</v>
      </c>
      <c r="DW78">
        <v>0.32500000000000001</v>
      </c>
      <c r="DX78">
        <v>0.32500000000000001</v>
      </c>
      <c r="DY78">
        <v>118.7747777552099</v>
      </c>
      <c r="DZ78" s="4">
        <v>3.9140000000000001</v>
      </c>
      <c r="EA78" s="4" t="s">
        <v>323</v>
      </c>
      <c r="EB78" s="4" t="s">
        <v>324</v>
      </c>
      <c r="EC78">
        <v>4.8630000000000004</v>
      </c>
      <c r="ED78">
        <v>25</v>
      </c>
      <c r="EE78" t="s">
        <v>563</v>
      </c>
      <c r="EF78">
        <v>0</v>
      </c>
      <c r="EH78">
        <f t="shared" si="3"/>
        <v>0.58000000000000007</v>
      </c>
      <c r="EI78">
        <v>3.38</v>
      </c>
      <c r="EJ78">
        <v>3.65</v>
      </c>
    </row>
    <row r="79" spans="1:140" x14ac:dyDescent="0.35">
      <c r="A79" s="1">
        <v>77</v>
      </c>
      <c r="B79">
        <v>-111.2876182932429</v>
      </c>
      <c r="C79">
        <v>34.653941081806892</v>
      </c>
      <c r="D79" t="s">
        <v>566</v>
      </c>
      <c r="E79">
        <v>0.1</v>
      </c>
      <c r="F79" t="s">
        <v>135</v>
      </c>
      <c r="G79">
        <v>0.16109999999999999</v>
      </c>
      <c r="H79" t="s">
        <v>161</v>
      </c>
      <c r="I79">
        <v>-12388481</v>
      </c>
      <c r="J79">
        <v>4116952</v>
      </c>
      <c r="K79" t="s">
        <v>307</v>
      </c>
      <c r="L79" t="s">
        <v>567</v>
      </c>
      <c r="M79">
        <v>3</v>
      </c>
      <c r="N79">
        <v>4.351</v>
      </c>
      <c r="O79">
        <v>4</v>
      </c>
      <c r="P79">
        <v>8</v>
      </c>
      <c r="Q79">
        <v>4</v>
      </c>
      <c r="R79">
        <v>5</v>
      </c>
      <c r="S79">
        <v>145100</v>
      </c>
      <c r="T79" t="s">
        <v>309</v>
      </c>
      <c r="U79">
        <v>6.5998399715504972</v>
      </c>
      <c r="V79" t="s">
        <v>307</v>
      </c>
      <c r="W79">
        <v>0.12740000000000001</v>
      </c>
      <c r="X79">
        <v>10</v>
      </c>
      <c r="Y79">
        <v>8.9</v>
      </c>
      <c r="Z79">
        <v>8.9</v>
      </c>
      <c r="AA79">
        <v>20</v>
      </c>
      <c r="AB79">
        <v>26</v>
      </c>
      <c r="AC79">
        <v>0.63400000000000001</v>
      </c>
      <c r="AD79">
        <v>67</v>
      </c>
      <c r="AE79">
        <v>0.1007628734901462</v>
      </c>
      <c r="AF79">
        <v>2.86</v>
      </c>
      <c r="AG79" t="s">
        <v>309</v>
      </c>
      <c r="AH79" t="s">
        <v>307</v>
      </c>
      <c r="AI79">
        <v>64</v>
      </c>
      <c r="AJ79">
        <v>2.1333333333333329E-2</v>
      </c>
      <c r="AK79">
        <v>21.333333333333329</v>
      </c>
      <c r="AL79" t="s">
        <v>568</v>
      </c>
      <c r="AM79">
        <v>0</v>
      </c>
      <c r="AN79">
        <v>1.43</v>
      </c>
      <c r="AO79">
        <v>0.09</v>
      </c>
      <c r="AP79">
        <v>0.19</v>
      </c>
      <c r="AQ79">
        <v>1.1499999999999999</v>
      </c>
      <c r="AR79">
        <v>1.04</v>
      </c>
      <c r="AS79">
        <v>0.09</v>
      </c>
      <c r="AT79">
        <v>0.02</v>
      </c>
      <c r="AU79">
        <v>0.02</v>
      </c>
      <c r="AV79">
        <v>2.46</v>
      </c>
      <c r="AW79">
        <v>1.47</v>
      </c>
      <c r="AX79">
        <v>0.21</v>
      </c>
      <c r="AY79">
        <v>0.53</v>
      </c>
      <c r="AZ79">
        <v>0</v>
      </c>
      <c r="BA79">
        <v>1.1100000000000001</v>
      </c>
      <c r="BB79">
        <v>0.16</v>
      </c>
      <c r="BC79">
        <v>0.2</v>
      </c>
      <c r="BD79">
        <v>0.27</v>
      </c>
      <c r="BE79">
        <v>7.98</v>
      </c>
      <c r="BF79">
        <v>7.29</v>
      </c>
      <c r="BG79">
        <v>0.24</v>
      </c>
      <c r="BH79">
        <v>0.45</v>
      </c>
      <c r="BI79">
        <v>0</v>
      </c>
      <c r="BJ79">
        <v>0.08</v>
      </c>
      <c r="BK79">
        <v>7.21</v>
      </c>
      <c r="BL79">
        <v>0</v>
      </c>
      <c r="BM79">
        <v>1.96</v>
      </c>
      <c r="BN79">
        <v>0.21</v>
      </c>
      <c r="BO79">
        <v>0.46</v>
      </c>
      <c r="BP79">
        <v>1.29</v>
      </c>
      <c r="BQ79">
        <v>1.03</v>
      </c>
      <c r="BR79">
        <v>0.12</v>
      </c>
      <c r="BS79">
        <v>0.14000000000000001</v>
      </c>
      <c r="BT79">
        <v>0</v>
      </c>
      <c r="BU79">
        <v>8.39</v>
      </c>
      <c r="BV79">
        <v>7.33</v>
      </c>
      <c r="BW79">
        <v>0.34</v>
      </c>
      <c r="BX79">
        <v>0.72</v>
      </c>
      <c r="BY79">
        <v>0</v>
      </c>
      <c r="BZ79">
        <v>0.08</v>
      </c>
      <c r="CA79">
        <v>7.25</v>
      </c>
      <c r="CB79">
        <v>0</v>
      </c>
      <c r="CC79">
        <f t="shared" si="2"/>
        <v>2.75</v>
      </c>
      <c r="CD79">
        <v>3.96</v>
      </c>
      <c r="CE79">
        <v>0.34230769230769231</v>
      </c>
      <c r="CF79">
        <v>0.44500000000000001</v>
      </c>
      <c r="CG79">
        <v>0.1492537313432836</v>
      </c>
      <c r="CH79">
        <v>0.22167832167832169</v>
      </c>
      <c r="CI79">
        <v>0</v>
      </c>
      <c r="CJ79">
        <v>8036</v>
      </c>
      <c r="CK79" t="s">
        <v>141</v>
      </c>
      <c r="CL79" t="s">
        <v>311</v>
      </c>
      <c r="CM79" t="s">
        <v>143</v>
      </c>
      <c r="CN79">
        <v>0.49772303895300002</v>
      </c>
      <c r="CO79">
        <v>52.432498240616248</v>
      </c>
      <c r="CP79">
        <v>78</v>
      </c>
      <c r="CQ79" t="s">
        <v>307</v>
      </c>
      <c r="CR79">
        <v>91</v>
      </c>
      <c r="CS79" t="s">
        <v>452</v>
      </c>
      <c r="CT79" t="s">
        <v>453</v>
      </c>
      <c r="CU79" t="s">
        <v>454</v>
      </c>
      <c r="CV79" t="s">
        <v>455</v>
      </c>
      <c r="CW79" t="s">
        <v>456</v>
      </c>
      <c r="CX79" t="s">
        <v>457</v>
      </c>
      <c r="CY79" t="s">
        <v>458</v>
      </c>
      <c r="CZ79" t="s">
        <v>206</v>
      </c>
      <c r="DA79" t="s">
        <v>152</v>
      </c>
      <c r="DB79" t="s">
        <v>153</v>
      </c>
      <c r="DC79" t="s">
        <v>459</v>
      </c>
      <c r="DD79" t="s">
        <v>208</v>
      </c>
      <c r="DE79">
        <v>1466</v>
      </c>
      <c r="DF79">
        <v>-108.330134</v>
      </c>
      <c r="DG79">
        <v>37.163961999999998</v>
      </c>
      <c r="DH79">
        <v>8275</v>
      </c>
      <c r="DI79">
        <v>1000</v>
      </c>
      <c r="DJ79">
        <v>3475</v>
      </c>
      <c r="DK79">
        <v>178</v>
      </c>
      <c r="DL79">
        <v>7.5</v>
      </c>
      <c r="DO79">
        <v>9</v>
      </c>
      <c r="DR79">
        <v>112500</v>
      </c>
      <c r="DS79">
        <v>42</v>
      </c>
      <c r="DT79">
        <v>1.2500000000000001E-2</v>
      </c>
      <c r="DU79">
        <v>1.2500000000000001E-2</v>
      </c>
      <c r="DV79">
        <v>0.32500000000000001</v>
      </c>
      <c r="DW79">
        <v>0.32500000000000001</v>
      </c>
      <c r="DX79">
        <v>0.32500000000000001</v>
      </c>
      <c r="DY79">
        <v>38.485469800423473</v>
      </c>
      <c r="DZ79" s="4">
        <v>3.9140000000000001</v>
      </c>
      <c r="EA79" s="4" t="s">
        <v>323</v>
      </c>
      <c r="EB79" s="4" t="s">
        <v>324</v>
      </c>
      <c r="EC79">
        <v>4.8630000000000004</v>
      </c>
      <c r="ED79">
        <v>95</v>
      </c>
      <c r="EE79" t="s">
        <v>568</v>
      </c>
      <c r="EF79">
        <v>0</v>
      </c>
      <c r="EH79">
        <f t="shared" si="3"/>
        <v>0.58000000000000007</v>
      </c>
      <c r="EI79">
        <v>3.38</v>
      </c>
      <c r="EJ79">
        <v>3.65</v>
      </c>
    </row>
    <row r="80" spans="1:140" x14ac:dyDescent="0.35">
      <c r="A80" s="1">
        <v>78</v>
      </c>
      <c r="B80">
        <v>-109.4909877250039</v>
      </c>
      <c r="C80">
        <v>34.653941081806892</v>
      </c>
      <c r="D80" t="s">
        <v>569</v>
      </c>
      <c r="E80">
        <v>0.1</v>
      </c>
      <c r="F80" t="s">
        <v>135</v>
      </c>
      <c r="G80">
        <v>0.16109999999999999</v>
      </c>
      <c r="H80" t="s">
        <v>161</v>
      </c>
      <c r="I80">
        <v>-12188481</v>
      </c>
      <c r="J80">
        <v>4116952</v>
      </c>
      <c r="K80" t="s">
        <v>307</v>
      </c>
      <c r="L80" t="s">
        <v>570</v>
      </c>
      <c r="M80">
        <v>1</v>
      </c>
      <c r="N80">
        <v>4.3319999999999999</v>
      </c>
      <c r="O80">
        <v>4</v>
      </c>
      <c r="P80">
        <v>8</v>
      </c>
      <c r="Q80">
        <v>4</v>
      </c>
      <c r="R80">
        <v>1</v>
      </c>
      <c r="S80">
        <v>66024</v>
      </c>
      <c r="T80" t="s">
        <v>309</v>
      </c>
      <c r="U80">
        <v>6.5998399715504972</v>
      </c>
      <c r="V80" t="s">
        <v>307</v>
      </c>
      <c r="W80">
        <v>0.12740000000000001</v>
      </c>
      <c r="X80">
        <v>10</v>
      </c>
      <c r="Y80">
        <v>8.9</v>
      </c>
      <c r="Z80">
        <v>8.9</v>
      </c>
      <c r="AA80">
        <v>20</v>
      </c>
      <c r="AB80">
        <v>26</v>
      </c>
      <c r="AC80">
        <v>0.63400000000000001</v>
      </c>
      <c r="AD80">
        <v>67</v>
      </c>
      <c r="AE80">
        <v>0.1007628734901462</v>
      </c>
      <c r="AF80">
        <v>2.86</v>
      </c>
      <c r="AG80" t="s">
        <v>309</v>
      </c>
      <c r="AH80" t="s">
        <v>307</v>
      </c>
      <c r="AI80">
        <v>64</v>
      </c>
      <c r="AJ80">
        <v>2.1333333333333329E-2</v>
      </c>
      <c r="AK80">
        <v>21.333333333333329</v>
      </c>
      <c r="AL80" t="s">
        <v>571</v>
      </c>
      <c r="AM80">
        <v>40023.43321157981</v>
      </c>
      <c r="AN80">
        <v>1.43</v>
      </c>
      <c r="AO80">
        <v>0.09</v>
      </c>
      <c r="AP80">
        <v>0.19</v>
      </c>
      <c r="AQ80">
        <v>1.1499999999999999</v>
      </c>
      <c r="AR80">
        <v>1.04</v>
      </c>
      <c r="AS80">
        <v>0.09</v>
      </c>
      <c r="AT80">
        <v>0.02</v>
      </c>
      <c r="AU80">
        <v>0.02</v>
      </c>
      <c r="AV80">
        <v>2.46</v>
      </c>
      <c r="AW80">
        <v>1.47</v>
      </c>
      <c r="AX80">
        <v>0.21</v>
      </c>
      <c r="AY80">
        <v>0.53</v>
      </c>
      <c r="AZ80">
        <v>0</v>
      </c>
      <c r="BA80">
        <v>1.1100000000000001</v>
      </c>
      <c r="BB80">
        <v>0.16</v>
      </c>
      <c r="BC80">
        <v>0.2</v>
      </c>
      <c r="BD80">
        <v>0.27</v>
      </c>
      <c r="BE80">
        <v>7.98</v>
      </c>
      <c r="BF80">
        <v>7.29</v>
      </c>
      <c r="BG80">
        <v>0.24</v>
      </c>
      <c r="BH80">
        <v>0.45</v>
      </c>
      <c r="BI80">
        <v>0</v>
      </c>
      <c r="BJ80">
        <v>0.08</v>
      </c>
      <c r="BK80">
        <v>7.21</v>
      </c>
      <c r="BL80">
        <v>0</v>
      </c>
      <c r="BM80">
        <v>1.96</v>
      </c>
      <c r="BN80">
        <v>0.21</v>
      </c>
      <c r="BO80">
        <v>0.46</v>
      </c>
      <c r="BP80">
        <v>1.29</v>
      </c>
      <c r="BQ80">
        <v>1.03</v>
      </c>
      <c r="BR80">
        <v>0.12</v>
      </c>
      <c r="BS80">
        <v>0.14000000000000001</v>
      </c>
      <c r="BT80">
        <v>0</v>
      </c>
      <c r="BU80">
        <v>8.39</v>
      </c>
      <c r="BV80">
        <v>7.33</v>
      </c>
      <c r="BW80">
        <v>0.34</v>
      </c>
      <c r="BX80">
        <v>0.72</v>
      </c>
      <c r="BY80">
        <v>0</v>
      </c>
      <c r="BZ80">
        <v>0.08</v>
      </c>
      <c r="CA80">
        <v>7.25</v>
      </c>
      <c r="CB80">
        <v>0</v>
      </c>
      <c r="CC80">
        <f t="shared" si="2"/>
        <v>2.75</v>
      </c>
      <c r="CD80">
        <v>3.96</v>
      </c>
      <c r="CE80">
        <v>0.34230769230769231</v>
      </c>
      <c r="CF80">
        <v>0.44500000000000001</v>
      </c>
      <c r="CG80">
        <v>0.1492537313432836</v>
      </c>
      <c r="CH80">
        <v>0.22167832167832169</v>
      </c>
      <c r="CI80">
        <v>0</v>
      </c>
      <c r="CJ80">
        <v>8038</v>
      </c>
      <c r="CK80" t="s">
        <v>141</v>
      </c>
      <c r="CL80" t="s">
        <v>311</v>
      </c>
      <c r="CM80" t="s">
        <v>143</v>
      </c>
      <c r="CN80">
        <v>0.39050675439999999</v>
      </c>
      <c r="CO80">
        <v>52.098197318539953</v>
      </c>
      <c r="CP80">
        <v>79</v>
      </c>
      <c r="CQ80" t="s">
        <v>307</v>
      </c>
      <c r="CR80">
        <v>91</v>
      </c>
      <c r="CS80" t="s">
        <v>452</v>
      </c>
      <c r="CT80" t="s">
        <v>453</v>
      </c>
      <c r="CU80" t="s">
        <v>454</v>
      </c>
      <c r="CV80" t="s">
        <v>455</v>
      </c>
      <c r="CW80" t="s">
        <v>456</v>
      </c>
      <c r="CX80" t="s">
        <v>457</v>
      </c>
      <c r="CY80" t="s">
        <v>458</v>
      </c>
      <c r="CZ80" t="s">
        <v>206</v>
      </c>
      <c r="DA80" t="s">
        <v>152</v>
      </c>
      <c r="DB80" t="s">
        <v>153</v>
      </c>
      <c r="DC80" t="s">
        <v>459</v>
      </c>
      <c r="DD80" t="s">
        <v>208</v>
      </c>
      <c r="DE80">
        <v>1466</v>
      </c>
      <c r="DF80">
        <v>-108.330134</v>
      </c>
      <c r="DG80">
        <v>37.163961999999998</v>
      </c>
      <c r="DH80">
        <v>8275</v>
      </c>
      <c r="DI80">
        <v>1000</v>
      </c>
      <c r="DJ80">
        <v>3475</v>
      </c>
      <c r="DK80">
        <v>178</v>
      </c>
      <c r="DL80">
        <v>7.5</v>
      </c>
      <c r="DO80">
        <v>9</v>
      </c>
      <c r="DR80">
        <v>112500</v>
      </c>
      <c r="DS80">
        <v>42</v>
      </c>
      <c r="DT80">
        <v>1.2500000000000001E-2</v>
      </c>
      <c r="DU80">
        <v>1.2500000000000001E-2</v>
      </c>
      <c r="DV80">
        <v>0.32500000000000001</v>
      </c>
      <c r="DW80">
        <v>0.32500000000000001</v>
      </c>
      <c r="DX80">
        <v>0.32500000000000001</v>
      </c>
      <c r="DY80">
        <v>32.245983268462041</v>
      </c>
      <c r="DZ80" s="4">
        <v>3.9140000000000001</v>
      </c>
      <c r="EA80" s="4" t="s">
        <v>323</v>
      </c>
      <c r="EB80" s="4" t="s">
        <v>324</v>
      </c>
      <c r="EC80">
        <v>4.8630000000000004</v>
      </c>
      <c r="ED80">
        <v>425</v>
      </c>
      <c r="EE80" t="s">
        <v>571</v>
      </c>
      <c r="EF80">
        <v>0.35953566432347978</v>
      </c>
      <c r="EH80">
        <f t="shared" si="3"/>
        <v>0.58000000000000007</v>
      </c>
      <c r="EI80">
        <v>3.38</v>
      </c>
      <c r="EJ80">
        <v>3.65</v>
      </c>
    </row>
    <row r="81" spans="1:140" x14ac:dyDescent="0.35">
      <c r="A81" s="1">
        <v>79</v>
      </c>
      <c r="B81">
        <v>-107.6943571567648</v>
      </c>
      <c r="C81">
        <v>34.653941081806892</v>
      </c>
      <c r="D81" t="s">
        <v>572</v>
      </c>
      <c r="E81">
        <v>0.1</v>
      </c>
      <c r="F81" t="s">
        <v>135</v>
      </c>
      <c r="G81">
        <v>4.6100000000000002E-2</v>
      </c>
      <c r="H81" t="s">
        <v>161</v>
      </c>
      <c r="I81">
        <v>-11988481</v>
      </c>
      <c r="J81">
        <v>4116952</v>
      </c>
      <c r="K81" t="s">
        <v>337</v>
      </c>
      <c r="L81" t="s">
        <v>573</v>
      </c>
      <c r="M81">
        <v>4</v>
      </c>
      <c r="N81">
        <v>4.0140000000000002</v>
      </c>
      <c r="O81">
        <v>4</v>
      </c>
      <c r="P81">
        <v>8</v>
      </c>
      <c r="Q81">
        <v>35</v>
      </c>
      <c r="R81">
        <v>6</v>
      </c>
      <c r="S81">
        <v>27172</v>
      </c>
      <c r="T81" t="s">
        <v>333</v>
      </c>
      <c r="U81">
        <v>5.7453557453557451</v>
      </c>
      <c r="V81" t="s">
        <v>337</v>
      </c>
      <c r="W81">
        <v>9.1799999999999993E-2</v>
      </c>
      <c r="X81">
        <v>10</v>
      </c>
      <c r="Y81">
        <v>8.9</v>
      </c>
      <c r="Z81">
        <v>8.9</v>
      </c>
      <c r="AA81">
        <v>20</v>
      </c>
      <c r="AB81">
        <v>26</v>
      </c>
      <c r="AC81">
        <v>0.74299999999999999</v>
      </c>
      <c r="AD81">
        <v>67</v>
      </c>
      <c r="AE81">
        <v>0.1180864589955499</v>
      </c>
      <c r="AF81">
        <v>2.86</v>
      </c>
      <c r="AG81" t="s">
        <v>333</v>
      </c>
      <c r="AH81" t="s">
        <v>337</v>
      </c>
      <c r="AI81">
        <v>32</v>
      </c>
      <c r="AJ81">
        <v>1.066666666666667E-2</v>
      </c>
      <c r="AK81">
        <v>10.66666666666667</v>
      </c>
      <c r="AL81" t="s">
        <v>574</v>
      </c>
      <c r="AM81">
        <v>0</v>
      </c>
      <c r="AN81">
        <v>1.25</v>
      </c>
      <c r="AO81">
        <v>0.09</v>
      </c>
      <c r="AP81">
        <v>0.19</v>
      </c>
      <c r="AQ81">
        <v>0.96</v>
      </c>
      <c r="AR81">
        <v>0.91</v>
      </c>
      <c r="AS81">
        <v>0.04</v>
      </c>
      <c r="AT81">
        <v>0.01</v>
      </c>
      <c r="AU81">
        <v>0.02</v>
      </c>
      <c r="AV81">
        <v>2.1800000000000002</v>
      </c>
      <c r="AW81">
        <v>1.18</v>
      </c>
      <c r="AX81">
        <v>0.21</v>
      </c>
      <c r="AY81">
        <v>0.53</v>
      </c>
      <c r="AZ81">
        <v>0</v>
      </c>
      <c r="BA81">
        <v>0.97</v>
      </c>
      <c r="BB81">
        <v>0.08</v>
      </c>
      <c r="BC81">
        <v>0.14000000000000001</v>
      </c>
      <c r="BD81">
        <v>0.27</v>
      </c>
      <c r="BE81">
        <v>5.72</v>
      </c>
      <c r="BF81">
        <v>5.03</v>
      </c>
      <c r="BG81">
        <v>0.24</v>
      </c>
      <c r="BH81">
        <v>0.45</v>
      </c>
      <c r="BI81">
        <v>0</v>
      </c>
      <c r="BJ81">
        <v>0.04</v>
      </c>
      <c r="BK81">
        <v>4.99</v>
      </c>
      <c r="BL81">
        <v>0</v>
      </c>
      <c r="BM81">
        <v>1.73</v>
      </c>
      <c r="BN81">
        <v>0.21</v>
      </c>
      <c r="BO81">
        <v>0.46</v>
      </c>
      <c r="BP81">
        <v>1.05</v>
      </c>
      <c r="BQ81">
        <v>0.9</v>
      </c>
      <c r="BR81">
        <v>0.06</v>
      </c>
      <c r="BS81">
        <v>0.1</v>
      </c>
      <c r="BT81">
        <v>0</v>
      </c>
      <c r="BU81">
        <v>6.12</v>
      </c>
      <c r="BV81">
        <v>5.0599999999999996</v>
      </c>
      <c r="BW81">
        <v>0.34</v>
      </c>
      <c r="BX81">
        <v>0.72</v>
      </c>
      <c r="BY81">
        <v>0</v>
      </c>
      <c r="BZ81">
        <v>0.04</v>
      </c>
      <c r="CA81">
        <v>5.0199999999999996</v>
      </c>
      <c r="CB81">
        <v>0</v>
      </c>
      <c r="CC81">
        <f t="shared" si="2"/>
        <v>2.75</v>
      </c>
      <c r="CD81">
        <v>3.96</v>
      </c>
      <c r="CE81">
        <v>0.34230769230769231</v>
      </c>
      <c r="CF81">
        <v>0.44500000000000001</v>
      </c>
      <c r="CG81">
        <v>0.1492537313432836</v>
      </c>
      <c r="CH81">
        <v>0.25979020979020978</v>
      </c>
      <c r="CI81">
        <v>0</v>
      </c>
      <c r="CJ81">
        <v>29422</v>
      </c>
      <c r="CK81" t="s">
        <v>141</v>
      </c>
      <c r="CL81" t="s">
        <v>564</v>
      </c>
      <c r="CM81" t="s">
        <v>143</v>
      </c>
      <c r="CN81">
        <v>0.382187451377</v>
      </c>
      <c r="CO81">
        <v>28.733083099569068</v>
      </c>
      <c r="CP81">
        <v>80</v>
      </c>
      <c r="CQ81" t="s">
        <v>575</v>
      </c>
      <c r="CR81">
        <v>126</v>
      </c>
      <c r="CS81" t="s">
        <v>576</v>
      </c>
      <c r="CT81" t="s">
        <v>577</v>
      </c>
      <c r="CU81" t="s">
        <v>333</v>
      </c>
      <c r="CV81" t="s">
        <v>578</v>
      </c>
      <c r="CW81" t="s">
        <v>579</v>
      </c>
      <c r="CX81" t="s">
        <v>580</v>
      </c>
      <c r="CY81" t="s">
        <v>581</v>
      </c>
      <c r="CZ81" t="s">
        <v>206</v>
      </c>
      <c r="DA81" t="s">
        <v>152</v>
      </c>
      <c r="DB81" t="s">
        <v>178</v>
      </c>
      <c r="DC81" t="s">
        <v>365</v>
      </c>
      <c r="DD81" t="s">
        <v>582</v>
      </c>
      <c r="DE81">
        <v>8520</v>
      </c>
      <c r="DF81">
        <v>-107.652666</v>
      </c>
      <c r="DG81">
        <v>36.368147</v>
      </c>
      <c r="DH81">
        <v>5511</v>
      </c>
      <c r="DI81">
        <v>883</v>
      </c>
      <c r="DJ81">
        <v>2388</v>
      </c>
      <c r="DK81">
        <v>123</v>
      </c>
      <c r="DL81">
        <v>13</v>
      </c>
      <c r="DO81">
        <v>15</v>
      </c>
      <c r="DR81">
        <v>20000</v>
      </c>
      <c r="DS81" t="s">
        <v>583</v>
      </c>
      <c r="DT81">
        <v>1.2500000000000001E-2</v>
      </c>
      <c r="DU81">
        <v>1.2500000000000001E-2</v>
      </c>
      <c r="DV81">
        <v>0.32500000000000001</v>
      </c>
      <c r="DW81">
        <v>0.32500000000000001</v>
      </c>
      <c r="DX81">
        <v>0.32500000000000001</v>
      </c>
      <c r="DY81">
        <v>59.075448448648586</v>
      </c>
      <c r="DZ81" s="4">
        <v>4.01</v>
      </c>
      <c r="EA81" s="4" t="s">
        <v>340</v>
      </c>
      <c r="EB81" s="4" t="s">
        <v>341</v>
      </c>
      <c r="EC81">
        <v>4.8239999999999998</v>
      </c>
      <c r="ED81">
        <v>429</v>
      </c>
      <c r="EE81" t="s">
        <v>574</v>
      </c>
      <c r="EF81">
        <v>0</v>
      </c>
      <c r="EH81">
        <f t="shared" si="3"/>
        <v>0.58000000000000007</v>
      </c>
      <c r="EI81">
        <v>3.38</v>
      </c>
      <c r="EJ81">
        <v>3.65</v>
      </c>
    </row>
    <row r="82" spans="1:140" x14ac:dyDescent="0.35">
      <c r="A82" s="1">
        <v>80</v>
      </c>
      <c r="B82">
        <v>-105.8977265885258</v>
      </c>
      <c r="C82">
        <v>34.653941081806892</v>
      </c>
      <c r="D82" t="s">
        <v>584</v>
      </c>
      <c r="E82">
        <v>0.1</v>
      </c>
      <c r="F82" t="s">
        <v>135</v>
      </c>
      <c r="G82">
        <v>0.1938</v>
      </c>
      <c r="H82" t="s">
        <v>161</v>
      </c>
      <c r="I82">
        <v>-11788481</v>
      </c>
      <c r="J82">
        <v>4116952</v>
      </c>
      <c r="K82" t="s">
        <v>337</v>
      </c>
      <c r="L82" t="s">
        <v>585</v>
      </c>
      <c r="M82">
        <v>31</v>
      </c>
      <c r="N82">
        <v>3.754</v>
      </c>
      <c r="O82">
        <v>4</v>
      </c>
      <c r="P82">
        <v>8</v>
      </c>
      <c r="Q82">
        <v>35</v>
      </c>
      <c r="R82">
        <v>57</v>
      </c>
      <c r="S82">
        <v>15045</v>
      </c>
      <c r="T82" t="s">
        <v>333</v>
      </c>
      <c r="U82">
        <v>5.7453557453557451</v>
      </c>
      <c r="V82" t="s">
        <v>337</v>
      </c>
      <c r="W82">
        <v>9.1799999999999993E-2</v>
      </c>
      <c r="X82">
        <v>10</v>
      </c>
      <c r="Y82">
        <v>8.9</v>
      </c>
      <c r="Z82">
        <v>8.9</v>
      </c>
      <c r="AA82">
        <v>20</v>
      </c>
      <c r="AB82">
        <v>26</v>
      </c>
      <c r="AC82">
        <v>0.74299999999999999</v>
      </c>
      <c r="AD82">
        <v>67</v>
      </c>
      <c r="AE82">
        <v>0.1180864589955499</v>
      </c>
      <c r="AF82">
        <v>2.86</v>
      </c>
      <c r="AG82" t="s">
        <v>333</v>
      </c>
      <c r="AH82" t="s">
        <v>337</v>
      </c>
      <c r="AI82">
        <v>32</v>
      </c>
      <c r="AJ82">
        <v>1.066666666666667E-2</v>
      </c>
      <c r="AK82">
        <v>10.66666666666667</v>
      </c>
      <c r="AL82" t="s">
        <v>586</v>
      </c>
      <c r="AM82">
        <v>0</v>
      </c>
      <c r="AN82">
        <v>1.25</v>
      </c>
      <c r="AO82">
        <v>0.09</v>
      </c>
      <c r="AP82">
        <v>0.19</v>
      </c>
      <c r="AQ82">
        <v>0.96</v>
      </c>
      <c r="AR82">
        <v>0.91</v>
      </c>
      <c r="AS82">
        <v>0.04</v>
      </c>
      <c r="AT82">
        <v>0.01</v>
      </c>
      <c r="AU82">
        <v>0.02</v>
      </c>
      <c r="AV82">
        <v>2.1800000000000002</v>
      </c>
      <c r="AW82">
        <v>1.18</v>
      </c>
      <c r="AX82">
        <v>0.21</v>
      </c>
      <c r="AY82">
        <v>0.53</v>
      </c>
      <c r="AZ82">
        <v>0</v>
      </c>
      <c r="BA82">
        <v>0.97</v>
      </c>
      <c r="BB82">
        <v>0.08</v>
      </c>
      <c r="BC82">
        <v>0.14000000000000001</v>
      </c>
      <c r="BD82">
        <v>0.27</v>
      </c>
      <c r="BE82">
        <v>5.72</v>
      </c>
      <c r="BF82">
        <v>5.03</v>
      </c>
      <c r="BG82">
        <v>0.24</v>
      </c>
      <c r="BH82">
        <v>0.45</v>
      </c>
      <c r="BI82">
        <v>0</v>
      </c>
      <c r="BJ82">
        <v>0.04</v>
      </c>
      <c r="BK82">
        <v>4.99</v>
      </c>
      <c r="BL82">
        <v>0</v>
      </c>
      <c r="BM82">
        <v>1.73</v>
      </c>
      <c r="BN82">
        <v>0.21</v>
      </c>
      <c r="BO82">
        <v>0.46</v>
      </c>
      <c r="BP82">
        <v>1.05</v>
      </c>
      <c r="BQ82">
        <v>0.9</v>
      </c>
      <c r="BR82">
        <v>0.06</v>
      </c>
      <c r="BS82">
        <v>0.1</v>
      </c>
      <c r="BT82">
        <v>0</v>
      </c>
      <c r="BU82">
        <v>6.12</v>
      </c>
      <c r="BV82">
        <v>5.0599999999999996</v>
      </c>
      <c r="BW82">
        <v>0.34</v>
      </c>
      <c r="BX82">
        <v>0.72</v>
      </c>
      <c r="BY82">
        <v>0</v>
      </c>
      <c r="BZ82">
        <v>0.04</v>
      </c>
      <c r="CA82">
        <v>5.0199999999999996</v>
      </c>
      <c r="CB82">
        <v>0</v>
      </c>
      <c r="CC82">
        <f t="shared" si="2"/>
        <v>2.75</v>
      </c>
      <c r="CD82">
        <v>3.96</v>
      </c>
      <c r="CE82">
        <v>0.34230769230769231</v>
      </c>
      <c r="CF82">
        <v>0.44500000000000001</v>
      </c>
      <c r="CG82">
        <v>0.1492537313432836</v>
      </c>
      <c r="CH82">
        <v>0.25979020979020978</v>
      </c>
      <c r="CI82">
        <v>0</v>
      </c>
      <c r="CJ82">
        <v>1764</v>
      </c>
      <c r="CK82" t="s">
        <v>141</v>
      </c>
      <c r="CL82" t="s">
        <v>311</v>
      </c>
      <c r="CM82" t="s">
        <v>143</v>
      </c>
      <c r="CN82">
        <v>0.51771783401000004</v>
      </c>
      <c r="CO82">
        <v>33.848991644621357</v>
      </c>
      <c r="CP82">
        <v>81</v>
      </c>
      <c r="CQ82" t="s">
        <v>587</v>
      </c>
      <c r="CR82">
        <v>88</v>
      </c>
      <c r="CS82" t="s">
        <v>588</v>
      </c>
      <c r="CT82" t="s">
        <v>589</v>
      </c>
      <c r="CU82" t="s">
        <v>333</v>
      </c>
      <c r="CV82" t="s">
        <v>590</v>
      </c>
      <c r="CW82" t="s">
        <v>591</v>
      </c>
      <c r="CX82" t="s">
        <v>592</v>
      </c>
      <c r="CY82" t="s">
        <v>335</v>
      </c>
      <c r="CZ82" t="s">
        <v>206</v>
      </c>
      <c r="DA82" t="s">
        <v>152</v>
      </c>
      <c r="DB82" t="s">
        <v>178</v>
      </c>
      <c r="DC82" t="s">
        <v>207</v>
      </c>
      <c r="DD82" t="s">
        <v>203</v>
      </c>
      <c r="DE82">
        <v>1834</v>
      </c>
      <c r="DF82">
        <v>-106.359433</v>
      </c>
      <c r="DG82">
        <v>35.331516999999998</v>
      </c>
      <c r="DH82">
        <v>4688</v>
      </c>
      <c r="DI82">
        <v>262</v>
      </c>
      <c r="DJ82">
        <v>2031</v>
      </c>
      <c r="DK82">
        <v>109</v>
      </c>
      <c r="DL82">
        <v>8.5</v>
      </c>
      <c r="DO82">
        <v>9</v>
      </c>
      <c r="DR82">
        <v>80000</v>
      </c>
      <c r="DS82" t="s">
        <v>583</v>
      </c>
      <c r="DT82">
        <v>1.2500000000000001E-2</v>
      </c>
      <c r="DU82">
        <v>1.2500000000000001E-2</v>
      </c>
      <c r="DV82">
        <v>0.32500000000000001</v>
      </c>
      <c r="DW82">
        <v>0.32500000000000001</v>
      </c>
      <c r="DX82">
        <v>0.32500000000000001</v>
      </c>
      <c r="DY82">
        <v>43.850395542917532</v>
      </c>
      <c r="DZ82" s="4">
        <v>4.01</v>
      </c>
      <c r="EA82" s="4" t="s">
        <v>340</v>
      </c>
      <c r="EB82" s="4" t="s">
        <v>341</v>
      </c>
      <c r="EC82">
        <v>4.8239999999999998</v>
      </c>
      <c r="ED82">
        <v>452</v>
      </c>
      <c r="EE82" t="s">
        <v>586</v>
      </c>
      <c r="EF82">
        <v>0</v>
      </c>
      <c r="EH82">
        <f t="shared" si="3"/>
        <v>0.58000000000000007</v>
      </c>
      <c r="EI82">
        <v>3.38</v>
      </c>
      <c r="EJ82">
        <v>3.65</v>
      </c>
    </row>
    <row r="83" spans="1:140" x14ac:dyDescent="0.35">
      <c r="A83" s="1">
        <v>81</v>
      </c>
      <c r="B83">
        <v>-104.1010960202868</v>
      </c>
      <c r="C83">
        <v>34.653941081806892</v>
      </c>
      <c r="D83" t="s">
        <v>593</v>
      </c>
      <c r="E83">
        <v>0.02</v>
      </c>
      <c r="F83" t="s">
        <v>160</v>
      </c>
      <c r="G83">
        <v>6.5299999999999997E-2</v>
      </c>
      <c r="H83" t="s">
        <v>161</v>
      </c>
      <c r="I83">
        <v>-11588481</v>
      </c>
      <c r="J83">
        <v>4116952</v>
      </c>
      <c r="K83" t="s">
        <v>337</v>
      </c>
      <c r="L83" t="s">
        <v>594</v>
      </c>
      <c r="M83">
        <v>21</v>
      </c>
      <c r="N83">
        <v>3.6819999999999999</v>
      </c>
      <c r="O83">
        <v>4</v>
      </c>
      <c r="P83">
        <v>8</v>
      </c>
      <c r="Q83">
        <v>35</v>
      </c>
      <c r="R83">
        <v>37</v>
      </c>
      <c r="S83">
        <v>8744</v>
      </c>
      <c r="T83" t="s">
        <v>333</v>
      </c>
      <c r="U83">
        <v>5.7453557453557451</v>
      </c>
      <c r="V83" t="s">
        <v>337</v>
      </c>
      <c r="W83">
        <v>9.1799999999999993E-2</v>
      </c>
      <c r="X83">
        <v>10</v>
      </c>
      <c r="Y83">
        <v>8.9</v>
      </c>
      <c r="Z83">
        <v>8.9</v>
      </c>
      <c r="AA83">
        <v>20</v>
      </c>
      <c r="AB83">
        <v>26</v>
      </c>
      <c r="AC83">
        <v>0.74299999999999999</v>
      </c>
      <c r="AD83">
        <v>67</v>
      </c>
      <c r="AE83">
        <v>0.1180864589955499</v>
      </c>
      <c r="AF83">
        <v>2.86</v>
      </c>
      <c r="AG83" t="s">
        <v>333</v>
      </c>
      <c r="AH83" t="s">
        <v>337</v>
      </c>
      <c r="AI83">
        <v>32</v>
      </c>
      <c r="AJ83">
        <v>1.066666666666667E-2</v>
      </c>
      <c r="AK83">
        <v>10.66666666666667</v>
      </c>
      <c r="AL83" t="s">
        <v>595</v>
      </c>
      <c r="AM83">
        <v>18199.980410958258</v>
      </c>
      <c r="AN83">
        <v>1.25</v>
      </c>
      <c r="AO83">
        <v>0.09</v>
      </c>
      <c r="AP83">
        <v>0.19</v>
      </c>
      <c r="AQ83">
        <v>0.96</v>
      </c>
      <c r="AR83">
        <v>0.91</v>
      </c>
      <c r="AS83">
        <v>0.04</v>
      </c>
      <c r="AT83">
        <v>0.01</v>
      </c>
      <c r="AU83">
        <v>0.02</v>
      </c>
      <c r="AV83">
        <v>2.1800000000000002</v>
      </c>
      <c r="AW83">
        <v>1.18</v>
      </c>
      <c r="AX83">
        <v>0.21</v>
      </c>
      <c r="AY83">
        <v>0.53</v>
      </c>
      <c r="AZ83">
        <v>0</v>
      </c>
      <c r="BA83">
        <v>0.97</v>
      </c>
      <c r="BB83">
        <v>0.08</v>
      </c>
      <c r="BC83">
        <v>0.14000000000000001</v>
      </c>
      <c r="BD83">
        <v>0.27</v>
      </c>
      <c r="BE83">
        <v>5.72</v>
      </c>
      <c r="BF83">
        <v>5.03</v>
      </c>
      <c r="BG83">
        <v>0.24</v>
      </c>
      <c r="BH83">
        <v>0.45</v>
      </c>
      <c r="BI83">
        <v>0</v>
      </c>
      <c r="BJ83">
        <v>0.04</v>
      </c>
      <c r="BK83">
        <v>4.99</v>
      </c>
      <c r="BL83">
        <v>0</v>
      </c>
      <c r="BM83">
        <v>1.73</v>
      </c>
      <c r="BN83">
        <v>0.21</v>
      </c>
      <c r="BO83">
        <v>0.46</v>
      </c>
      <c r="BP83">
        <v>1.05</v>
      </c>
      <c r="BQ83">
        <v>0.9</v>
      </c>
      <c r="BR83">
        <v>0.06</v>
      </c>
      <c r="BS83">
        <v>0.1</v>
      </c>
      <c r="BT83">
        <v>0</v>
      </c>
      <c r="BU83">
        <v>6.12</v>
      </c>
      <c r="BV83">
        <v>5.0599999999999996</v>
      </c>
      <c r="BW83">
        <v>0.34</v>
      </c>
      <c r="BX83">
        <v>0.72</v>
      </c>
      <c r="BY83">
        <v>0</v>
      </c>
      <c r="BZ83">
        <v>0.04</v>
      </c>
      <c r="CA83">
        <v>5.0199999999999996</v>
      </c>
      <c r="CB83">
        <v>0</v>
      </c>
      <c r="CC83">
        <f t="shared" si="2"/>
        <v>2.75</v>
      </c>
      <c r="CD83">
        <v>3.96</v>
      </c>
      <c r="CE83">
        <v>0.34230769230769231</v>
      </c>
      <c r="CF83">
        <v>0.44500000000000001</v>
      </c>
      <c r="CG83">
        <v>0.1492537313432836</v>
      </c>
      <c r="CH83">
        <v>0.25979020979020978</v>
      </c>
      <c r="CI83">
        <v>0</v>
      </c>
      <c r="CJ83">
        <v>29434</v>
      </c>
      <c r="CK83" t="s">
        <v>141</v>
      </c>
      <c r="CL83" t="s">
        <v>564</v>
      </c>
      <c r="CM83" t="s">
        <v>143</v>
      </c>
      <c r="CN83">
        <v>0.82348940162499995</v>
      </c>
      <c r="CO83">
        <v>59.122979306772287</v>
      </c>
      <c r="CP83">
        <v>82</v>
      </c>
      <c r="CQ83" t="s">
        <v>201</v>
      </c>
      <c r="CR83">
        <v>17</v>
      </c>
      <c r="CS83" t="s">
        <v>596</v>
      </c>
      <c r="CT83" t="s">
        <v>332</v>
      </c>
      <c r="CU83" t="s">
        <v>167</v>
      </c>
      <c r="CV83" t="s">
        <v>597</v>
      </c>
      <c r="CW83" t="s">
        <v>598</v>
      </c>
      <c r="CX83" t="s">
        <v>599</v>
      </c>
      <c r="CY83" t="s">
        <v>205</v>
      </c>
      <c r="CZ83" t="s">
        <v>206</v>
      </c>
      <c r="DA83" t="s">
        <v>152</v>
      </c>
      <c r="DB83" t="s">
        <v>153</v>
      </c>
      <c r="DC83" t="s">
        <v>207</v>
      </c>
      <c r="DD83" t="s">
        <v>208</v>
      </c>
      <c r="DE83">
        <v>15157</v>
      </c>
      <c r="DF83">
        <v>-101.65746</v>
      </c>
      <c r="DG83">
        <v>34.678773</v>
      </c>
      <c r="DH83">
        <v>5517</v>
      </c>
      <c r="DI83">
        <v>724</v>
      </c>
      <c r="DJ83">
        <v>2390</v>
      </c>
      <c r="DK83">
        <v>94</v>
      </c>
      <c r="DL83">
        <v>8.5</v>
      </c>
      <c r="DO83">
        <v>42</v>
      </c>
      <c r="DP83">
        <v>0.6</v>
      </c>
      <c r="DQ83">
        <v>746</v>
      </c>
      <c r="DS83" t="s">
        <v>209</v>
      </c>
      <c r="DT83">
        <v>1.2500000000000001E-2</v>
      </c>
      <c r="DU83">
        <v>1.2500000000000001E-2</v>
      </c>
      <c r="DV83">
        <v>0.32500000000000001</v>
      </c>
      <c r="DW83">
        <v>0.32500000000000001</v>
      </c>
      <c r="DX83">
        <v>0.32500000000000001</v>
      </c>
      <c r="DY83">
        <v>0</v>
      </c>
      <c r="DZ83" s="4">
        <v>4.01</v>
      </c>
      <c r="EA83" s="4" t="s">
        <v>340</v>
      </c>
      <c r="EB83" s="4" t="s">
        <v>341</v>
      </c>
      <c r="EC83">
        <v>4.8239999999999998</v>
      </c>
      <c r="ED83">
        <v>157</v>
      </c>
      <c r="EE83" t="s">
        <v>595</v>
      </c>
      <c r="EF83">
        <v>0.15996979399566891</v>
      </c>
      <c r="EH83">
        <f t="shared" si="3"/>
        <v>0.58000000000000007</v>
      </c>
      <c r="EI83">
        <v>3.38</v>
      </c>
      <c r="EJ83">
        <v>3.65</v>
      </c>
    </row>
    <row r="84" spans="1:140" x14ac:dyDescent="0.35">
      <c r="A84" s="1">
        <v>82</v>
      </c>
      <c r="B84">
        <v>-102.30446545204769</v>
      </c>
      <c r="C84">
        <v>34.653941081806892</v>
      </c>
      <c r="D84" t="s">
        <v>600</v>
      </c>
      <c r="E84">
        <v>0.02</v>
      </c>
      <c r="F84" t="s">
        <v>160</v>
      </c>
      <c r="G84">
        <v>6.5299999999999997E-2</v>
      </c>
      <c r="H84" t="s">
        <v>161</v>
      </c>
      <c r="I84">
        <v>-11388481</v>
      </c>
      <c r="J84">
        <v>4116952</v>
      </c>
      <c r="K84" t="s">
        <v>165</v>
      </c>
      <c r="L84" t="s">
        <v>601</v>
      </c>
      <c r="M84">
        <v>35</v>
      </c>
      <c r="N84">
        <v>3.4220000000000002</v>
      </c>
      <c r="O84">
        <v>3</v>
      </c>
      <c r="P84">
        <v>7</v>
      </c>
      <c r="Q84">
        <v>48</v>
      </c>
      <c r="R84">
        <v>69</v>
      </c>
      <c r="S84">
        <v>7376</v>
      </c>
      <c r="T84" t="s">
        <v>167</v>
      </c>
      <c r="U84">
        <v>4.3100995732574674</v>
      </c>
      <c r="V84" t="s">
        <v>165</v>
      </c>
      <c r="W84">
        <v>9.7899999999999987E-2</v>
      </c>
      <c r="X84">
        <v>10</v>
      </c>
      <c r="Y84">
        <v>8.9</v>
      </c>
      <c r="Z84">
        <v>8.9</v>
      </c>
      <c r="AA84">
        <v>20</v>
      </c>
      <c r="AB84">
        <v>26</v>
      </c>
      <c r="AC84">
        <v>0.82299999999999995</v>
      </c>
      <c r="AD84">
        <v>67</v>
      </c>
      <c r="AE84">
        <v>0.1308010171646535</v>
      </c>
      <c r="AF84">
        <v>2.86</v>
      </c>
      <c r="AG84" t="s">
        <v>167</v>
      </c>
      <c r="AH84" t="s">
        <v>165</v>
      </c>
      <c r="AI84">
        <v>37</v>
      </c>
      <c r="AJ84">
        <v>1.233333333333333E-2</v>
      </c>
      <c r="AK84">
        <v>12.33333333333333</v>
      </c>
      <c r="AL84" t="s">
        <v>602</v>
      </c>
      <c r="AM84">
        <v>12495.428039983381</v>
      </c>
      <c r="AN84">
        <v>1.03</v>
      </c>
      <c r="AO84">
        <v>0.09</v>
      </c>
      <c r="AP84">
        <v>0.19</v>
      </c>
      <c r="AQ84">
        <v>0.74</v>
      </c>
      <c r="AR84">
        <v>0.68</v>
      </c>
      <c r="AS84">
        <v>0.04</v>
      </c>
      <c r="AT84">
        <v>0.01</v>
      </c>
      <c r="AU84">
        <v>0.02</v>
      </c>
      <c r="AV84">
        <v>1.95</v>
      </c>
      <c r="AW84">
        <v>0.96</v>
      </c>
      <c r="AX84">
        <v>0.21</v>
      </c>
      <c r="AY84">
        <v>0.53</v>
      </c>
      <c r="AZ84">
        <v>0</v>
      </c>
      <c r="BA84">
        <v>0.72</v>
      </c>
      <c r="BB84">
        <v>0.08</v>
      </c>
      <c r="BC84">
        <v>0.15</v>
      </c>
      <c r="BD84">
        <v>0.27</v>
      </c>
      <c r="BE84">
        <v>6.28</v>
      </c>
      <c r="BF84">
        <v>5.59</v>
      </c>
      <c r="BG84">
        <v>0.24</v>
      </c>
      <c r="BH84">
        <v>0.45</v>
      </c>
      <c r="BI84">
        <v>0</v>
      </c>
      <c r="BJ84">
        <v>0.04</v>
      </c>
      <c r="BK84">
        <v>5.55</v>
      </c>
      <c r="BL84">
        <v>0</v>
      </c>
      <c r="BM84">
        <v>1.51</v>
      </c>
      <c r="BN84">
        <v>0.21</v>
      </c>
      <c r="BO84">
        <v>0.46</v>
      </c>
      <c r="BP84">
        <v>0.84</v>
      </c>
      <c r="BQ84">
        <v>0.67</v>
      </c>
      <c r="BR84">
        <v>0.06</v>
      </c>
      <c r="BS84">
        <v>0.11</v>
      </c>
      <c r="BT84">
        <v>0</v>
      </c>
      <c r="BU84">
        <v>6.68</v>
      </c>
      <c r="BV84">
        <v>5.62</v>
      </c>
      <c r="BW84">
        <v>0.34</v>
      </c>
      <c r="BX84">
        <v>0.72</v>
      </c>
      <c r="BY84">
        <v>0</v>
      </c>
      <c r="BZ84">
        <v>0.04</v>
      </c>
      <c r="CA84">
        <v>5.58</v>
      </c>
      <c r="CB84">
        <v>0</v>
      </c>
      <c r="CC84">
        <f t="shared" si="2"/>
        <v>2.75</v>
      </c>
      <c r="CD84">
        <v>3.96</v>
      </c>
      <c r="CE84">
        <v>0.34230769230769231</v>
      </c>
      <c r="CF84">
        <v>0.44500000000000001</v>
      </c>
      <c r="CG84">
        <v>0.1492537313432836</v>
      </c>
      <c r="CH84">
        <v>0.28776223776223769</v>
      </c>
      <c r="CI84">
        <v>0</v>
      </c>
      <c r="CJ84">
        <v>29437</v>
      </c>
      <c r="CK84" t="s">
        <v>141</v>
      </c>
      <c r="CL84" t="s">
        <v>564</v>
      </c>
      <c r="CM84" t="s">
        <v>143</v>
      </c>
      <c r="CN84">
        <v>0.30604836344300002</v>
      </c>
      <c r="CO84">
        <v>3.0573972952258099</v>
      </c>
      <c r="CP84">
        <v>83</v>
      </c>
      <c r="CQ84" t="s">
        <v>201</v>
      </c>
      <c r="CR84">
        <v>17</v>
      </c>
      <c r="CS84" t="s">
        <v>596</v>
      </c>
      <c r="CT84" t="s">
        <v>332</v>
      </c>
      <c r="CU84" t="s">
        <v>167</v>
      </c>
      <c r="CV84" t="s">
        <v>597</v>
      </c>
      <c r="CW84" t="s">
        <v>598</v>
      </c>
      <c r="CX84" t="s">
        <v>599</v>
      </c>
      <c r="CY84" t="s">
        <v>205</v>
      </c>
      <c r="CZ84" t="s">
        <v>206</v>
      </c>
      <c r="DA84" t="s">
        <v>152</v>
      </c>
      <c r="DB84" t="s">
        <v>153</v>
      </c>
      <c r="DC84" t="s">
        <v>207</v>
      </c>
      <c r="DD84" t="s">
        <v>208</v>
      </c>
      <c r="DE84">
        <v>15157</v>
      </c>
      <c r="DF84">
        <v>-101.65746</v>
      </c>
      <c r="DG84">
        <v>34.678773</v>
      </c>
      <c r="DH84">
        <v>5517</v>
      </c>
      <c r="DI84">
        <v>724</v>
      </c>
      <c r="DJ84">
        <v>2390</v>
      </c>
      <c r="DK84">
        <v>94</v>
      </c>
      <c r="DL84">
        <v>8.5</v>
      </c>
      <c r="DO84">
        <v>42</v>
      </c>
      <c r="DP84">
        <v>0.6</v>
      </c>
      <c r="DQ84">
        <v>746</v>
      </c>
      <c r="DS84" t="s">
        <v>209</v>
      </c>
      <c r="DT84">
        <v>1.2500000000000001E-2</v>
      </c>
      <c r="DU84">
        <v>1.2500000000000001E-2</v>
      </c>
      <c r="DV84">
        <v>0.32500000000000001</v>
      </c>
      <c r="DW84">
        <v>0.32500000000000001</v>
      </c>
      <c r="DX84">
        <v>0.32500000000000001</v>
      </c>
      <c r="DY84">
        <v>0</v>
      </c>
      <c r="DZ84" s="4">
        <v>3.4470000000000001</v>
      </c>
      <c r="EA84" s="4" t="s">
        <v>182</v>
      </c>
      <c r="EB84" s="4" t="s">
        <v>183</v>
      </c>
      <c r="EC84">
        <v>4.4379999999999997</v>
      </c>
      <c r="ED84">
        <v>703</v>
      </c>
      <c r="EE84" t="s">
        <v>602</v>
      </c>
      <c r="EF84">
        <v>9.2284370740100971E-2</v>
      </c>
      <c r="EH84">
        <f t="shared" si="3"/>
        <v>0.58000000000000007</v>
      </c>
      <c r="EI84">
        <v>3.38</v>
      </c>
      <c r="EJ84">
        <v>3.65</v>
      </c>
    </row>
    <row r="85" spans="1:140" x14ac:dyDescent="0.35">
      <c r="A85" s="1">
        <v>83</v>
      </c>
      <c r="B85">
        <v>-100.5078348838087</v>
      </c>
      <c r="C85">
        <v>34.653941081806892</v>
      </c>
      <c r="D85" t="s">
        <v>603</v>
      </c>
      <c r="E85">
        <v>0.02</v>
      </c>
      <c r="F85" t="s">
        <v>160</v>
      </c>
      <c r="G85">
        <v>6.5299999999999997E-2</v>
      </c>
      <c r="H85" t="s">
        <v>161</v>
      </c>
      <c r="I85">
        <v>-11188481</v>
      </c>
      <c r="J85">
        <v>4116952</v>
      </c>
      <c r="K85" t="s">
        <v>165</v>
      </c>
      <c r="L85" t="s">
        <v>604</v>
      </c>
      <c r="M85">
        <v>96</v>
      </c>
      <c r="N85">
        <v>3.4289999999999998</v>
      </c>
      <c r="O85">
        <v>3</v>
      </c>
      <c r="P85">
        <v>7</v>
      </c>
      <c r="Q85">
        <v>48</v>
      </c>
      <c r="R85">
        <v>191</v>
      </c>
      <c r="S85">
        <v>2817</v>
      </c>
      <c r="T85" t="s">
        <v>167</v>
      </c>
      <c r="U85">
        <v>4.3100995732574674</v>
      </c>
      <c r="V85" t="s">
        <v>165</v>
      </c>
      <c r="W85">
        <v>9.7899999999999987E-2</v>
      </c>
      <c r="X85">
        <v>10</v>
      </c>
      <c r="Y85">
        <v>8.9</v>
      </c>
      <c r="Z85">
        <v>8.9</v>
      </c>
      <c r="AA85">
        <v>20</v>
      </c>
      <c r="AB85">
        <v>26</v>
      </c>
      <c r="AC85">
        <v>0.82299999999999995</v>
      </c>
      <c r="AD85">
        <v>67</v>
      </c>
      <c r="AE85">
        <v>0.1308010171646535</v>
      </c>
      <c r="AF85">
        <v>2.86</v>
      </c>
      <c r="AG85" t="s">
        <v>167</v>
      </c>
      <c r="AH85" t="s">
        <v>165</v>
      </c>
      <c r="AI85">
        <v>37</v>
      </c>
      <c r="AJ85">
        <v>1.233333333333333E-2</v>
      </c>
      <c r="AK85">
        <v>12.33333333333333</v>
      </c>
      <c r="AL85" t="s">
        <v>605</v>
      </c>
      <c r="AM85">
        <v>66134.150110773247</v>
      </c>
      <c r="AN85">
        <v>1.03</v>
      </c>
      <c r="AO85">
        <v>0.09</v>
      </c>
      <c r="AP85">
        <v>0.19</v>
      </c>
      <c r="AQ85">
        <v>0.74</v>
      </c>
      <c r="AR85">
        <v>0.68</v>
      </c>
      <c r="AS85">
        <v>0.04</v>
      </c>
      <c r="AT85">
        <v>0.01</v>
      </c>
      <c r="AU85">
        <v>0.02</v>
      </c>
      <c r="AV85">
        <v>1.95</v>
      </c>
      <c r="AW85">
        <v>0.96</v>
      </c>
      <c r="AX85">
        <v>0.21</v>
      </c>
      <c r="AY85">
        <v>0.53</v>
      </c>
      <c r="AZ85">
        <v>0</v>
      </c>
      <c r="BA85">
        <v>0.72</v>
      </c>
      <c r="BB85">
        <v>0.08</v>
      </c>
      <c r="BC85">
        <v>0.15</v>
      </c>
      <c r="BD85">
        <v>0.27</v>
      </c>
      <c r="BE85">
        <v>6.28</v>
      </c>
      <c r="BF85">
        <v>5.59</v>
      </c>
      <c r="BG85">
        <v>0.24</v>
      </c>
      <c r="BH85">
        <v>0.45</v>
      </c>
      <c r="BI85">
        <v>0</v>
      </c>
      <c r="BJ85">
        <v>0.04</v>
      </c>
      <c r="BK85">
        <v>5.55</v>
      </c>
      <c r="BL85">
        <v>0</v>
      </c>
      <c r="BM85">
        <v>1.51</v>
      </c>
      <c r="BN85">
        <v>0.21</v>
      </c>
      <c r="BO85">
        <v>0.46</v>
      </c>
      <c r="BP85">
        <v>0.84</v>
      </c>
      <c r="BQ85">
        <v>0.67</v>
      </c>
      <c r="BR85">
        <v>0.06</v>
      </c>
      <c r="BS85">
        <v>0.11</v>
      </c>
      <c r="BT85">
        <v>0</v>
      </c>
      <c r="BU85">
        <v>6.68</v>
      </c>
      <c r="BV85">
        <v>5.62</v>
      </c>
      <c r="BW85">
        <v>0.34</v>
      </c>
      <c r="BX85">
        <v>0.72</v>
      </c>
      <c r="BY85">
        <v>0</v>
      </c>
      <c r="BZ85">
        <v>0.04</v>
      </c>
      <c r="CA85">
        <v>5.58</v>
      </c>
      <c r="CB85">
        <v>0</v>
      </c>
      <c r="CC85">
        <f t="shared" si="2"/>
        <v>2.75</v>
      </c>
      <c r="CD85">
        <v>3.96</v>
      </c>
      <c r="CE85">
        <v>0.34230769230769231</v>
      </c>
      <c r="CF85">
        <v>0.44500000000000001</v>
      </c>
      <c r="CG85">
        <v>0.1492537313432836</v>
      </c>
      <c r="CH85">
        <v>0.28776223776223769</v>
      </c>
      <c r="CI85">
        <v>0</v>
      </c>
      <c r="CJ85">
        <v>26110</v>
      </c>
      <c r="CK85" t="s">
        <v>169</v>
      </c>
      <c r="CL85" t="s">
        <v>347</v>
      </c>
      <c r="CM85" t="s">
        <v>143</v>
      </c>
      <c r="CN85">
        <v>0.10764799999999999</v>
      </c>
      <c r="CO85">
        <v>11.886997641533149</v>
      </c>
      <c r="CP85">
        <v>84</v>
      </c>
      <c r="CQ85" t="s">
        <v>201</v>
      </c>
      <c r="CR85">
        <v>17</v>
      </c>
      <c r="CS85" t="s">
        <v>596</v>
      </c>
      <c r="CT85" t="s">
        <v>332</v>
      </c>
      <c r="CU85" t="s">
        <v>167</v>
      </c>
      <c r="CV85" t="s">
        <v>597</v>
      </c>
      <c r="CW85" t="s">
        <v>598</v>
      </c>
      <c r="CX85" t="s">
        <v>599</v>
      </c>
      <c r="CY85" t="s">
        <v>205</v>
      </c>
      <c r="CZ85" t="s">
        <v>206</v>
      </c>
      <c r="DA85" t="s">
        <v>152</v>
      </c>
      <c r="DB85" t="s">
        <v>153</v>
      </c>
      <c r="DC85" t="s">
        <v>207</v>
      </c>
      <c r="DD85" t="s">
        <v>208</v>
      </c>
      <c r="DE85">
        <v>15157</v>
      </c>
      <c r="DF85">
        <v>-101.65746</v>
      </c>
      <c r="DG85">
        <v>34.678773</v>
      </c>
      <c r="DH85">
        <v>5517</v>
      </c>
      <c r="DI85">
        <v>724</v>
      </c>
      <c r="DJ85">
        <v>2390</v>
      </c>
      <c r="DK85">
        <v>94</v>
      </c>
      <c r="DL85">
        <v>8.5</v>
      </c>
      <c r="DO85">
        <v>42</v>
      </c>
      <c r="DP85">
        <v>0.6</v>
      </c>
      <c r="DQ85">
        <v>746</v>
      </c>
      <c r="DS85" t="s">
        <v>209</v>
      </c>
      <c r="DT85">
        <v>1.2500000000000001E-2</v>
      </c>
      <c r="DU85">
        <v>1.2500000000000001E-2</v>
      </c>
      <c r="DV85">
        <v>0.32500000000000001</v>
      </c>
      <c r="DW85">
        <v>0.32500000000000001</v>
      </c>
      <c r="DX85">
        <v>0.32500000000000001</v>
      </c>
      <c r="DY85">
        <v>0</v>
      </c>
      <c r="DZ85" s="4">
        <v>3.4470000000000001</v>
      </c>
      <c r="EA85" s="4" t="s">
        <v>182</v>
      </c>
      <c r="EB85" s="4" t="s">
        <v>183</v>
      </c>
      <c r="EC85">
        <v>4.4379999999999997</v>
      </c>
      <c r="ED85">
        <v>746</v>
      </c>
      <c r="EE85" t="s">
        <v>606</v>
      </c>
      <c r="EF85">
        <v>0.5301184983663616</v>
      </c>
      <c r="EH85">
        <f t="shared" si="3"/>
        <v>0.58000000000000007</v>
      </c>
      <c r="EI85">
        <v>3.38</v>
      </c>
      <c r="EJ85">
        <v>3.65</v>
      </c>
    </row>
    <row r="86" spans="1:140" x14ac:dyDescent="0.35">
      <c r="A86" s="1">
        <v>84</v>
      </c>
      <c r="B86">
        <v>-98.711204315569631</v>
      </c>
      <c r="C86">
        <v>34.653941081806892</v>
      </c>
      <c r="D86" t="s">
        <v>607</v>
      </c>
      <c r="E86">
        <v>0.1</v>
      </c>
      <c r="F86" t="s">
        <v>135</v>
      </c>
      <c r="G86">
        <v>4.8399999999999999E-2</v>
      </c>
      <c r="H86" t="s">
        <v>161</v>
      </c>
      <c r="I86">
        <v>-10988481</v>
      </c>
      <c r="J86">
        <v>4116952</v>
      </c>
      <c r="K86" t="s">
        <v>608</v>
      </c>
      <c r="L86" t="s">
        <v>609</v>
      </c>
      <c r="M86">
        <v>16</v>
      </c>
      <c r="N86">
        <v>3.319</v>
      </c>
      <c r="O86">
        <v>3</v>
      </c>
      <c r="P86">
        <v>7</v>
      </c>
      <c r="Q86">
        <v>40</v>
      </c>
      <c r="R86">
        <v>31</v>
      </c>
      <c r="S86">
        <v>121124</v>
      </c>
      <c r="T86" t="s">
        <v>487</v>
      </c>
      <c r="U86">
        <v>6.8431213168055267</v>
      </c>
      <c r="V86" t="s">
        <v>608</v>
      </c>
      <c r="W86">
        <v>9.0899999999999995E-2</v>
      </c>
      <c r="X86">
        <v>10</v>
      </c>
      <c r="Y86">
        <v>8.9</v>
      </c>
      <c r="Z86">
        <v>8.9</v>
      </c>
      <c r="AA86">
        <v>20</v>
      </c>
      <c r="AB86">
        <v>26</v>
      </c>
      <c r="AC86">
        <v>0.67300000000000004</v>
      </c>
      <c r="AD86">
        <v>67</v>
      </c>
      <c r="AE86">
        <v>0.1069612205975842</v>
      </c>
      <c r="AF86">
        <v>2.86</v>
      </c>
      <c r="AG86" t="s">
        <v>487</v>
      </c>
      <c r="AH86" t="s">
        <v>608</v>
      </c>
      <c r="AI86">
        <v>35</v>
      </c>
      <c r="AJ86">
        <v>1.1666666666666671E-2</v>
      </c>
      <c r="AK86">
        <v>11.66666666666667</v>
      </c>
      <c r="AL86" t="s">
        <v>610</v>
      </c>
      <c r="AM86">
        <v>0</v>
      </c>
      <c r="AN86">
        <v>1.42</v>
      </c>
      <c r="AO86">
        <v>0.09</v>
      </c>
      <c r="AP86">
        <v>0.19</v>
      </c>
      <c r="AQ86">
        <v>1.1399999999999999</v>
      </c>
      <c r="AR86">
        <v>1.08</v>
      </c>
      <c r="AS86">
        <v>0.04</v>
      </c>
      <c r="AT86">
        <v>0.01</v>
      </c>
      <c r="AU86">
        <v>0.02</v>
      </c>
      <c r="AV86">
        <v>2.36</v>
      </c>
      <c r="AW86">
        <v>1.37</v>
      </c>
      <c r="AX86">
        <v>0.21</v>
      </c>
      <c r="AY86">
        <v>0.53</v>
      </c>
      <c r="AZ86">
        <v>0</v>
      </c>
      <c r="BA86">
        <v>1.1499999999999999</v>
      </c>
      <c r="BB86">
        <v>0.08</v>
      </c>
      <c r="BC86">
        <v>0.14000000000000001</v>
      </c>
      <c r="BD86">
        <v>0.27</v>
      </c>
      <c r="BE86">
        <v>5.72</v>
      </c>
      <c r="BF86">
        <v>5.03</v>
      </c>
      <c r="BG86">
        <v>0.24</v>
      </c>
      <c r="BH86">
        <v>0.45</v>
      </c>
      <c r="BI86">
        <v>0</v>
      </c>
      <c r="BJ86">
        <v>0.04</v>
      </c>
      <c r="BK86">
        <v>4.99</v>
      </c>
      <c r="BL86">
        <v>0</v>
      </c>
      <c r="BM86">
        <v>1.9</v>
      </c>
      <c r="BN86">
        <v>0.21</v>
      </c>
      <c r="BO86">
        <v>0.46</v>
      </c>
      <c r="BP86">
        <v>1.22</v>
      </c>
      <c r="BQ86">
        <v>1.07</v>
      </c>
      <c r="BR86">
        <v>0.06</v>
      </c>
      <c r="BS86">
        <v>0.1</v>
      </c>
      <c r="BT86">
        <v>0</v>
      </c>
      <c r="BU86">
        <v>6.12</v>
      </c>
      <c r="BV86">
        <v>5.0599999999999996</v>
      </c>
      <c r="BW86">
        <v>0.34</v>
      </c>
      <c r="BX86">
        <v>0.72</v>
      </c>
      <c r="BY86">
        <v>0</v>
      </c>
      <c r="BZ86">
        <v>0.04</v>
      </c>
      <c r="CA86">
        <v>5.0199999999999996</v>
      </c>
      <c r="CB86">
        <v>0</v>
      </c>
      <c r="CC86">
        <f t="shared" si="2"/>
        <v>2.75</v>
      </c>
      <c r="CD86">
        <v>3.96</v>
      </c>
      <c r="CE86">
        <v>0.34230769230769231</v>
      </c>
      <c r="CF86">
        <v>0.44500000000000001</v>
      </c>
      <c r="CG86">
        <v>0.1492537313432836</v>
      </c>
      <c r="CH86">
        <v>0.2353146853146853</v>
      </c>
      <c r="CI86">
        <v>0</v>
      </c>
      <c r="CJ86">
        <v>20860</v>
      </c>
      <c r="CK86" t="s">
        <v>141</v>
      </c>
      <c r="CL86" t="s">
        <v>499</v>
      </c>
      <c r="CM86" t="s">
        <v>143</v>
      </c>
      <c r="CN86">
        <v>0.41408390615099999</v>
      </c>
      <c r="CO86">
        <v>23.43107005099797</v>
      </c>
      <c r="CP86">
        <v>85</v>
      </c>
      <c r="CQ86" t="s">
        <v>484</v>
      </c>
      <c r="CR86">
        <v>1</v>
      </c>
      <c r="CS86" t="s">
        <v>485</v>
      </c>
      <c r="CT86" t="s">
        <v>486</v>
      </c>
      <c r="CU86" t="s">
        <v>487</v>
      </c>
      <c r="CV86" t="s">
        <v>488</v>
      </c>
      <c r="CW86" t="s">
        <v>489</v>
      </c>
      <c r="CX86" t="s">
        <v>490</v>
      </c>
      <c r="CY86" t="s">
        <v>490</v>
      </c>
      <c r="CZ86" t="s">
        <v>206</v>
      </c>
      <c r="DA86" t="s">
        <v>152</v>
      </c>
      <c r="DB86" t="s">
        <v>491</v>
      </c>
      <c r="DC86" t="s">
        <v>459</v>
      </c>
      <c r="DD86" t="s">
        <v>492</v>
      </c>
      <c r="DE86">
        <v>10229</v>
      </c>
      <c r="DF86">
        <v>-98.554415000000006</v>
      </c>
      <c r="DG86">
        <v>36.399382000000003</v>
      </c>
      <c r="DH86">
        <v>6562</v>
      </c>
      <c r="DI86">
        <v>572</v>
      </c>
      <c r="DJ86">
        <v>2640</v>
      </c>
      <c r="DK86">
        <v>139</v>
      </c>
      <c r="DL86">
        <v>10</v>
      </c>
      <c r="DO86">
        <v>50</v>
      </c>
      <c r="DR86">
        <v>150000</v>
      </c>
      <c r="DS86">
        <v>42</v>
      </c>
      <c r="DT86">
        <v>1.2500000000000001E-2</v>
      </c>
      <c r="DU86">
        <v>1.2500000000000001E-2</v>
      </c>
      <c r="DV86">
        <v>0.32500000000000001</v>
      </c>
      <c r="DW86">
        <v>0.32500000000000001</v>
      </c>
      <c r="DX86">
        <v>0.32500000000000001</v>
      </c>
      <c r="DY86">
        <v>30.612378977806159</v>
      </c>
      <c r="DZ86" s="4">
        <v>3.4329999999999998</v>
      </c>
      <c r="EA86" s="4" t="s">
        <v>611</v>
      </c>
      <c r="EB86" s="4" t="s">
        <v>612</v>
      </c>
      <c r="EC86">
        <v>4.1470000000000002</v>
      </c>
      <c r="ED86">
        <v>633</v>
      </c>
      <c r="EE86" t="s">
        <v>610</v>
      </c>
      <c r="EF86">
        <v>0</v>
      </c>
      <c r="EH86">
        <f t="shared" si="3"/>
        <v>0.58000000000000007</v>
      </c>
      <c r="EI86">
        <v>3.38</v>
      </c>
      <c r="EJ86">
        <v>3.65</v>
      </c>
    </row>
    <row r="87" spans="1:140" x14ac:dyDescent="0.35">
      <c r="A87" s="1">
        <v>85</v>
      </c>
      <c r="B87">
        <v>-96.914573747330593</v>
      </c>
      <c r="C87">
        <v>34.653941081806892</v>
      </c>
      <c r="D87" t="s">
        <v>613</v>
      </c>
      <c r="E87">
        <v>0.1</v>
      </c>
      <c r="F87" t="s">
        <v>135</v>
      </c>
      <c r="G87">
        <v>4.6300000000000001E-2</v>
      </c>
      <c r="H87" t="s">
        <v>161</v>
      </c>
      <c r="I87">
        <v>-10788481</v>
      </c>
      <c r="J87">
        <v>4116952</v>
      </c>
      <c r="K87" t="s">
        <v>608</v>
      </c>
      <c r="L87" t="s">
        <v>614</v>
      </c>
      <c r="M87">
        <v>62</v>
      </c>
      <c r="N87">
        <v>3.4510000000000001</v>
      </c>
      <c r="O87">
        <v>3</v>
      </c>
      <c r="P87">
        <v>7</v>
      </c>
      <c r="Q87">
        <v>40</v>
      </c>
      <c r="R87">
        <v>123</v>
      </c>
      <c r="S87">
        <v>38065</v>
      </c>
      <c r="T87" t="s">
        <v>487</v>
      </c>
      <c r="U87">
        <v>6.8431213168055267</v>
      </c>
      <c r="V87" t="s">
        <v>608</v>
      </c>
      <c r="W87">
        <v>9.0899999999999995E-2</v>
      </c>
      <c r="X87">
        <v>10</v>
      </c>
      <c r="Y87">
        <v>8.9</v>
      </c>
      <c r="Z87">
        <v>8.9</v>
      </c>
      <c r="AA87">
        <v>20</v>
      </c>
      <c r="AB87">
        <v>26</v>
      </c>
      <c r="AC87">
        <v>0.67300000000000004</v>
      </c>
      <c r="AD87">
        <v>67</v>
      </c>
      <c r="AE87">
        <v>0.1069612205975842</v>
      </c>
      <c r="AF87">
        <v>2.86</v>
      </c>
      <c r="AG87" t="s">
        <v>487</v>
      </c>
      <c r="AH87" t="s">
        <v>608</v>
      </c>
      <c r="AI87">
        <v>35</v>
      </c>
      <c r="AJ87">
        <v>1.1666666666666671E-2</v>
      </c>
      <c r="AK87">
        <v>11.66666666666667</v>
      </c>
      <c r="AL87" t="s">
        <v>615</v>
      </c>
      <c r="AM87">
        <v>0</v>
      </c>
      <c r="AN87">
        <v>1.42</v>
      </c>
      <c r="AO87">
        <v>0.09</v>
      </c>
      <c r="AP87">
        <v>0.19</v>
      </c>
      <c r="AQ87">
        <v>1.1399999999999999</v>
      </c>
      <c r="AR87">
        <v>1.08</v>
      </c>
      <c r="AS87">
        <v>0.04</v>
      </c>
      <c r="AT87">
        <v>0.01</v>
      </c>
      <c r="AU87">
        <v>0.02</v>
      </c>
      <c r="AV87">
        <v>2.36</v>
      </c>
      <c r="AW87">
        <v>1.37</v>
      </c>
      <c r="AX87">
        <v>0.21</v>
      </c>
      <c r="AY87">
        <v>0.53</v>
      </c>
      <c r="AZ87">
        <v>0</v>
      </c>
      <c r="BA87">
        <v>1.1499999999999999</v>
      </c>
      <c r="BB87">
        <v>0.08</v>
      </c>
      <c r="BC87">
        <v>0.14000000000000001</v>
      </c>
      <c r="BD87">
        <v>0.27</v>
      </c>
      <c r="BE87">
        <v>5.72</v>
      </c>
      <c r="BF87">
        <v>5.03</v>
      </c>
      <c r="BG87">
        <v>0.24</v>
      </c>
      <c r="BH87">
        <v>0.45</v>
      </c>
      <c r="BI87">
        <v>0</v>
      </c>
      <c r="BJ87">
        <v>0.04</v>
      </c>
      <c r="BK87">
        <v>4.99</v>
      </c>
      <c r="BL87">
        <v>0</v>
      </c>
      <c r="BM87">
        <v>1.9</v>
      </c>
      <c r="BN87">
        <v>0.21</v>
      </c>
      <c r="BO87">
        <v>0.46</v>
      </c>
      <c r="BP87">
        <v>1.22</v>
      </c>
      <c r="BQ87">
        <v>1.07</v>
      </c>
      <c r="BR87">
        <v>0.06</v>
      </c>
      <c r="BS87">
        <v>0.1</v>
      </c>
      <c r="BT87">
        <v>0</v>
      </c>
      <c r="BU87">
        <v>6.12</v>
      </c>
      <c r="BV87">
        <v>5.0599999999999996</v>
      </c>
      <c r="BW87">
        <v>0.34</v>
      </c>
      <c r="BX87">
        <v>0.72</v>
      </c>
      <c r="BY87">
        <v>0</v>
      </c>
      <c r="BZ87">
        <v>0.04</v>
      </c>
      <c r="CA87">
        <v>5.0199999999999996</v>
      </c>
      <c r="CB87">
        <v>0</v>
      </c>
      <c r="CC87">
        <f t="shared" si="2"/>
        <v>2.75</v>
      </c>
      <c r="CD87">
        <v>3.96</v>
      </c>
      <c r="CE87">
        <v>0.34230769230769231</v>
      </c>
      <c r="CF87">
        <v>0.44500000000000001</v>
      </c>
      <c r="CG87">
        <v>0.1492537313432836</v>
      </c>
      <c r="CH87">
        <v>0.2353146853146853</v>
      </c>
      <c r="CI87">
        <v>0</v>
      </c>
      <c r="CJ87">
        <v>29357</v>
      </c>
      <c r="CK87" t="s">
        <v>141</v>
      </c>
      <c r="CL87" t="s">
        <v>616</v>
      </c>
      <c r="CM87" t="s">
        <v>143</v>
      </c>
      <c r="CN87">
        <v>0.368684997254</v>
      </c>
      <c r="CO87">
        <v>6.0638225589228802E-2</v>
      </c>
      <c r="CP87">
        <v>86</v>
      </c>
      <c r="CQ87" t="s">
        <v>617</v>
      </c>
      <c r="CR87">
        <v>162</v>
      </c>
      <c r="CS87" t="s">
        <v>618</v>
      </c>
      <c r="CT87" t="s">
        <v>520</v>
      </c>
      <c r="CU87" t="s">
        <v>167</v>
      </c>
      <c r="CV87" t="s">
        <v>619</v>
      </c>
      <c r="CW87" t="s">
        <v>362</v>
      </c>
      <c r="CX87" t="s">
        <v>363</v>
      </c>
      <c r="CY87" t="s">
        <v>364</v>
      </c>
      <c r="CZ87" t="s">
        <v>151</v>
      </c>
      <c r="DA87" t="s">
        <v>152</v>
      </c>
      <c r="DB87" t="s">
        <v>178</v>
      </c>
      <c r="DC87" t="s">
        <v>179</v>
      </c>
      <c r="DD87" t="s">
        <v>155</v>
      </c>
      <c r="DE87">
        <v>409</v>
      </c>
      <c r="DF87">
        <v>-95.422424000000007</v>
      </c>
      <c r="DG87">
        <v>32.490718999999999</v>
      </c>
      <c r="DH87">
        <v>9200</v>
      </c>
      <c r="DI87">
        <v>430</v>
      </c>
      <c r="DK87">
        <v>212.2</v>
      </c>
      <c r="DL87">
        <v>20</v>
      </c>
      <c r="DM87">
        <v>10</v>
      </c>
      <c r="DN87">
        <v>22</v>
      </c>
      <c r="DO87">
        <v>250</v>
      </c>
      <c r="DP87">
        <v>200</v>
      </c>
      <c r="DQ87">
        <v>300</v>
      </c>
      <c r="DS87">
        <v>14</v>
      </c>
      <c r="DT87">
        <v>1.2500000000000001E-2</v>
      </c>
      <c r="DU87">
        <v>1.2500000000000001E-2</v>
      </c>
      <c r="DV87">
        <v>0.32500000000000001</v>
      </c>
      <c r="DW87">
        <v>0.32500000000000001</v>
      </c>
      <c r="DX87">
        <v>0.32500000000000001</v>
      </c>
      <c r="DY87">
        <v>14.83651376575062</v>
      </c>
      <c r="DZ87" s="4">
        <v>3.4329999999999998</v>
      </c>
      <c r="EA87" s="4" t="s">
        <v>611</v>
      </c>
      <c r="EB87" s="4" t="s">
        <v>612</v>
      </c>
      <c r="EC87">
        <v>4.1470000000000002</v>
      </c>
      <c r="ED87">
        <v>680</v>
      </c>
      <c r="EE87" t="s">
        <v>615</v>
      </c>
      <c r="EF87">
        <v>0</v>
      </c>
      <c r="EH87">
        <f t="shared" si="3"/>
        <v>0.58000000000000007</v>
      </c>
      <c r="EI87">
        <v>3.38</v>
      </c>
      <c r="EJ87">
        <v>3.65</v>
      </c>
    </row>
    <row r="88" spans="1:140" x14ac:dyDescent="0.35">
      <c r="A88" s="1">
        <v>86</v>
      </c>
      <c r="B88">
        <v>-95.11794317909154</v>
      </c>
      <c r="C88">
        <v>34.653941081806892</v>
      </c>
      <c r="D88" t="s">
        <v>620</v>
      </c>
      <c r="E88">
        <v>0.1</v>
      </c>
      <c r="F88" t="s">
        <v>135</v>
      </c>
      <c r="G88">
        <v>4.6300000000000001E-2</v>
      </c>
      <c r="H88" t="s">
        <v>161</v>
      </c>
      <c r="I88">
        <v>-10588481</v>
      </c>
      <c r="J88">
        <v>4116952</v>
      </c>
      <c r="K88" t="s">
        <v>608</v>
      </c>
      <c r="L88" t="s">
        <v>621</v>
      </c>
      <c r="M88">
        <v>64</v>
      </c>
      <c r="N88">
        <v>3.4649999999999999</v>
      </c>
      <c r="O88">
        <v>3</v>
      </c>
      <c r="P88">
        <v>7</v>
      </c>
      <c r="Q88">
        <v>40</v>
      </c>
      <c r="R88">
        <v>127</v>
      </c>
      <c r="S88">
        <v>10816</v>
      </c>
      <c r="T88" t="s">
        <v>487</v>
      </c>
      <c r="U88">
        <v>6.8431213168055267</v>
      </c>
      <c r="V88" t="s">
        <v>608</v>
      </c>
      <c r="W88">
        <v>9.0899999999999995E-2</v>
      </c>
      <c r="X88">
        <v>10</v>
      </c>
      <c r="Y88">
        <v>8.9</v>
      </c>
      <c r="Z88">
        <v>8.9</v>
      </c>
      <c r="AA88">
        <v>20</v>
      </c>
      <c r="AB88">
        <v>26</v>
      </c>
      <c r="AC88">
        <v>0.67300000000000004</v>
      </c>
      <c r="AD88">
        <v>67</v>
      </c>
      <c r="AE88">
        <v>0.1069612205975842</v>
      </c>
      <c r="AF88">
        <v>2.86</v>
      </c>
      <c r="AG88" t="s">
        <v>487</v>
      </c>
      <c r="AH88" t="s">
        <v>608</v>
      </c>
      <c r="AI88">
        <v>35</v>
      </c>
      <c r="AJ88">
        <v>1.1666666666666671E-2</v>
      </c>
      <c r="AK88">
        <v>11.66666666666667</v>
      </c>
      <c r="AL88" t="s">
        <v>622</v>
      </c>
      <c r="AM88">
        <v>7437.1325186305812</v>
      </c>
      <c r="AN88">
        <v>1.42</v>
      </c>
      <c r="AO88">
        <v>0.09</v>
      </c>
      <c r="AP88">
        <v>0.19</v>
      </c>
      <c r="AQ88">
        <v>1.1399999999999999</v>
      </c>
      <c r="AR88">
        <v>1.08</v>
      </c>
      <c r="AS88">
        <v>0.04</v>
      </c>
      <c r="AT88">
        <v>0.01</v>
      </c>
      <c r="AU88">
        <v>0.02</v>
      </c>
      <c r="AV88">
        <v>2.36</v>
      </c>
      <c r="AW88">
        <v>1.37</v>
      </c>
      <c r="AX88">
        <v>0.21</v>
      </c>
      <c r="AY88">
        <v>0.53</v>
      </c>
      <c r="AZ88">
        <v>0</v>
      </c>
      <c r="BA88">
        <v>1.1499999999999999</v>
      </c>
      <c r="BB88">
        <v>0.08</v>
      </c>
      <c r="BC88">
        <v>0.14000000000000001</v>
      </c>
      <c r="BD88">
        <v>0.27</v>
      </c>
      <c r="BE88">
        <v>5.72</v>
      </c>
      <c r="BF88">
        <v>5.03</v>
      </c>
      <c r="BG88">
        <v>0.24</v>
      </c>
      <c r="BH88">
        <v>0.45</v>
      </c>
      <c r="BI88">
        <v>0</v>
      </c>
      <c r="BJ88">
        <v>0.04</v>
      </c>
      <c r="BK88">
        <v>4.99</v>
      </c>
      <c r="BL88">
        <v>0</v>
      </c>
      <c r="BM88">
        <v>1.9</v>
      </c>
      <c r="BN88">
        <v>0.21</v>
      </c>
      <c r="BO88">
        <v>0.46</v>
      </c>
      <c r="BP88">
        <v>1.22</v>
      </c>
      <c r="BQ88">
        <v>1.07</v>
      </c>
      <c r="BR88">
        <v>0.06</v>
      </c>
      <c r="BS88">
        <v>0.1</v>
      </c>
      <c r="BT88">
        <v>0</v>
      </c>
      <c r="BU88">
        <v>6.12</v>
      </c>
      <c r="BV88">
        <v>5.0599999999999996</v>
      </c>
      <c r="BW88">
        <v>0.34</v>
      </c>
      <c r="BX88">
        <v>0.72</v>
      </c>
      <c r="BY88">
        <v>0</v>
      </c>
      <c r="BZ88">
        <v>0.04</v>
      </c>
      <c r="CA88">
        <v>5.0199999999999996</v>
      </c>
      <c r="CB88">
        <v>0</v>
      </c>
      <c r="CC88">
        <f t="shared" si="2"/>
        <v>2.75</v>
      </c>
      <c r="CD88">
        <v>3.96</v>
      </c>
      <c r="CE88">
        <v>0.34230769230769231</v>
      </c>
      <c r="CF88">
        <v>0.44500000000000001</v>
      </c>
      <c r="CG88">
        <v>0.1492537313432836</v>
      </c>
      <c r="CH88">
        <v>0.2353146853146853</v>
      </c>
      <c r="CI88">
        <v>0</v>
      </c>
      <c r="CJ88">
        <v>23060</v>
      </c>
      <c r="CK88" t="s">
        <v>169</v>
      </c>
      <c r="CL88" t="s">
        <v>623</v>
      </c>
      <c r="CM88" t="s">
        <v>143</v>
      </c>
      <c r="CN88">
        <v>0.54641562862699999</v>
      </c>
      <c r="CO88">
        <v>2.2830259877269059</v>
      </c>
      <c r="CP88">
        <v>87</v>
      </c>
      <c r="CQ88" t="s">
        <v>617</v>
      </c>
      <c r="CR88">
        <v>162</v>
      </c>
      <c r="CS88" t="s">
        <v>618</v>
      </c>
      <c r="CT88" t="s">
        <v>520</v>
      </c>
      <c r="CU88" t="s">
        <v>167</v>
      </c>
      <c r="CV88" t="s">
        <v>619</v>
      </c>
      <c r="CW88" t="s">
        <v>362</v>
      </c>
      <c r="CX88" t="s">
        <v>363</v>
      </c>
      <c r="CY88" t="s">
        <v>364</v>
      </c>
      <c r="CZ88" t="s">
        <v>151</v>
      </c>
      <c r="DA88" t="s">
        <v>152</v>
      </c>
      <c r="DB88" t="s">
        <v>178</v>
      </c>
      <c r="DC88" t="s">
        <v>179</v>
      </c>
      <c r="DD88" t="s">
        <v>155</v>
      </c>
      <c r="DE88">
        <v>409</v>
      </c>
      <c r="DF88">
        <v>-95.422424000000007</v>
      </c>
      <c r="DG88">
        <v>32.490718999999999</v>
      </c>
      <c r="DH88">
        <v>9200</v>
      </c>
      <c r="DI88">
        <v>430</v>
      </c>
      <c r="DK88">
        <v>212.2</v>
      </c>
      <c r="DL88">
        <v>20</v>
      </c>
      <c r="DM88">
        <v>10</v>
      </c>
      <c r="DN88">
        <v>22</v>
      </c>
      <c r="DO88">
        <v>250</v>
      </c>
      <c r="DP88">
        <v>200</v>
      </c>
      <c r="DQ88">
        <v>300</v>
      </c>
      <c r="DS88">
        <v>14</v>
      </c>
      <c r="DT88">
        <v>1.2500000000000001E-2</v>
      </c>
      <c r="DU88">
        <v>1.2500000000000001E-2</v>
      </c>
      <c r="DV88">
        <v>0.32500000000000001</v>
      </c>
      <c r="DW88">
        <v>0.32500000000000001</v>
      </c>
      <c r="DX88">
        <v>0.32500000000000001</v>
      </c>
      <c r="DY88">
        <v>20.784140125685639</v>
      </c>
      <c r="DZ88" s="4">
        <v>3.4329999999999998</v>
      </c>
      <c r="EA88" s="4" t="s">
        <v>611</v>
      </c>
      <c r="EB88" s="4" t="s">
        <v>612</v>
      </c>
      <c r="EC88">
        <v>4.1470000000000002</v>
      </c>
      <c r="ED88">
        <v>391</v>
      </c>
      <c r="EE88" t="s">
        <v>622</v>
      </c>
      <c r="EF88">
        <v>6.4187440062298207E-2</v>
      </c>
      <c r="EH88">
        <f t="shared" si="3"/>
        <v>0.58000000000000007</v>
      </c>
      <c r="EI88">
        <v>3.38</v>
      </c>
      <c r="EJ88">
        <v>3.65</v>
      </c>
    </row>
    <row r="89" spans="1:140" x14ac:dyDescent="0.35">
      <c r="A89" s="1">
        <v>87</v>
      </c>
      <c r="B89">
        <v>-93.321312610852502</v>
      </c>
      <c r="C89">
        <v>34.653941081806892</v>
      </c>
      <c r="D89" t="s">
        <v>624</v>
      </c>
      <c r="E89">
        <v>0.1</v>
      </c>
      <c r="F89" t="s">
        <v>135</v>
      </c>
      <c r="G89">
        <v>4.6300000000000001E-2</v>
      </c>
      <c r="H89" t="s">
        <v>161</v>
      </c>
      <c r="I89">
        <v>-10388481</v>
      </c>
      <c r="J89">
        <v>4116952</v>
      </c>
      <c r="K89" t="s">
        <v>501</v>
      </c>
      <c r="L89" t="s">
        <v>625</v>
      </c>
      <c r="M89">
        <v>26</v>
      </c>
      <c r="N89">
        <v>3.4550000000000001</v>
      </c>
      <c r="O89">
        <v>3</v>
      </c>
      <c r="P89">
        <v>7</v>
      </c>
      <c r="Q89">
        <v>5</v>
      </c>
      <c r="R89">
        <v>51</v>
      </c>
      <c r="S89">
        <v>100172</v>
      </c>
      <c r="T89" t="s">
        <v>502</v>
      </c>
      <c r="U89">
        <v>7.4107777890672626</v>
      </c>
      <c r="V89" t="s">
        <v>501</v>
      </c>
      <c r="W89">
        <v>9.5899999999999999E-2</v>
      </c>
      <c r="X89">
        <v>10</v>
      </c>
      <c r="Y89">
        <v>8.9</v>
      </c>
      <c r="Z89">
        <v>8.9</v>
      </c>
      <c r="AA89">
        <v>20</v>
      </c>
      <c r="AB89">
        <v>26</v>
      </c>
      <c r="AC89">
        <v>0.96</v>
      </c>
      <c r="AD89">
        <v>67</v>
      </c>
      <c r="AE89">
        <v>0.15257469802924351</v>
      </c>
      <c r="AF89">
        <v>2.86</v>
      </c>
      <c r="AG89" t="s">
        <v>502</v>
      </c>
      <c r="AH89" t="s">
        <v>501</v>
      </c>
      <c r="AI89">
        <v>26</v>
      </c>
      <c r="AJ89">
        <v>8.6666666666666663E-3</v>
      </c>
      <c r="AK89">
        <v>8.6666666666666661</v>
      </c>
      <c r="AL89" t="s">
        <v>626</v>
      </c>
      <c r="AM89">
        <v>0</v>
      </c>
      <c r="AN89">
        <v>1.52</v>
      </c>
      <c r="AO89">
        <v>0.09</v>
      </c>
      <c r="AP89">
        <v>0.19</v>
      </c>
      <c r="AQ89">
        <v>1.23</v>
      </c>
      <c r="AR89">
        <v>1.17</v>
      </c>
      <c r="AS89">
        <v>0.04</v>
      </c>
      <c r="AT89">
        <v>0.01</v>
      </c>
      <c r="AU89">
        <v>0.02</v>
      </c>
      <c r="AV89">
        <v>2.4700000000000002</v>
      </c>
      <c r="AW89">
        <v>1.48</v>
      </c>
      <c r="AX89">
        <v>0.21</v>
      </c>
      <c r="AY89">
        <v>0.53</v>
      </c>
      <c r="AZ89">
        <v>0</v>
      </c>
      <c r="BA89">
        <v>1.24</v>
      </c>
      <c r="BB89">
        <v>0.08</v>
      </c>
      <c r="BC89">
        <v>0.15</v>
      </c>
      <c r="BD89">
        <v>0.27</v>
      </c>
      <c r="BE89">
        <v>6.28</v>
      </c>
      <c r="BF89">
        <v>5.59</v>
      </c>
      <c r="BG89">
        <v>0.24</v>
      </c>
      <c r="BH89">
        <v>0.45</v>
      </c>
      <c r="BI89">
        <v>0</v>
      </c>
      <c r="BJ89">
        <v>0.04</v>
      </c>
      <c r="BK89">
        <v>5.55</v>
      </c>
      <c r="BL89">
        <v>0</v>
      </c>
      <c r="BM89">
        <v>2</v>
      </c>
      <c r="BN89">
        <v>0.21</v>
      </c>
      <c r="BO89">
        <v>0.46</v>
      </c>
      <c r="BP89">
        <v>1.32</v>
      </c>
      <c r="BQ89">
        <v>1.1599999999999999</v>
      </c>
      <c r="BR89">
        <v>0.06</v>
      </c>
      <c r="BS89">
        <v>0.11</v>
      </c>
      <c r="BT89">
        <v>0</v>
      </c>
      <c r="BU89">
        <v>6.68</v>
      </c>
      <c r="BV89">
        <v>5.62</v>
      </c>
      <c r="BW89">
        <v>0.34</v>
      </c>
      <c r="BX89">
        <v>0.72</v>
      </c>
      <c r="BY89">
        <v>0</v>
      </c>
      <c r="BZ89">
        <v>0.04</v>
      </c>
      <c r="CA89">
        <v>5.58</v>
      </c>
      <c r="CB89">
        <v>0</v>
      </c>
      <c r="CC89">
        <f t="shared" si="2"/>
        <v>2.75</v>
      </c>
      <c r="CD89">
        <v>3.96</v>
      </c>
      <c r="CE89">
        <v>0.34230769230769231</v>
      </c>
      <c r="CF89">
        <v>0.44500000000000001</v>
      </c>
      <c r="CG89">
        <v>0.1492537313432836</v>
      </c>
      <c r="CH89">
        <v>0.33566433566433568</v>
      </c>
      <c r="CI89">
        <v>0</v>
      </c>
      <c r="CJ89">
        <v>20496</v>
      </c>
      <c r="CK89" t="s">
        <v>141</v>
      </c>
      <c r="CL89" t="s">
        <v>499</v>
      </c>
      <c r="CM89" t="s">
        <v>143</v>
      </c>
      <c r="CN89">
        <v>0.87141165994199998</v>
      </c>
      <c r="CO89">
        <v>12.31265867743425</v>
      </c>
      <c r="CP89">
        <v>88</v>
      </c>
      <c r="CQ89" t="s">
        <v>617</v>
      </c>
      <c r="CR89">
        <v>162</v>
      </c>
      <c r="CS89" t="s">
        <v>618</v>
      </c>
      <c r="CT89" t="s">
        <v>520</v>
      </c>
      <c r="CU89" t="s">
        <v>167</v>
      </c>
      <c r="CV89" t="s">
        <v>619</v>
      </c>
      <c r="CW89" t="s">
        <v>362</v>
      </c>
      <c r="CX89" t="s">
        <v>363</v>
      </c>
      <c r="CY89" t="s">
        <v>364</v>
      </c>
      <c r="CZ89" t="s">
        <v>151</v>
      </c>
      <c r="DA89" t="s">
        <v>152</v>
      </c>
      <c r="DB89" t="s">
        <v>178</v>
      </c>
      <c r="DC89" t="s">
        <v>179</v>
      </c>
      <c r="DD89" t="s">
        <v>155</v>
      </c>
      <c r="DE89">
        <v>409</v>
      </c>
      <c r="DF89">
        <v>-95.422424000000007</v>
      </c>
      <c r="DG89">
        <v>32.490718999999999</v>
      </c>
      <c r="DH89">
        <v>9200</v>
      </c>
      <c r="DI89">
        <v>430</v>
      </c>
      <c r="DK89">
        <v>212.2</v>
      </c>
      <c r="DL89">
        <v>20</v>
      </c>
      <c r="DM89">
        <v>10</v>
      </c>
      <c r="DN89">
        <v>22</v>
      </c>
      <c r="DO89">
        <v>250</v>
      </c>
      <c r="DP89">
        <v>200</v>
      </c>
      <c r="DQ89">
        <v>300</v>
      </c>
      <c r="DS89">
        <v>14</v>
      </c>
      <c r="DT89">
        <v>1.2500000000000001E-2</v>
      </c>
      <c r="DU89">
        <v>1.2500000000000001E-2</v>
      </c>
      <c r="DV89">
        <v>0.32500000000000001</v>
      </c>
      <c r="DW89">
        <v>0.32500000000000001</v>
      </c>
      <c r="DX89">
        <v>0.32500000000000001</v>
      </c>
      <c r="DY89">
        <v>79.704131442430011</v>
      </c>
      <c r="DZ89" s="4">
        <v>3.48</v>
      </c>
      <c r="EA89" s="4" t="s">
        <v>504</v>
      </c>
      <c r="EB89" s="4" t="s">
        <v>505</v>
      </c>
      <c r="EC89">
        <v>4.3410000000000002</v>
      </c>
      <c r="ED89">
        <v>427</v>
      </c>
      <c r="EE89" t="s">
        <v>626</v>
      </c>
      <c r="EF89">
        <v>0</v>
      </c>
      <c r="EH89">
        <f t="shared" si="3"/>
        <v>0.58000000000000007</v>
      </c>
      <c r="EI89">
        <v>3.38</v>
      </c>
      <c r="EJ89">
        <v>3.65</v>
      </c>
    </row>
    <row r="90" spans="1:140" x14ac:dyDescent="0.35">
      <c r="A90" s="1">
        <v>88</v>
      </c>
      <c r="B90">
        <v>-91.524682042613449</v>
      </c>
      <c r="C90">
        <v>34.653941081806892</v>
      </c>
      <c r="D90" t="s">
        <v>627</v>
      </c>
      <c r="E90">
        <v>0.1</v>
      </c>
      <c r="F90" t="s">
        <v>135</v>
      </c>
      <c r="G90">
        <v>3.7400000000000003E-2</v>
      </c>
      <c r="H90" t="s">
        <v>161</v>
      </c>
      <c r="I90">
        <v>-10188481</v>
      </c>
      <c r="J90">
        <v>4116952</v>
      </c>
      <c r="K90" t="s">
        <v>501</v>
      </c>
      <c r="L90" t="s">
        <v>628</v>
      </c>
      <c r="M90">
        <v>59</v>
      </c>
      <c r="N90">
        <v>3.3919999999999999</v>
      </c>
      <c r="O90">
        <v>3</v>
      </c>
      <c r="P90">
        <v>7</v>
      </c>
      <c r="Q90">
        <v>5</v>
      </c>
      <c r="R90">
        <v>117</v>
      </c>
      <c r="S90">
        <v>8284</v>
      </c>
      <c r="T90" t="s">
        <v>502</v>
      </c>
      <c r="U90">
        <v>7.4107777890672626</v>
      </c>
      <c r="V90" t="s">
        <v>501</v>
      </c>
      <c r="W90">
        <v>9.5899999999999999E-2</v>
      </c>
      <c r="X90">
        <v>10</v>
      </c>
      <c r="Y90">
        <v>8.9</v>
      </c>
      <c r="Z90">
        <v>8.9</v>
      </c>
      <c r="AA90">
        <v>20</v>
      </c>
      <c r="AB90">
        <v>26</v>
      </c>
      <c r="AC90">
        <v>0.96</v>
      </c>
      <c r="AD90">
        <v>67</v>
      </c>
      <c r="AE90">
        <v>0.15257469802924351</v>
      </c>
      <c r="AF90">
        <v>2.86</v>
      </c>
      <c r="AG90" t="s">
        <v>502</v>
      </c>
      <c r="AH90" t="s">
        <v>501</v>
      </c>
      <c r="AI90">
        <v>26</v>
      </c>
      <c r="AJ90">
        <v>8.6666666666666663E-3</v>
      </c>
      <c r="AK90">
        <v>8.6666666666666661</v>
      </c>
      <c r="AL90" t="s">
        <v>629</v>
      </c>
      <c r="AM90">
        <v>13195.63367095246</v>
      </c>
      <c r="AN90">
        <v>1.52</v>
      </c>
      <c r="AO90">
        <v>0.09</v>
      </c>
      <c r="AP90">
        <v>0.19</v>
      </c>
      <c r="AQ90">
        <v>1.23</v>
      </c>
      <c r="AR90">
        <v>1.17</v>
      </c>
      <c r="AS90">
        <v>0.04</v>
      </c>
      <c r="AT90">
        <v>0.01</v>
      </c>
      <c r="AU90">
        <v>0.02</v>
      </c>
      <c r="AV90">
        <v>2.4700000000000002</v>
      </c>
      <c r="AW90">
        <v>1.48</v>
      </c>
      <c r="AX90">
        <v>0.21</v>
      </c>
      <c r="AY90">
        <v>0.53</v>
      </c>
      <c r="AZ90">
        <v>0</v>
      </c>
      <c r="BA90">
        <v>1.24</v>
      </c>
      <c r="BB90">
        <v>0.08</v>
      </c>
      <c r="BC90">
        <v>0.15</v>
      </c>
      <c r="BD90">
        <v>0.27</v>
      </c>
      <c r="BE90">
        <v>6.28</v>
      </c>
      <c r="BF90">
        <v>5.59</v>
      </c>
      <c r="BG90">
        <v>0.24</v>
      </c>
      <c r="BH90">
        <v>0.45</v>
      </c>
      <c r="BI90">
        <v>0</v>
      </c>
      <c r="BJ90">
        <v>0.04</v>
      </c>
      <c r="BK90">
        <v>5.55</v>
      </c>
      <c r="BL90">
        <v>0</v>
      </c>
      <c r="BM90">
        <v>2</v>
      </c>
      <c r="BN90">
        <v>0.21</v>
      </c>
      <c r="BO90">
        <v>0.46</v>
      </c>
      <c r="BP90">
        <v>1.32</v>
      </c>
      <c r="BQ90">
        <v>1.1599999999999999</v>
      </c>
      <c r="BR90">
        <v>0.06</v>
      </c>
      <c r="BS90">
        <v>0.11</v>
      </c>
      <c r="BT90">
        <v>0</v>
      </c>
      <c r="BU90">
        <v>6.68</v>
      </c>
      <c r="BV90">
        <v>5.62</v>
      </c>
      <c r="BW90">
        <v>0.34</v>
      </c>
      <c r="BX90">
        <v>0.72</v>
      </c>
      <c r="BY90">
        <v>0</v>
      </c>
      <c r="BZ90">
        <v>0.04</v>
      </c>
      <c r="CA90">
        <v>5.58</v>
      </c>
      <c r="CB90">
        <v>0</v>
      </c>
      <c r="CC90">
        <f t="shared" si="2"/>
        <v>2.75</v>
      </c>
      <c r="CD90">
        <v>3.96</v>
      </c>
      <c r="CE90">
        <v>0.34230769230769231</v>
      </c>
      <c r="CF90">
        <v>0.44500000000000001</v>
      </c>
      <c r="CG90">
        <v>0.1492537313432836</v>
      </c>
      <c r="CH90">
        <v>0.33566433566433568</v>
      </c>
      <c r="CI90">
        <v>0</v>
      </c>
      <c r="CJ90">
        <v>20660</v>
      </c>
      <c r="CK90" t="s">
        <v>141</v>
      </c>
      <c r="CL90" t="s">
        <v>499</v>
      </c>
      <c r="CM90" t="s">
        <v>143</v>
      </c>
      <c r="CN90">
        <v>2.1898653943099999</v>
      </c>
      <c r="CO90">
        <v>15.86273825976577</v>
      </c>
      <c r="CP90">
        <v>89</v>
      </c>
      <c r="CQ90" t="s">
        <v>378</v>
      </c>
      <c r="CR90">
        <v>109</v>
      </c>
      <c r="CS90" t="s">
        <v>379</v>
      </c>
      <c r="CT90" t="s">
        <v>215</v>
      </c>
      <c r="CU90" t="s">
        <v>216</v>
      </c>
      <c r="CV90" t="s">
        <v>380</v>
      </c>
      <c r="CW90" t="s">
        <v>175</v>
      </c>
      <c r="CX90" t="s">
        <v>218</v>
      </c>
      <c r="CY90" t="s">
        <v>219</v>
      </c>
      <c r="CZ90" t="s">
        <v>151</v>
      </c>
      <c r="DA90" t="s">
        <v>152</v>
      </c>
      <c r="DB90" t="s">
        <v>178</v>
      </c>
      <c r="DC90" t="s">
        <v>179</v>
      </c>
      <c r="DD90" t="s">
        <v>155</v>
      </c>
      <c r="DE90">
        <v>8003</v>
      </c>
      <c r="DF90">
        <v>-90.094294000000005</v>
      </c>
      <c r="DG90">
        <v>31.364063000000002</v>
      </c>
      <c r="DH90">
        <v>10000</v>
      </c>
      <c r="DI90">
        <v>400</v>
      </c>
      <c r="DJ90">
        <v>4500</v>
      </c>
      <c r="DL90">
        <v>22</v>
      </c>
      <c r="DM90">
        <v>16</v>
      </c>
      <c r="DN90">
        <v>29</v>
      </c>
      <c r="DO90">
        <v>200</v>
      </c>
      <c r="DP90">
        <v>4</v>
      </c>
      <c r="DQ90">
        <v>4170</v>
      </c>
      <c r="DS90">
        <v>11</v>
      </c>
      <c r="DT90">
        <v>1.2500000000000001E-2</v>
      </c>
      <c r="DU90">
        <v>1.2500000000000001E-2</v>
      </c>
      <c r="DV90">
        <v>0.32500000000000001</v>
      </c>
      <c r="DW90">
        <v>0.32500000000000001</v>
      </c>
      <c r="DX90">
        <v>0.32500000000000001</v>
      </c>
      <c r="DY90">
        <v>6.4442133847791228</v>
      </c>
      <c r="DZ90" s="4">
        <v>3.48</v>
      </c>
      <c r="EA90" s="4" t="s">
        <v>504</v>
      </c>
      <c r="EB90" s="4" t="s">
        <v>505</v>
      </c>
      <c r="EC90">
        <v>4.3410000000000002</v>
      </c>
      <c r="ED90">
        <v>598</v>
      </c>
      <c r="EE90" t="s">
        <v>629</v>
      </c>
      <c r="EF90">
        <v>0.1172053785383803</v>
      </c>
      <c r="EH90">
        <f t="shared" si="3"/>
        <v>0.58000000000000007</v>
      </c>
      <c r="EI90">
        <v>3.38</v>
      </c>
      <c r="EJ90">
        <v>3.65</v>
      </c>
    </row>
    <row r="91" spans="1:140" x14ac:dyDescent="0.35">
      <c r="A91" s="1">
        <v>89</v>
      </c>
      <c r="B91">
        <v>-89.728051474374411</v>
      </c>
      <c r="C91">
        <v>34.653941081806892</v>
      </c>
      <c r="D91" t="s">
        <v>630</v>
      </c>
      <c r="E91">
        <v>0.1</v>
      </c>
      <c r="F91" t="s">
        <v>135</v>
      </c>
      <c r="G91">
        <v>3.7400000000000003E-2</v>
      </c>
      <c r="H91" t="s">
        <v>161</v>
      </c>
      <c r="I91">
        <v>-9988481</v>
      </c>
      <c r="J91">
        <v>4116952</v>
      </c>
      <c r="K91" t="s">
        <v>386</v>
      </c>
      <c r="L91" t="s">
        <v>631</v>
      </c>
      <c r="M91">
        <v>69</v>
      </c>
      <c r="N91">
        <v>3.4780000000000002</v>
      </c>
      <c r="O91">
        <v>3</v>
      </c>
      <c r="P91">
        <v>6</v>
      </c>
      <c r="Q91">
        <v>28</v>
      </c>
      <c r="R91">
        <v>137</v>
      </c>
      <c r="S91">
        <v>28066</v>
      </c>
      <c r="T91" t="s">
        <v>216</v>
      </c>
      <c r="U91">
        <v>5.9160358666937602</v>
      </c>
      <c r="V91" t="s">
        <v>386</v>
      </c>
      <c r="W91">
        <v>0.10929999999999999</v>
      </c>
      <c r="X91">
        <v>10</v>
      </c>
      <c r="Y91">
        <v>8.9</v>
      </c>
      <c r="Z91">
        <v>8.9</v>
      </c>
      <c r="AA91">
        <v>20</v>
      </c>
      <c r="AB91">
        <v>26</v>
      </c>
      <c r="AC91">
        <v>0.79400000000000004</v>
      </c>
      <c r="AD91">
        <v>67</v>
      </c>
      <c r="AE91">
        <v>0.12619198982835339</v>
      </c>
      <c r="AF91">
        <v>2.86</v>
      </c>
      <c r="AG91" t="s">
        <v>216</v>
      </c>
      <c r="AH91" t="s">
        <v>386</v>
      </c>
      <c r="AI91">
        <v>23</v>
      </c>
      <c r="AJ91">
        <v>7.6666666666666662E-3</v>
      </c>
      <c r="AK91">
        <v>7.6666666666666661</v>
      </c>
      <c r="AL91" t="s">
        <v>632</v>
      </c>
      <c r="AM91">
        <v>0</v>
      </c>
      <c r="AN91">
        <v>1.28</v>
      </c>
      <c r="AO91">
        <v>0.09</v>
      </c>
      <c r="AP91">
        <v>0.19</v>
      </c>
      <c r="AQ91">
        <v>0.99</v>
      </c>
      <c r="AR91">
        <v>0.94</v>
      </c>
      <c r="AS91">
        <v>0.04</v>
      </c>
      <c r="AT91">
        <v>0.01</v>
      </c>
      <c r="AU91">
        <v>0.02</v>
      </c>
      <c r="AV91">
        <v>2.2400000000000002</v>
      </c>
      <c r="AW91">
        <v>1.24</v>
      </c>
      <c r="AX91">
        <v>0.21</v>
      </c>
      <c r="AY91">
        <v>0.53</v>
      </c>
      <c r="AZ91">
        <v>0</v>
      </c>
      <c r="BA91">
        <v>0.99</v>
      </c>
      <c r="BB91">
        <v>0.08</v>
      </c>
      <c r="BC91">
        <v>0.17</v>
      </c>
      <c r="BD91">
        <v>0.27</v>
      </c>
      <c r="BE91">
        <v>6.83</v>
      </c>
      <c r="BF91">
        <v>6.14</v>
      </c>
      <c r="BG91">
        <v>0.24</v>
      </c>
      <c r="BH91">
        <v>0.45</v>
      </c>
      <c r="BI91">
        <v>0</v>
      </c>
      <c r="BJ91">
        <v>0.04</v>
      </c>
      <c r="BK91">
        <v>6.1</v>
      </c>
      <c r="BL91">
        <v>0</v>
      </c>
      <c r="BM91">
        <v>1.77</v>
      </c>
      <c r="BN91">
        <v>0.21</v>
      </c>
      <c r="BO91">
        <v>0.46</v>
      </c>
      <c r="BP91">
        <v>1.1000000000000001</v>
      </c>
      <c r="BQ91">
        <v>0.92</v>
      </c>
      <c r="BR91">
        <v>0.06</v>
      </c>
      <c r="BS91">
        <v>0.12</v>
      </c>
      <c r="BT91">
        <v>0</v>
      </c>
      <c r="BU91">
        <v>7.24</v>
      </c>
      <c r="BV91">
        <v>6.18</v>
      </c>
      <c r="BW91">
        <v>0.34</v>
      </c>
      <c r="BX91">
        <v>0.72</v>
      </c>
      <c r="BY91">
        <v>0</v>
      </c>
      <c r="BZ91">
        <v>0.04</v>
      </c>
      <c r="CA91">
        <v>6.14</v>
      </c>
      <c r="CB91">
        <v>0</v>
      </c>
      <c r="CC91">
        <f t="shared" si="2"/>
        <v>2.75</v>
      </c>
      <c r="CD91">
        <v>3.96</v>
      </c>
      <c r="CE91">
        <v>0.34230769230769231</v>
      </c>
      <c r="CF91">
        <v>0.44500000000000001</v>
      </c>
      <c r="CG91">
        <v>0.1492537313432836</v>
      </c>
      <c r="CH91">
        <v>0.27762237762237763</v>
      </c>
      <c r="CI91">
        <v>0</v>
      </c>
      <c r="CJ91">
        <v>24269</v>
      </c>
      <c r="CK91" t="s">
        <v>141</v>
      </c>
      <c r="CL91" t="s">
        <v>377</v>
      </c>
      <c r="CM91" t="s">
        <v>143</v>
      </c>
      <c r="CN91">
        <v>0.32716340528900001</v>
      </c>
      <c r="CO91">
        <v>9.2612755989787825</v>
      </c>
      <c r="CP91">
        <v>90</v>
      </c>
      <c r="CQ91" t="s">
        <v>378</v>
      </c>
      <c r="CR91">
        <v>109</v>
      </c>
      <c r="CS91" t="s">
        <v>379</v>
      </c>
      <c r="CT91" t="s">
        <v>215</v>
      </c>
      <c r="CU91" t="s">
        <v>216</v>
      </c>
      <c r="CV91" t="s">
        <v>380</v>
      </c>
      <c r="CW91" t="s">
        <v>175</v>
      </c>
      <c r="CX91" t="s">
        <v>218</v>
      </c>
      <c r="CY91" t="s">
        <v>219</v>
      </c>
      <c r="CZ91" t="s">
        <v>151</v>
      </c>
      <c r="DA91" t="s">
        <v>152</v>
      </c>
      <c r="DB91" t="s">
        <v>178</v>
      </c>
      <c r="DC91" t="s">
        <v>179</v>
      </c>
      <c r="DD91" t="s">
        <v>155</v>
      </c>
      <c r="DE91">
        <v>8003</v>
      </c>
      <c r="DF91">
        <v>-90.094294000000005</v>
      </c>
      <c r="DG91">
        <v>31.364063000000002</v>
      </c>
      <c r="DH91">
        <v>10000</v>
      </c>
      <c r="DI91">
        <v>400</v>
      </c>
      <c r="DJ91">
        <v>4500</v>
      </c>
      <c r="DL91">
        <v>22</v>
      </c>
      <c r="DM91">
        <v>16</v>
      </c>
      <c r="DN91">
        <v>29</v>
      </c>
      <c r="DO91">
        <v>200</v>
      </c>
      <c r="DP91">
        <v>4</v>
      </c>
      <c r="DQ91">
        <v>4170</v>
      </c>
      <c r="DS91">
        <v>11</v>
      </c>
      <c r="DT91">
        <v>1.2500000000000001E-2</v>
      </c>
      <c r="DU91">
        <v>1.2500000000000001E-2</v>
      </c>
      <c r="DV91">
        <v>0.32500000000000001</v>
      </c>
      <c r="DW91">
        <v>0.32500000000000001</v>
      </c>
      <c r="DX91">
        <v>0.32500000000000001</v>
      </c>
      <c r="DY91">
        <v>40.503580876643511</v>
      </c>
      <c r="DZ91" s="4">
        <v>3.4470000000000001</v>
      </c>
      <c r="EA91" s="4" t="s">
        <v>391</v>
      </c>
      <c r="EB91" s="4" t="s">
        <v>392</v>
      </c>
      <c r="EC91">
        <v>4.4000000000000004</v>
      </c>
      <c r="ED91">
        <v>126</v>
      </c>
      <c r="EE91" t="s">
        <v>632</v>
      </c>
      <c r="EF91">
        <v>0</v>
      </c>
      <c r="EH91">
        <f t="shared" si="3"/>
        <v>0.58000000000000007</v>
      </c>
      <c r="EI91">
        <v>3.38</v>
      </c>
      <c r="EJ91">
        <v>3.65</v>
      </c>
    </row>
    <row r="92" spans="1:140" x14ac:dyDescent="0.35">
      <c r="A92" s="1">
        <v>90</v>
      </c>
      <c r="B92">
        <v>-87.931420906135358</v>
      </c>
      <c r="C92">
        <v>34.653941081806892</v>
      </c>
      <c r="D92" t="s">
        <v>633</v>
      </c>
      <c r="E92">
        <v>0.1</v>
      </c>
      <c r="F92" t="s">
        <v>135</v>
      </c>
      <c r="G92">
        <v>8.8000000000000009E-2</v>
      </c>
      <c r="H92" t="s">
        <v>161</v>
      </c>
      <c r="I92">
        <v>-9788481</v>
      </c>
      <c r="J92">
        <v>4116952</v>
      </c>
      <c r="K92" t="s">
        <v>274</v>
      </c>
      <c r="L92" t="s">
        <v>634</v>
      </c>
      <c r="M92">
        <v>17</v>
      </c>
      <c r="N92">
        <v>3.4329999999999998</v>
      </c>
      <c r="O92">
        <v>3</v>
      </c>
      <c r="P92">
        <v>6</v>
      </c>
      <c r="Q92">
        <v>1</v>
      </c>
      <c r="R92">
        <v>33</v>
      </c>
      <c r="S92">
        <v>57232</v>
      </c>
      <c r="T92" t="s">
        <v>276</v>
      </c>
      <c r="U92">
        <v>5.7134919223735006</v>
      </c>
      <c r="V92" t="s">
        <v>274</v>
      </c>
      <c r="W92">
        <v>0.11899999999999999</v>
      </c>
      <c r="X92">
        <v>10</v>
      </c>
      <c r="Y92">
        <v>8.9</v>
      </c>
      <c r="Z92">
        <v>8.9</v>
      </c>
      <c r="AA92">
        <v>20</v>
      </c>
      <c r="AB92">
        <v>26</v>
      </c>
      <c r="AC92">
        <v>0.747</v>
      </c>
      <c r="AD92">
        <v>67</v>
      </c>
      <c r="AE92">
        <v>0.1187221869040051</v>
      </c>
      <c r="AF92">
        <v>2.86</v>
      </c>
      <c r="AG92" t="s">
        <v>276</v>
      </c>
      <c r="AH92" t="s">
        <v>274</v>
      </c>
      <c r="AI92">
        <v>30</v>
      </c>
      <c r="AJ92">
        <v>0.01</v>
      </c>
      <c r="AK92">
        <v>10</v>
      </c>
      <c r="AL92" t="s">
        <v>635</v>
      </c>
      <c r="AM92">
        <v>0</v>
      </c>
      <c r="AN92">
        <v>1.25</v>
      </c>
      <c r="AO92">
        <v>0.09</v>
      </c>
      <c r="AP92">
        <v>0.19</v>
      </c>
      <c r="AQ92">
        <v>0.96</v>
      </c>
      <c r="AR92">
        <v>0.9</v>
      </c>
      <c r="AS92">
        <v>0.04</v>
      </c>
      <c r="AT92">
        <v>0.02</v>
      </c>
      <c r="AU92">
        <v>0.02</v>
      </c>
      <c r="AV92">
        <v>2.2200000000000002</v>
      </c>
      <c r="AW92">
        <v>1.22</v>
      </c>
      <c r="AX92">
        <v>0.21</v>
      </c>
      <c r="AY92">
        <v>0.53</v>
      </c>
      <c r="AZ92">
        <v>0</v>
      </c>
      <c r="BA92">
        <v>0.96</v>
      </c>
      <c r="BB92">
        <v>0.08</v>
      </c>
      <c r="BC92">
        <v>0.18</v>
      </c>
      <c r="BD92">
        <v>0.27</v>
      </c>
      <c r="BE92">
        <v>7.39</v>
      </c>
      <c r="BF92">
        <v>6.7</v>
      </c>
      <c r="BG92">
        <v>0.24</v>
      </c>
      <c r="BH92">
        <v>0.45</v>
      </c>
      <c r="BI92">
        <v>0</v>
      </c>
      <c r="BJ92">
        <v>0.04</v>
      </c>
      <c r="BK92">
        <v>6.66</v>
      </c>
      <c r="BL92">
        <v>0</v>
      </c>
      <c r="BM92">
        <v>1.75</v>
      </c>
      <c r="BN92">
        <v>0.21</v>
      </c>
      <c r="BO92">
        <v>0.46</v>
      </c>
      <c r="BP92">
        <v>1.08</v>
      </c>
      <c r="BQ92">
        <v>0.89</v>
      </c>
      <c r="BR92">
        <v>0.06</v>
      </c>
      <c r="BS92">
        <v>0.13</v>
      </c>
      <c r="BT92">
        <v>0</v>
      </c>
      <c r="BU92">
        <v>7.79</v>
      </c>
      <c r="BV92">
        <v>6.73</v>
      </c>
      <c r="BW92">
        <v>0.34</v>
      </c>
      <c r="BX92">
        <v>0.72</v>
      </c>
      <c r="BY92">
        <v>0</v>
      </c>
      <c r="BZ92">
        <v>0.04</v>
      </c>
      <c r="CA92">
        <v>6.7</v>
      </c>
      <c r="CB92">
        <v>0</v>
      </c>
      <c r="CC92">
        <f t="shared" si="2"/>
        <v>2.75</v>
      </c>
      <c r="CD92">
        <v>3.96</v>
      </c>
      <c r="CE92">
        <v>0.34230769230769231</v>
      </c>
      <c r="CF92">
        <v>0.44500000000000001</v>
      </c>
      <c r="CG92">
        <v>0.1492537313432836</v>
      </c>
      <c r="CH92">
        <v>0.26118881118881121</v>
      </c>
      <c r="CI92">
        <v>0</v>
      </c>
      <c r="CJ92">
        <v>25356</v>
      </c>
      <c r="CK92" t="s">
        <v>141</v>
      </c>
      <c r="CL92" t="s">
        <v>636</v>
      </c>
      <c r="CM92" t="s">
        <v>143</v>
      </c>
      <c r="CN92">
        <v>0.19375699551799999</v>
      </c>
      <c r="CO92">
        <v>1.05672569527328</v>
      </c>
      <c r="CP92">
        <v>91</v>
      </c>
      <c r="CQ92" t="s">
        <v>637</v>
      </c>
      <c r="CR92">
        <v>96</v>
      </c>
      <c r="CS92" t="s">
        <v>638</v>
      </c>
      <c r="CT92" t="s">
        <v>639</v>
      </c>
      <c r="CU92" t="s">
        <v>640</v>
      </c>
      <c r="CV92" t="s">
        <v>641</v>
      </c>
      <c r="CW92" t="s">
        <v>642</v>
      </c>
      <c r="CX92" t="s">
        <v>643</v>
      </c>
      <c r="CY92" t="s">
        <v>644</v>
      </c>
      <c r="CZ92" t="s">
        <v>645</v>
      </c>
      <c r="DA92" t="s">
        <v>152</v>
      </c>
      <c r="DB92" t="s">
        <v>491</v>
      </c>
      <c r="DC92" t="s">
        <v>459</v>
      </c>
      <c r="DD92" t="s">
        <v>492</v>
      </c>
      <c r="DE92">
        <v>2610</v>
      </c>
      <c r="DF92">
        <v>-87.295199999999994</v>
      </c>
      <c r="DG92">
        <v>37.482399999999998</v>
      </c>
      <c r="DH92">
        <v>4670</v>
      </c>
      <c r="DI92">
        <v>500</v>
      </c>
      <c r="DL92">
        <v>6.5</v>
      </c>
      <c r="DM92">
        <v>4</v>
      </c>
      <c r="DN92">
        <v>11</v>
      </c>
      <c r="DO92">
        <v>90</v>
      </c>
      <c r="DP92">
        <v>10</v>
      </c>
      <c r="DQ92">
        <v>250</v>
      </c>
      <c r="DR92">
        <v>80000</v>
      </c>
      <c r="DS92">
        <v>60</v>
      </c>
      <c r="DT92">
        <v>1.2500000000000001E-2</v>
      </c>
      <c r="DU92">
        <v>1.2500000000000001E-2</v>
      </c>
      <c r="DV92">
        <v>0.32500000000000001</v>
      </c>
      <c r="DW92">
        <v>0.32500000000000001</v>
      </c>
      <c r="DX92">
        <v>0.32500000000000001</v>
      </c>
      <c r="DY92">
        <v>30.61680736247866</v>
      </c>
      <c r="DZ92" s="4">
        <v>3.504</v>
      </c>
      <c r="EA92" s="4" t="s">
        <v>279</v>
      </c>
      <c r="EB92" s="4" t="s">
        <v>280</v>
      </c>
      <c r="EC92">
        <v>4.53</v>
      </c>
      <c r="ED92">
        <v>287</v>
      </c>
      <c r="EE92" t="s">
        <v>635</v>
      </c>
      <c r="EF92">
        <v>0</v>
      </c>
      <c r="EH92">
        <f t="shared" si="3"/>
        <v>0.58000000000000007</v>
      </c>
      <c r="EI92">
        <v>3.38</v>
      </c>
      <c r="EJ92">
        <v>3.65</v>
      </c>
    </row>
    <row r="93" spans="1:140" x14ac:dyDescent="0.35">
      <c r="A93" s="1">
        <v>91</v>
      </c>
      <c r="B93">
        <v>-86.13479033789632</v>
      </c>
      <c r="C93">
        <v>34.653941081806892</v>
      </c>
      <c r="D93" t="s">
        <v>646</v>
      </c>
      <c r="E93">
        <v>0.1</v>
      </c>
      <c r="F93" t="s">
        <v>135</v>
      </c>
      <c r="G93">
        <v>3.7100000000000001E-2</v>
      </c>
      <c r="H93" t="s">
        <v>161</v>
      </c>
      <c r="I93">
        <v>-9588481</v>
      </c>
      <c r="J93">
        <v>4116952</v>
      </c>
      <c r="K93" t="s">
        <v>274</v>
      </c>
      <c r="L93" t="s">
        <v>647</v>
      </c>
      <c r="M93">
        <v>36</v>
      </c>
      <c r="N93">
        <v>3.47</v>
      </c>
      <c r="O93">
        <v>3</v>
      </c>
      <c r="P93">
        <v>6</v>
      </c>
      <c r="Q93">
        <v>1</v>
      </c>
      <c r="R93">
        <v>71</v>
      </c>
      <c r="S93">
        <v>52582</v>
      </c>
      <c r="T93" t="s">
        <v>276</v>
      </c>
      <c r="U93">
        <v>5.7134919223735006</v>
      </c>
      <c r="V93" t="s">
        <v>274</v>
      </c>
      <c r="W93">
        <v>0.11899999999999999</v>
      </c>
      <c r="X93">
        <v>10</v>
      </c>
      <c r="Y93">
        <v>8.9</v>
      </c>
      <c r="Z93">
        <v>8.9</v>
      </c>
      <c r="AA93">
        <v>20</v>
      </c>
      <c r="AB93">
        <v>26</v>
      </c>
      <c r="AC93">
        <v>0.747</v>
      </c>
      <c r="AD93">
        <v>67</v>
      </c>
      <c r="AE93">
        <v>0.1187221869040051</v>
      </c>
      <c r="AF93">
        <v>2.86</v>
      </c>
      <c r="AG93" t="s">
        <v>276</v>
      </c>
      <c r="AH93" t="s">
        <v>274</v>
      </c>
      <c r="AI93">
        <v>30</v>
      </c>
      <c r="AJ93">
        <v>0.01</v>
      </c>
      <c r="AK93">
        <v>10</v>
      </c>
      <c r="AL93" t="s">
        <v>648</v>
      </c>
      <c r="AM93">
        <v>0</v>
      </c>
      <c r="AN93">
        <v>1.25</v>
      </c>
      <c r="AO93">
        <v>0.09</v>
      </c>
      <c r="AP93">
        <v>0.19</v>
      </c>
      <c r="AQ93">
        <v>0.96</v>
      </c>
      <c r="AR93">
        <v>0.9</v>
      </c>
      <c r="AS93">
        <v>0.04</v>
      </c>
      <c r="AT93">
        <v>0.02</v>
      </c>
      <c r="AU93">
        <v>0.02</v>
      </c>
      <c r="AV93">
        <v>2.2200000000000002</v>
      </c>
      <c r="AW93">
        <v>1.22</v>
      </c>
      <c r="AX93">
        <v>0.21</v>
      </c>
      <c r="AY93">
        <v>0.53</v>
      </c>
      <c r="AZ93">
        <v>0</v>
      </c>
      <c r="BA93">
        <v>0.96</v>
      </c>
      <c r="BB93">
        <v>0.08</v>
      </c>
      <c r="BC93">
        <v>0.18</v>
      </c>
      <c r="BD93">
        <v>0.27</v>
      </c>
      <c r="BE93">
        <v>7.39</v>
      </c>
      <c r="BF93">
        <v>6.7</v>
      </c>
      <c r="BG93">
        <v>0.24</v>
      </c>
      <c r="BH93">
        <v>0.45</v>
      </c>
      <c r="BI93">
        <v>0</v>
      </c>
      <c r="BJ93">
        <v>0.04</v>
      </c>
      <c r="BK93">
        <v>6.66</v>
      </c>
      <c r="BL93">
        <v>0</v>
      </c>
      <c r="BM93">
        <v>1.75</v>
      </c>
      <c r="BN93">
        <v>0.21</v>
      </c>
      <c r="BO93">
        <v>0.46</v>
      </c>
      <c r="BP93">
        <v>1.08</v>
      </c>
      <c r="BQ93">
        <v>0.89</v>
      </c>
      <c r="BR93">
        <v>0.06</v>
      </c>
      <c r="BS93">
        <v>0.13</v>
      </c>
      <c r="BT93">
        <v>0</v>
      </c>
      <c r="BU93">
        <v>7.79</v>
      </c>
      <c r="BV93">
        <v>6.73</v>
      </c>
      <c r="BW93">
        <v>0.34</v>
      </c>
      <c r="BX93">
        <v>0.72</v>
      </c>
      <c r="BY93">
        <v>0</v>
      </c>
      <c r="BZ93">
        <v>0.04</v>
      </c>
      <c r="CA93">
        <v>6.7</v>
      </c>
      <c r="CB93">
        <v>0</v>
      </c>
      <c r="CC93">
        <f t="shared" si="2"/>
        <v>2.75</v>
      </c>
      <c r="CD93">
        <v>3.96</v>
      </c>
      <c r="CE93">
        <v>0.34230769230769231</v>
      </c>
      <c r="CF93">
        <v>0.44500000000000001</v>
      </c>
      <c r="CG93">
        <v>0.1492537313432836</v>
      </c>
      <c r="CH93">
        <v>0.26118881118881121</v>
      </c>
      <c r="CI93">
        <v>0</v>
      </c>
      <c r="CJ93">
        <v>22972</v>
      </c>
      <c r="CK93" t="s">
        <v>141</v>
      </c>
      <c r="CL93" t="s">
        <v>240</v>
      </c>
      <c r="CM93" t="s">
        <v>143</v>
      </c>
      <c r="CN93">
        <v>1.8973146777400001</v>
      </c>
      <c r="CO93">
        <v>30.886379919114621</v>
      </c>
      <c r="CP93">
        <v>92</v>
      </c>
      <c r="CQ93" t="s">
        <v>649</v>
      </c>
      <c r="CR93">
        <v>144</v>
      </c>
      <c r="CS93" t="s">
        <v>650</v>
      </c>
      <c r="CT93" t="s">
        <v>651</v>
      </c>
      <c r="CU93" t="s">
        <v>640</v>
      </c>
      <c r="CV93" t="s">
        <v>652</v>
      </c>
      <c r="CW93" t="s">
        <v>653</v>
      </c>
      <c r="CX93" t="s">
        <v>654</v>
      </c>
      <c r="CY93" t="s">
        <v>655</v>
      </c>
      <c r="CZ93" t="s">
        <v>645</v>
      </c>
      <c r="DA93" t="s">
        <v>152</v>
      </c>
      <c r="DB93" t="s">
        <v>178</v>
      </c>
      <c r="DC93" t="s">
        <v>656</v>
      </c>
      <c r="DD93" t="s">
        <v>657</v>
      </c>
      <c r="DE93">
        <v>10350</v>
      </c>
      <c r="DF93">
        <v>-84.596498999999994</v>
      </c>
      <c r="DG93">
        <v>38.291331</v>
      </c>
      <c r="DH93">
        <v>4500</v>
      </c>
      <c r="DI93">
        <v>200</v>
      </c>
      <c r="DL93">
        <v>10</v>
      </c>
      <c r="DM93">
        <v>8</v>
      </c>
      <c r="DN93">
        <v>12</v>
      </c>
      <c r="DO93">
        <v>50</v>
      </c>
      <c r="DP93">
        <v>25</v>
      </c>
      <c r="DQ93">
        <v>100</v>
      </c>
      <c r="DS93" t="s">
        <v>658</v>
      </c>
      <c r="DT93">
        <v>1.2500000000000001E-2</v>
      </c>
      <c r="DU93">
        <v>1.2500000000000001E-2</v>
      </c>
      <c r="DV93">
        <v>0.32500000000000001</v>
      </c>
      <c r="DW93">
        <v>0.32500000000000001</v>
      </c>
      <c r="DX93">
        <v>0.32500000000000001</v>
      </c>
      <c r="DY93">
        <v>29.08654433743639</v>
      </c>
      <c r="DZ93" s="4">
        <v>3.504</v>
      </c>
      <c r="EA93" s="4" t="s">
        <v>279</v>
      </c>
      <c r="EB93" s="4" t="s">
        <v>280</v>
      </c>
      <c r="EC93">
        <v>4.53</v>
      </c>
      <c r="ED93">
        <v>320</v>
      </c>
      <c r="EE93" t="s">
        <v>648</v>
      </c>
      <c r="EF93">
        <v>0</v>
      </c>
      <c r="EH93">
        <f t="shared" si="3"/>
        <v>0.58000000000000007</v>
      </c>
      <c r="EI93">
        <v>3.38</v>
      </c>
      <c r="EJ93">
        <v>3.65</v>
      </c>
    </row>
    <row r="94" spans="1:140" x14ac:dyDescent="0.35">
      <c r="A94" s="1">
        <v>92</v>
      </c>
      <c r="B94">
        <v>-84.338159769657281</v>
      </c>
      <c r="C94">
        <v>34.653941081806892</v>
      </c>
      <c r="D94" t="s">
        <v>659</v>
      </c>
      <c r="E94">
        <v>0.1</v>
      </c>
      <c r="F94" t="s">
        <v>135</v>
      </c>
      <c r="G94">
        <v>3.7100000000000001E-2</v>
      </c>
      <c r="H94" t="s">
        <v>161</v>
      </c>
      <c r="I94">
        <v>-9388481</v>
      </c>
      <c r="J94">
        <v>4116952</v>
      </c>
      <c r="K94" t="s">
        <v>406</v>
      </c>
      <c r="L94" t="s">
        <v>660</v>
      </c>
      <c r="O94">
        <v>3</v>
      </c>
      <c r="P94">
        <v>5</v>
      </c>
      <c r="Q94">
        <v>13</v>
      </c>
      <c r="R94">
        <v>123</v>
      </c>
      <c r="S94">
        <v>31354</v>
      </c>
      <c r="T94" t="s">
        <v>407</v>
      </c>
      <c r="U94">
        <v>6.0277382645803694</v>
      </c>
      <c r="V94" t="s">
        <v>406</v>
      </c>
      <c r="W94">
        <v>0.114</v>
      </c>
      <c r="X94">
        <v>10</v>
      </c>
      <c r="Y94">
        <v>8.9</v>
      </c>
      <c r="Z94">
        <v>8.9</v>
      </c>
      <c r="AA94">
        <v>20</v>
      </c>
      <c r="AB94">
        <v>26</v>
      </c>
      <c r="AC94">
        <v>0.67200000000000004</v>
      </c>
      <c r="AD94">
        <v>67</v>
      </c>
      <c r="AE94">
        <v>0.10680228862047041</v>
      </c>
      <c r="AF94">
        <v>2.86</v>
      </c>
      <c r="AG94" t="s">
        <v>407</v>
      </c>
      <c r="AH94" t="s">
        <v>406</v>
      </c>
      <c r="AI94">
        <v>28</v>
      </c>
      <c r="AJ94">
        <v>9.3333333333333341E-3</v>
      </c>
      <c r="AK94">
        <v>9.3333333333333339</v>
      </c>
      <c r="AL94" t="s">
        <v>526</v>
      </c>
      <c r="AM94">
        <v>9591.4623679565739</v>
      </c>
      <c r="AN94">
        <v>1.3</v>
      </c>
      <c r="AO94">
        <v>0.09</v>
      </c>
      <c r="AP94">
        <v>0.19</v>
      </c>
      <c r="AQ94">
        <v>1.01</v>
      </c>
      <c r="AR94">
        <v>0.95</v>
      </c>
      <c r="AS94">
        <v>0.04</v>
      </c>
      <c r="AT94">
        <v>0.01</v>
      </c>
      <c r="AU94">
        <v>0.02</v>
      </c>
      <c r="AV94">
        <v>2.2599999999999998</v>
      </c>
      <c r="AW94">
        <v>1.26</v>
      </c>
      <c r="AX94">
        <v>0.21</v>
      </c>
      <c r="AY94">
        <v>0.53</v>
      </c>
      <c r="AZ94">
        <v>0</v>
      </c>
      <c r="BA94">
        <v>1.01</v>
      </c>
      <c r="BB94">
        <v>0.08</v>
      </c>
      <c r="BC94">
        <v>0.17</v>
      </c>
      <c r="BD94">
        <v>0.27</v>
      </c>
      <c r="BE94">
        <v>6.83</v>
      </c>
      <c r="BF94">
        <v>6.14</v>
      </c>
      <c r="BG94">
        <v>0.24</v>
      </c>
      <c r="BH94">
        <v>0.45</v>
      </c>
      <c r="BI94">
        <v>0</v>
      </c>
      <c r="BJ94">
        <v>0.04</v>
      </c>
      <c r="BK94">
        <v>6.1</v>
      </c>
      <c r="BL94">
        <v>0</v>
      </c>
      <c r="BM94">
        <v>1.79</v>
      </c>
      <c r="BN94">
        <v>0.21</v>
      </c>
      <c r="BO94">
        <v>0.46</v>
      </c>
      <c r="BP94">
        <v>1.1200000000000001</v>
      </c>
      <c r="BQ94">
        <v>0.94</v>
      </c>
      <c r="BR94">
        <v>0.06</v>
      </c>
      <c r="BS94">
        <v>0.12</v>
      </c>
      <c r="BT94">
        <v>0</v>
      </c>
      <c r="BU94">
        <v>7.24</v>
      </c>
      <c r="BV94">
        <v>6.18</v>
      </c>
      <c r="BW94">
        <v>0.34</v>
      </c>
      <c r="BX94">
        <v>0.72</v>
      </c>
      <c r="BY94">
        <v>0</v>
      </c>
      <c r="BZ94">
        <v>0.04</v>
      </c>
      <c r="CA94">
        <v>6.14</v>
      </c>
      <c r="CB94">
        <v>0</v>
      </c>
      <c r="CC94">
        <f t="shared" si="2"/>
        <v>2.75</v>
      </c>
      <c r="CD94">
        <v>3.96</v>
      </c>
      <c r="CE94">
        <v>0.34230769230769231</v>
      </c>
      <c r="CF94">
        <v>0.44500000000000001</v>
      </c>
      <c r="CG94">
        <v>0.1492537313432836</v>
      </c>
      <c r="CH94">
        <v>0.23496503496503501</v>
      </c>
      <c r="CI94">
        <v>0</v>
      </c>
      <c r="CJ94">
        <v>1643</v>
      </c>
      <c r="CK94" t="s">
        <v>141</v>
      </c>
      <c r="CL94" t="s">
        <v>661</v>
      </c>
      <c r="CM94" t="s">
        <v>143</v>
      </c>
      <c r="CN94">
        <v>0.48308789441799999</v>
      </c>
      <c r="CO94">
        <v>35.171130011123651</v>
      </c>
      <c r="CP94">
        <v>93</v>
      </c>
      <c r="CQ94" t="s">
        <v>649</v>
      </c>
      <c r="CR94">
        <v>144</v>
      </c>
      <c r="CS94" t="s">
        <v>650</v>
      </c>
      <c r="CT94" t="s">
        <v>651</v>
      </c>
      <c r="CU94" t="s">
        <v>640</v>
      </c>
      <c r="CV94" t="s">
        <v>652</v>
      </c>
      <c r="CW94" t="s">
        <v>653</v>
      </c>
      <c r="CX94" t="s">
        <v>654</v>
      </c>
      <c r="CY94" t="s">
        <v>655</v>
      </c>
      <c r="CZ94" t="s">
        <v>645</v>
      </c>
      <c r="DA94" t="s">
        <v>152</v>
      </c>
      <c r="DB94" t="s">
        <v>178</v>
      </c>
      <c r="DC94" t="s">
        <v>656</v>
      </c>
      <c r="DD94" t="s">
        <v>657</v>
      </c>
      <c r="DE94">
        <v>10350</v>
      </c>
      <c r="DF94">
        <v>-84.596498999999994</v>
      </c>
      <c r="DG94">
        <v>38.291331</v>
      </c>
      <c r="DH94">
        <v>4500</v>
      </c>
      <c r="DI94">
        <v>200</v>
      </c>
      <c r="DL94">
        <v>10</v>
      </c>
      <c r="DM94">
        <v>8</v>
      </c>
      <c r="DN94">
        <v>12</v>
      </c>
      <c r="DO94">
        <v>50</v>
      </c>
      <c r="DP94">
        <v>25</v>
      </c>
      <c r="DQ94">
        <v>100</v>
      </c>
      <c r="DS94" t="s">
        <v>658</v>
      </c>
      <c r="DT94">
        <v>1.2500000000000001E-2</v>
      </c>
      <c r="DU94">
        <v>1.2500000000000001E-2</v>
      </c>
      <c r="DV94">
        <v>0.32500000000000001</v>
      </c>
      <c r="DW94">
        <v>0.32500000000000001</v>
      </c>
      <c r="DX94">
        <v>0.32500000000000001</v>
      </c>
      <c r="DY94">
        <v>61.598530959966162</v>
      </c>
      <c r="DZ94" s="4">
        <v>3.585</v>
      </c>
      <c r="EA94" s="4" t="s">
        <v>415</v>
      </c>
      <c r="EB94" s="4" t="s">
        <v>416</v>
      </c>
      <c r="EC94">
        <v>4.6749999999999998</v>
      </c>
      <c r="ED94">
        <v>829</v>
      </c>
      <c r="EE94" t="s">
        <v>526</v>
      </c>
      <c r="EF94">
        <v>7.1098319781625993E-2</v>
      </c>
      <c r="EH94">
        <f t="shared" si="3"/>
        <v>0.58000000000000007</v>
      </c>
      <c r="EI94">
        <v>3.38</v>
      </c>
      <c r="EJ94">
        <v>3.65</v>
      </c>
    </row>
    <row r="95" spans="1:140" x14ac:dyDescent="0.35">
      <c r="A95" s="1">
        <v>93</v>
      </c>
      <c r="B95">
        <v>-82.541529201418243</v>
      </c>
      <c r="C95">
        <v>34.653941081806892</v>
      </c>
      <c r="D95" t="s">
        <v>662</v>
      </c>
      <c r="E95">
        <v>0.1</v>
      </c>
      <c r="F95" t="s">
        <v>306</v>
      </c>
      <c r="G95">
        <v>3.7400000000000003E-2</v>
      </c>
      <c r="H95" t="s">
        <v>161</v>
      </c>
      <c r="I95">
        <v>-9188481</v>
      </c>
      <c r="J95">
        <v>4116952</v>
      </c>
      <c r="K95" t="s">
        <v>532</v>
      </c>
      <c r="L95" t="s">
        <v>663</v>
      </c>
      <c r="M95">
        <v>4</v>
      </c>
      <c r="N95">
        <v>3.5</v>
      </c>
      <c r="O95">
        <v>3</v>
      </c>
      <c r="P95">
        <v>5</v>
      </c>
      <c r="Q95">
        <v>45</v>
      </c>
      <c r="R95">
        <v>7</v>
      </c>
      <c r="S95">
        <v>203723</v>
      </c>
      <c r="T95" t="s">
        <v>534</v>
      </c>
      <c r="U95">
        <v>6.0384889840335383</v>
      </c>
      <c r="V95" t="s">
        <v>532</v>
      </c>
      <c r="W95">
        <v>0.109</v>
      </c>
      <c r="X95">
        <v>10</v>
      </c>
      <c r="Y95">
        <v>8.9</v>
      </c>
      <c r="Z95">
        <v>8.9</v>
      </c>
      <c r="AA95">
        <v>20</v>
      </c>
      <c r="AB95">
        <v>26</v>
      </c>
      <c r="AC95">
        <v>0.58899999999999997</v>
      </c>
      <c r="AD95">
        <v>67</v>
      </c>
      <c r="AE95">
        <v>9.3610934520025418E-2</v>
      </c>
      <c r="AF95">
        <v>2.86</v>
      </c>
      <c r="AG95" t="s">
        <v>534</v>
      </c>
      <c r="AH95" t="s">
        <v>532</v>
      </c>
      <c r="AI95">
        <v>33</v>
      </c>
      <c r="AJ95">
        <v>1.0999999999999999E-2</v>
      </c>
      <c r="AK95">
        <v>11</v>
      </c>
      <c r="AL95" t="s">
        <v>664</v>
      </c>
      <c r="AM95">
        <v>0</v>
      </c>
      <c r="AN95">
        <v>1.3</v>
      </c>
      <c r="AO95">
        <v>0.09</v>
      </c>
      <c r="AP95">
        <v>0.19</v>
      </c>
      <c r="AQ95">
        <v>1.01</v>
      </c>
      <c r="AR95">
        <v>0.95</v>
      </c>
      <c r="AS95">
        <v>0.04</v>
      </c>
      <c r="AT95">
        <v>0.01</v>
      </c>
      <c r="AU95">
        <v>0.02</v>
      </c>
      <c r="AV95">
        <v>2.2599999999999998</v>
      </c>
      <c r="AW95">
        <v>1.26</v>
      </c>
      <c r="AX95">
        <v>0.21</v>
      </c>
      <c r="AY95">
        <v>0.53</v>
      </c>
      <c r="AZ95">
        <v>0</v>
      </c>
      <c r="BA95">
        <v>1.01</v>
      </c>
      <c r="BB95">
        <v>0.08</v>
      </c>
      <c r="BC95">
        <v>0.17</v>
      </c>
      <c r="BD95">
        <v>0.27</v>
      </c>
      <c r="BE95">
        <v>6.83</v>
      </c>
      <c r="BF95">
        <v>6.14</v>
      </c>
      <c r="BG95">
        <v>0.24</v>
      </c>
      <c r="BH95">
        <v>0.45</v>
      </c>
      <c r="BI95">
        <v>0</v>
      </c>
      <c r="BJ95">
        <v>0.04</v>
      </c>
      <c r="BK95">
        <v>6.1</v>
      </c>
      <c r="BL95">
        <v>0</v>
      </c>
      <c r="BM95">
        <v>1.79</v>
      </c>
      <c r="BN95">
        <v>0.21</v>
      </c>
      <c r="BO95">
        <v>0.46</v>
      </c>
      <c r="BP95">
        <v>1.1200000000000001</v>
      </c>
      <c r="BQ95">
        <v>0.94</v>
      </c>
      <c r="BR95">
        <v>0.06</v>
      </c>
      <c r="BS95">
        <v>0.12</v>
      </c>
      <c r="BT95">
        <v>0</v>
      </c>
      <c r="BU95">
        <v>7.24</v>
      </c>
      <c r="BV95">
        <v>6.18</v>
      </c>
      <c r="BW95">
        <v>0.34</v>
      </c>
      <c r="BX95">
        <v>0.72</v>
      </c>
      <c r="BY95">
        <v>0</v>
      </c>
      <c r="BZ95">
        <v>0.04</v>
      </c>
      <c r="CA95">
        <v>6.14</v>
      </c>
      <c r="CB95">
        <v>0</v>
      </c>
      <c r="CC95">
        <f t="shared" si="2"/>
        <v>2.75</v>
      </c>
      <c r="CD95">
        <v>3.96</v>
      </c>
      <c r="CE95">
        <v>0.34230769230769231</v>
      </c>
      <c r="CF95">
        <v>0.44500000000000001</v>
      </c>
      <c r="CG95">
        <v>0.1492537313432836</v>
      </c>
      <c r="CH95">
        <v>0.2059440559440559</v>
      </c>
      <c r="CI95">
        <v>0</v>
      </c>
      <c r="CJ95">
        <v>28176</v>
      </c>
      <c r="CK95" t="s">
        <v>141</v>
      </c>
      <c r="CL95" t="s">
        <v>187</v>
      </c>
      <c r="CM95" t="s">
        <v>143</v>
      </c>
      <c r="CN95">
        <v>0.89904828525900005</v>
      </c>
      <c r="CO95">
        <v>11.528674506130949</v>
      </c>
      <c r="CP95">
        <v>94</v>
      </c>
      <c r="CQ95" t="s">
        <v>527</v>
      </c>
      <c r="CR95">
        <v>105</v>
      </c>
      <c r="CS95" t="s">
        <v>411</v>
      </c>
      <c r="CT95" t="s">
        <v>215</v>
      </c>
      <c r="CU95" t="s">
        <v>407</v>
      </c>
      <c r="CV95" t="s">
        <v>412</v>
      </c>
      <c r="CW95" t="s">
        <v>175</v>
      </c>
      <c r="CX95" t="s">
        <v>413</v>
      </c>
      <c r="CY95" t="s">
        <v>414</v>
      </c>
      <c r="CZ95" t="s">
        <v>151</v>
      </c>
      <c r="DA95" t="s">
        <v>152</v>
      </c>
      <c r="DB95" t="s">
        <v>178</v>
      </c>
      <c r="DC95" t="s">
        <v>207</v>
      </c>
      <c r="DD95" t="s">
        <v>155</v>
      </c>
      <c r="DE95">
        <v>2855</v>
      </c>
      <c r="DF95">
        <v>-84.459380999999993</v>
      </c>
      <c r="DG95">
        <v>31.008075000000002</v>
      </c>
      <c r="DH95">
        <v>3500</v>
      </c>
      <c r="DI95">
        <v>180</v>
      </c>
      <c r="DL95">
        <v>27</v>
      </c>
      <c r="DM95">
        <v>25</v>
      </c>
      <c r="DN95">
        <v>29</v>
      </c>
      <c r="DO95">
        <v>300</v>
      </c>
      <c r="DS95">
        <v>11</v>
      </c>
      <c r="DT95">
        <v>1.2500000000000001E-2</v>
      </c>
      <c r="DU95">
        <v>1.2500000000000001E-2</v>
      </c>
      <c r="DV95">
        <v>0.32500000000000001</v>
      </c>
      <c r="DW95">
        <v>0.32500000000000001</v>
      </c>
      <c r="DX95">
        <v>0.32500000000000001</v>
      </c>
      <c r="DY95">
        <v>133.81459871908089</v>
      </c>
      <c r="DZ95" s="4">
        <v>3.61</v>
      </c>
      <c r="EA95" s="4" t="s">
        <v>537</v>
      </c>
      <c r="EB95" s="4" t="s">
        <v>538</v>
      </c>
      <c r="EC95">
        <v>4.6849999999999996</v>
      </c>
      <c r="ED95">
        <v>132</v>
      </c>
      <c r="EE95" t="s">
        <v>664</v>
      </c>
      <c r="EF95">
        <v>0</v>
      </c>
      <c r="EH95">
        <f t="shared" si="3"/>
        <v>0.58000000000000007</v>
      </c>
      <c r="EI95">
        <v>3.38</v>
      </c>
      <c r="EJ95">
        <v>3.65</v>
      </c>
    </row>
    <row r="96" spans="1:140" x14ac:dyDescent="0.35">
      <c r="A96" s="1">
        <v>94</v>
      </c>
      <c r="B96">
        <v>-80.74489863317919</v>
      </c>
      <c r="C96">
        <v>34.653941081806892</v>
      </c>
      <c r="D96" t="s">
        <v>665</v>
      </c>
      <c r="E96">
        <v>0.1</v>
      </c>
      <c r="F96" t="s">
        <v>135</v>
      </c>
      <c r="G96">
        <v>3.7400000000000003E-2</v>
      </c>
      <c r="H96" t="s">
        <v>161</v>
      </c>
      <c r="I96">
        <v>-8988481</v>
      </c>
      <c r="J96">
        <v>4116952</v>
      </c>
      <c r="K96" t="s">
        <v>532</v>
      </c>
      <c r="L96" t="s">
        <v>666</v>
      </c>
      <c r="M96">
        <v>29</v>
      </c>
      <c r="N96">
        <v>3.4910000000000001</v>
      </c>
      <c r="O96">
        <v>3</v>
      </c>
      <c r="P96">
        <v>5</v>
      </c>
      <c r="Q96">
        <v>45</v>
      </c>
      <c r="R96">
        <v>57</v>
      </c>
      <c r="S96">
        <v>96010</v>
      </c>
      <c r="T96" t="s">
        <v>534</v>
      </c>
      <c r="U96">
        <v>6.0384889840335383</v>
      </c>
      <c r="V96" t="s">
        <v>532</v>
      </c>
      <c r="W96">
        <v>0.109</v>
      </c>
      <c r="X96">
        <v>10</v>
      </c>
      <c r="Y96">
        <v>8.9</v>
      </c>
      <c r="Z96">
        <v>8.9</v>
      </c>
      <c r="AA96">
        <v>20</v>
      </c>
      <c r="AB96">
        <v>26</v>
      </c>
      <c r="AC96">
        <v>0.58899999999999997</v>
      </c>
      <c r="AD96">
        <v>67</v>
      </c>
      <c r="AE96">
        <v>9.3610934520025418E-2</v>
      </c>
      <c r="AF96">
        <v>2.86</v>
      </c>
      <c r="AG96" t="s">
        <v>534</v>
      </c>
      <c r="AH96" t="s">
        <v>532</v>
      </c>
      <c r="AI96">
        <v>33</v>
      </c>
      <c r="AJ96">
        <v>1.0999999999999999E-2</v>
      </c>
      <c r="AK96">
        <v>11</v>
      </c>
      <c r="AL96" t="s">
        <v>667</v>
      </c>
      <c r="AM96">
        <v>0</v>
      </c>
      <c r="AN96">
        <v>1.3</v>
      </c>
      <c r="AO96">
        <v>0.09</v>
      </c>
      <c r="AP96">
        <v>0.19</v>
      </c>
      <c r="AQ96">
        <v>1.01</v>
      </c>
      <c r="AR96">
        <v>0.95</v>
      </c>
      <c r="AS96">
        <v>0.04</v>
      </c>
      <c r="AT96">
        <v>0.01</v>
      </c>
      <c r="AU96">
        <v>0.02</v>
      </c>
      <c r="AV96">
        <v>2.2599999999999998</v>
      </c>
      <c r="AW96">
        <v>1.26</v>
      </c>
      <c r="AX96">
        <v>0.21</v>
      </c>
      <c r="AY96">
        <v>0.53</v>
      </c>
      <c r="AZ96">
        <v>0</v>
      </c>
      <c r="BA96">
        <v>1.01</v>
      </c>
      <c r="BB96">
        <v>0.08</v>
      </c>
      <c r="BC96">
        <v>0.17</v>
      </c>
      <c r="BD96">
        <v>0.27</v>
      </c>
      <c r="BE96">
        <v>6.83</v>
      </c>
      <c r="BF96">
        <v>6.14</v>
      </c>
      <c r="BG96">
        <v>0.24</v>
      </c>
      <c r="BH96">
        <v>0.45</v>
      </c>
      <c r="BI96">
        <v>0</v>
      </c>
      <c r="BJ96">
        <v>0.04</v>
      </c>
      <c r="BK96">
        <v>6.1</v>
      </c>
      <c r="BL96">
        <v>0</v>
      </c>
      <c r="BM96">
        <v>1.79</v>
      </c>
      <c r="BN96">
        <v>0.21</v>
      </c>
      <c r="BO96">
        <v>0.46</v>
      </c>
      <c r="BP96">
        <v>1.1200000000000001</v>
      </c>
      <c r="BQ96">
        <v>0.94</v>
      </c>
      <c r="BR96">
        <v>0.06</v>
      </c>
      <c r="BS96">
        <v>0.12</v>
      </c>
      <c r="BT96">
        <v>0</v>
      </c>
      <c r="BU96">
        <v>7.24</v>
      </c>
      <c r="BV96">
        <v>6.18</v>
      </c>
      <c r="BW96">
        <v>0.34</v>
      </c>
      <c r="BX96">
        <v>0.72</v>
      </c>
      <c r="BY96">
        <v>0</v>
      </c>
      <c r="BZ96">
        <v>0.04</v>
      </c>
      <c r="CA96">
        <v>6.14</v>
      </c>
      <c r="CB96">
        <v>0</v>
      </c>
      <c r="CC96">
        <f t="shared" si="2"/>
        <v>2.75</v>
      </c>
      <c r="CD96">
        <v>3.96</v>
      </c>
      <c r="CE96">
        <v>0.34230769230769231</v>
      </c>
      <c r="CF96">
        <v>0.44500000000000001</v>
      </c>
      <c r="CG96">
        <v>0.1492537313432836</v>
      </c>
      <c r="CH96">
        <v>0.2059440559440559</v>
      </c>
      <c r="CI96">
        <v>0</v>
      </c>
      <c r="CJ96">
        <v>31446</v>
      </c>
      <c r="CK96" t="s">
        <v>141</v>
      </c>
      <c r="CL96" t="s">
        <v>424</v>
      </c>
      <c r="CM96" t="s">
        <v>143</v>
      </c>
      <c r="CN96">
        <v>0.16052038255600001</v>
      </c>
      <c r="CO96">
        <v>6.8966283273284192</v>
      </c>
      <c r="CP96">
        <v>95</v>
      </c>
      <c r="CQ96" t="s">
        <v>668</v>
      </c>
      <c r="CR96">
        <v>105</v>
      </c>
      <c r="CS96" t="s">
        <v>411</v>
      </c>
      <c r="CT96" t="s">
        <v>215</v>
      </c>
      <c r="CU96" t="s">
        <v>407</v>
      </c>
      <c r="CV96" t="s">
        <v>412</v>
      </c>
      <c r="CW96" t="s">
        <v>175</v>
      </c>
      <c r="CX96" t="s">
        <v>413</v>
      </c>
      <c r="CY96" t="s">
        <v>414</v>
      </c>
      <c r="CZ96" t="s">
        <v>151</v>
      </c>
      <c r="DA96" t="s">
        <v>152</v>
      </c>
      <c r="DB96" t="s">
        <v>178</v>
      </c>
      <c r="DC96" t="s">
        <v>207</v>
      </c>
      <c r="DD96" t="s">
        <v>155</v>
      </c>
      <c r="DE96">
        <v>2855</v>
      </c>
      <c r="DF96">
        <v>-84.459380999999993</v>
      </c>
      <c r="DG96">
        <v>31.008075000000002</v>
      </c>
      <c r="DH96">
        <v>3500</v>
      </c>
      <c r="DI96">
        <v>180</v>
      </c>
      <c r="DL96">
        <v>27</v>
      </c>
      <c r="DM96">
        <v>25</v>
      </c>
      <c r="DN96">
        <v>29</v>
      </c>
      <c r="DO96">
        <v>300</v>
      </c>
      <c r="DS96">
        <v>11</v>
      </c>
      <c r="DT96">
        <v>1.2500000000000001E-2</v>
      </c>
      <c r="DU96">
        <v>1.2500000000000001E-2</v>
      </c>
      <c r="DV96">
        <v>0.32500000000000001</v>
      </c>
      <c r="DW96">
        <v>0.32500000000000001</v>
      </c>
      <c r="DX96">
        <v>0.32500000000000001</v>
      </c>
      <c r="DY96">
        <v>66.270770746598728</v>
      </c>
      <c r="DZ96" s="4">
        <v>3.61</v>
      </c>
      <c r="EA96" s="4" t="s">
        <v>537</v>
      </c>
      <c r="EB96" s="4" t="s">
        <v>538</v>
      </c>
      <c r="EC96">
        <v>4.6849999999999996</v>
      </c>
      <c r="ED96">
        <v>40</v>
      </c>
      <c r="EE96" t="s">
        <v>667</v>
      </c>
      <c r="EF96">
        <v>0</v>
      </c>
      <c r="EH96">
        <f t="shared" si="3"/>
        <v>0.58000000000000007</v>
      </c>
      <c r="EI96">
        <v>3.38</v>
      </c>
      <c r="EJ96">
        <v>3.65</v>
      </c>
    </row>
    <row r="97" spans="1:140" x14ac:dyDescent="0.35">
      <c r="A97" s="1">
        <v>95</v>
      </c>
      <c r="B97">
        <v>-78.948268064940152</v>
      </c>
      <c r="C97">
        <v>34.653941081806892</v>
      </c>
      <c r="D97" t="s">
        <v>669</v>
      </c>
      <c r="E97">
        <v>0.1</v>
      </c>
      <c r="F97" t="s">
        <v>135</v>
      </c>
      <c r="G97">
        <v>3.7400000000000003E-2</v>
      </c>
      <c r="H97" t="s">
        <v>161</v>
      </c>
      <c r="I97">
        <v>-8788481</v>
      </c>
      <c r="J97">
        <v>4116952</v>
      </c>
      <c r="K97" t="s">
        <v>670</v>
      </c>
      <c r="L97" t="s">
        <v>671</v>
      </c>
      <c r="M97">
        <v>78</v>
      </c>
      <c r="N97">
        <v>3.4990000000000001</v>
      </c>
      <c r="O97">
        <v>3</v>
      </c>
      <c r="P97">
        <v>5</v>
      </c>
      <c r="Q97">
        <v>37</v>
      </c>
      <c r="R97">
        <v>155</v>
      </c>
      <c r="S97">
        <v>116516</v>
      </c>
      <c r="T97" t="s">
        <v>672</v>
      </c>
      <c r="U97">
        <v>7.081113256113257</v>
      </c>
      <c r="V97" t="s">
        <v>670</v>
      </c>
      <c r="W97">
        <v>0.11650000000000001</v>
      </c>
      <c r="X97">
        <v>10</v>
      </c>
      <c r="Y97">
        <v>8.9</v>
      </c>
      <c r="Z97">
        <v>8.9</v>
      </c>
      <c r="AA97">
        <v>20</v>
      </c>
      <c r="AB97">
        <v>26</v>
      </c>
      <c r="AC97">
        <v>0.67</v>
      </c>
      <c r="AD97">
        <v>67</v>
      </c>
      <c r="AE97">
        <v>0.1064844246662429</v>
      </c>
      <c r="AF97">
        <v>2.86</v>
      </c>
      <c r="AG97" t="s">
        <v>672</v>
      </c>
      <c r="AH97" t="s">
        <v>670</v>
      </c>
      <c r="AI97">
        <v>20</v>
      </c>
      <c r="AJ97">
        <v>6.6666666666666671E-3</v>
      </c>
      <c r="AK97">
        <v>6.666666666666667</v>
      </c>
      <c r="AL97" t="s">
        <v>673</v>
      </c>
      <c r="AM97">
        <v>0</v>
      </c>
      <c r="AN97">
        <v>1.47</v>
      </c>
      <c r="AO97">
        <v>0.09</v>
      </c>
      <c r="AP97">
        <v>0.19</v>
      </c>
      <c r="AQ97">
        <v>1.18</v>
      </c>
      <c r="AR97">
        <v>1.1200000000000001</v>
      </c>
      <c r="AS97">
        <v>0.04</v>
      </c>
      <c r="AT97">
        <v>0.02</v>
      </c>
      <c r="AU97">
        <v>0.02</v>
      </c>
      <c r="AV97">
        <v>2.4500000000000002</v>
      </c>
      <c r="AW97">
        <v>1.45</v>
      </c>
      <c r="AX97">
        <v>0.21</v>
      </c>
      <c r="AY97">
        <v>0.53</v>
      </c>
      <c r="AZ97">
        <v>0</v>
      </c>
      <c r="BA97">
        <v>1.19</v>
      </c>
      <c r="BB97">
        <v>0.08</v>
      </c>
      <c r="BC97">
        <v>0.18</v>
      </c>
      <c r="BD97">
        <v>0.27</v>
      </c>
      <c r="BE97">
        <v>7.39</v>
      </c>
      <c r="BF97">
        <v>6.7</v>
      </c>
      <c r="BG97">
        <v>0.24</v>
      </c>
      <c r="BH97">
        <v>0.45</v>
      </c>
      <c r="BI97">
        <v>0</v>
      </c>
      <c r="BJ97">
        <v>0.04</v>
      </c>
      <c r="BK97">
        <v>6.66</v>
      </c>
      <c r="BL97">
        <v>0</v>
      </c>
      <c r="BM97">
        <v>1.97</v>
      </c>
      <c r="BN97">
        <v>0.21</v>
      </c>
      <c r="BO97">
        <v>0.46</v>
      </c>
      <c r="BP97">
        <v>1.3</v>
      </c>
      <c r="BQ97">
        <v>1.1000000000000001</v>
      </c>
      <c r="BR97">
        <v>0.06</v>
      </c>
      <c r="BS97">
        <v>0.13</v>
      </c>
      <c r="BT97">
        <v>0</v>
      </c>
      <c r="BU97">
        <v>7.79</v>
      </c>
      <c r="BV97">
        <v>6.73</v>
      </c>
      <c r="BW97">
        <v>0.34</v>
      </c>
      <c r="BX97">
        <v>0.72</v>
      </c>
      <c r="BY97">
        <v>0</v>
      </c>
      <c r="BZ97">
        <v>0.04</v>
      </c>
      <c r="CA97">
        <v>6.7</v>
      </c>
      <c r="CB97">
        <v>0</v>
      </c>
      <c r="CC97">
        <f t="shared" si="2"/>
        <v>2.75</v>
      </c>
      <c r="CD97">
        <v>3.96</v>
      </c>
      <c r="CE97">
        <v>0.34230769230769231</v>
      </c>
      <c r="CF97">
        <v>0.44500000000000001</v>
      </c>
      <c r="CG97">
        <v>0.1492537313432836</v>
      </c>
      <c r="CH97">
        <v>0.2342657342657343</v>
      </c>
      <c r="CI97">
        <v>0</v>
      </c>
      <c r="CJ97">
        <v>31492</v>
      </c>
      <c r="CK97" t="s">
        <v>141</v>
      </c>
      <c r="CL97" t="s">
        <v>424</v>
      </c>
      <c r="CM97" t="s">
        <v>143</v>
      </c>
      <c r="CN97">
        <v>0.154061453505</v>
      </c>
      <c r="CO97">
        <v>32.882573958506413</v>
      </c>
      <c r="CP97">
        <v>96</v>
      </c>
      <c r="CQ97" t="s">
        <v>668</v>
      </c>
      <c r="CR97">
        <v>105</v>
      </c>
      <c r="CS97" t="s">
        <v>411</v>
      </c>
      <c r="CT97" t="s">
        <v>215</v>
      </c>
      <c r="CU97" t="s">
        <v>407</v>
      </c>
      <c r="CV97" t="s">
        <v>412</v>
      </c>
      <c r="CW97" t="s">
        <v>175</v>
      </c>
      <c r="CX97" t="s">
        <v>413</v>
      </c>
      <c r="CY97" t="s">
        <v>414</v>
      </c>
      <c r="CZ97" t="s">
        <v>151</v>
      </c>
      <c r="DA97" t="s">
        <v>152</v>
      </c>
      <c r="DB97" t="s">
        <v>178</v>
      </c>
      <c r="DC97" t="s">
        <v>207</v>
      </c>
      <c r="DD97" t="s">
        <v>155</v>
      </c>
      <c r="DE97">
        <v>2855</v>
      </c>
      <c r="DF97">
        <v>-84.459380999999993</v>
      </c>
      <c r="DG97">
        <v>31.008075000000002</v>
      </c>
      <c r="DH97">
        <v>3500</v>
      </c>
      <c r="DI97">
        <v>180</v>
      </c>
      <c r="DL97">
        <v>27</v>
      </c>
      <c r="DM97">
        <v>25</v>
      </c>
      <c r="DN97">
        <v>29</v>
      </c>
      <c r="DO97">
        <v>300</v>
      </c>
      <c r="DS97">
        <v>11</v>
      </c>
      <c r="DT97">
        <v>1.2500000000000001E-2</v>
      </c>
      <c r="DU97">
        <v>1.2500000000000001E-2</v>
      </c>
      <c r="DV97">
        <v>0.32500000000000001</v>
      </c>
      <c r="DW97">
        <v>0.32500000000000001</v>
      </c>
      <c r="DX97">
        <v>0.32500000000000001</v>
      </c>
      <c r="DY97">
        <v>65.552850844745649</v>
      </c>
      <c r="DZ97" s="4">
        <v>3.6080000000000001</v>
      </c>
      <c r="EA97" s="4" t="s">
        <v>674</v>
      </c>
      <c r="EB97" s="4" t="s">
        <v>675</v>
      </c>
      <c r="EC97">
        <v>4.7039999999999997</v>
      </c>
      <c r="ED97">
        <v>285</v>
      </c>
      <c r="EE97" t="s">
        <v>673</v>
      </c>
      <c r="EF97">
        <v>0</v>
      </c>
      <c r="EH97">
        <f t="shared" si="3"/>
        <v>0.58000000000000007</v>
      </c>
      <c r="EI97">
        <v>3.38</v>
      </c>
      <c r="EJ97">
        <v>3.65</v>
      </c>
    </row>
    <row r="98" spans="1:140" x14ac:dyDescent="0.35">
      <c r="A98" s="1">
        <v>96</v>
      </c>
      <c r="B98">
        <v>-77.151637496701113</v>
      </c>
      <c r="C98">
        <v>34.653941081806892</v>
      </c>
      <c r="D98" t="s">
        <v>676</v>
      </c>
      <c r="E98">
        <v>0.1</v>
      </c>
      <c r="F98" t="s">
        <v>135</v>
      </c>
      <c r="G98">
        <v>9.7899999999999987E-2</v>
      </c>
      <c r="H98" t="s">
        <v>136</v>
      </c>
      <c r="I98">
        <v>-8588481</v>
      </c>
      <c r="J98">
        <v>4116952</v>
      </c>
      <c r="K98" t="s">
        <v>670</v>
      </c>
      <c r="L98" t="s">
        <v>677</v>
      </c>
      <c r="M98">
        <v>67</v>
      </c>
      <c r="N98">
        <v>3.5819999999999999</v>
      </c>
      <c r="O98">
        <v>3</v>
      </c>
      <c r="P98">
        <v>5</v>
      </c>
      <c r="Q98">
        <v>37</v>
      </c>
      <c r="R98">
        <v>133</v>
      </c>
      <c r="S98">
        <v>204585</v>
      </c>
      <c r="T98" t="s">
        <v>672</v>
      </c>
      <c r="U98">
        <v>7.081113256113257</v>
      </c>
      <c r="V98" t="s">
        <v>670</v>
      </c>
      <c r="W98">
        <v>0.11650000000000001</v>
      </c>
      <c r="X98">
        <v>10</v>
      </c>
      <c r="Y98">
        <v>8.9</v>
      </c>
      <c r="Z98">
        <v>8.9</v>
      </c>
      <c r="AA98">
        <v>20</v>
      </c>
      <c r="AB98">
        <v>26</v>
      </c>
      <c r="AC98">
        <v>0.67</v>
      </c>
      <c r="AD98">
        <v>67</v>
      </c>
      <c r="AE98">
        <v>0.1064844246662429</v>
      </c>
      <c r="AF98">
        <v>2.86</v>
      </c>
      <c r="AG98" t="s">
        <v>672</v>
      </c>
      <c r="AH98" t="s">
        <v>670</v>
      </c>
      <c r="AI98">
        <v>20</v>
      </c>
      <c r="AJ98">
        <v>6.6666666666666671E-3</v>
      </c>
      <c r="AK98">
        <v>6.666666666666667</v>
      </c>
      <c r="AL98" t="s">
        <v>678</v>
      </c>
      <c r="AM98">
        <v>862.80303738518626</v>
      </c>
      <c r="AN98">
        <v>1.47</v>
      </c>
      <c r="AO98">
        <v>0.09</v>
      </c>
      <c r="AP98">
        <v>0.19</v>
      </c>
      <c r="AQ98">
        <v>1.18</v>
      </c>
      <c r="AR98">
        <v>1.1200000000000001</v>
      </c>
      <c r="AS98">
        <v>0.04</v>
      </c>
      <c r="AT98">
        <v>0.02</v>
      </c>
      <c r="AU98">
        <v>0.02</v>
      </c>
      <c r="AV98">
        <v>2.4500000000000002</v>
      </c>
      <c r="AW98">
        <v>1.45</v>
      </c>
      <c r="AX98">
        <v>0.21</v>
      </c>
      <c r="AY98">
        <v>0.53</v>
      </c>
      <c r="AZ98">
        <v>0</v>
      </c>
      <c r="BA98">
        <v>1.19</v>
      </c>
      <c r="BB98">
        <v>0.08</v>
      </c>
      <c r="BC98">
        <v>0.18</v>
      </c>
      <c r="BD98">
        <v>0.27</v>
      </c>
      <c r="BE98">
        <v>7.39</v>
      </c>
      <c r="BF98">
        <v>6.7</v>
      </c>
      <c r="BG98">
        <v>0.24</v>
      </c>
      <c r="BH98">
        <v>0.45</v>
      </c>
      <c r="BI98">
        <v>0</v>
      </c>
      <c r="BJ98">
        <v>0.04</v>
      </c>
      <c r="BK98">
        <v>6.66</v>
      </c>
      <c r="BL98">
        <v>0</v>
      </c>
      <c r="BM98">
        <v>1.97</v>
      </c>
      <c r="BN98">
        <v>0.21</v>
      </c>
      <c r="BO98">
        <v>0.46</v>
      </c>
      <c r="BP98">
        <v>1.3</v>
      </c>
      <c r="BQ98">
        <v>1.1000000000000001</v>
      </c>
      <c r="BR98">
        <v>0.06</v>
      </c>
      <c r="BS98">
        <v>0.13</v>
      </c>
      <c r="BT98">
        <v>0</v>
      </c>
      <c r="BU98">
        <v>7.79</v>
      </c>
      <c r="BV98">
        <v>6.73</v>
      </c>
      <c r="BW98">
        <v>0.34</v>
      </c>
      <c r="BX98">
        <v>0.72</v>
      </c>
      <c r="BY98">
        <v>0</v>
      </c>
      <c r="BZ98">
        <v>0.04</v>
      </c>
      <c r="CA98">
        <v>6.7</v>
      </c>
      <c r="CB98">
        <v>0</v>
      </c>
      <c r="CC98">
        <f t="shared" si="2"/>
        <v>2.75</v>
      </c>
      <c r="CD98">
        <v>3.96</v>
      </c>
      <c r="CE98">
        <v>0.34230769230769231</v>
      </c>
      <c r="CF98">
        <v>0.44500000000000001</v>
      </c>
      <c r="CG98">
        <v>0.1492537313432836</v>
      </c>
      <c r="CH98">
        <v>0.2342657342657343</v>
      </c>
      <c r="CI98">
        <v>0</v>
      </c>
      <c r="CJ98">
        <v>20349</v>
      </c>
      <c r="CK98" t="s">
        <v>169</v>
      </c>
      <c r="CL98" t="s">
        <v>679</v>
      </c>
      <c r="CM98" t="s">
        <v>143</v>
      </c>
      <c r="CN98">
        <v>0.18002643717</v>
      </c>
      <c r="CO98">
        <v>135.84704786961859</v>
      </c>
      <c r="CP98">
        <v>97</v>
      </c>
      <c r="CQ98" t="s">
        <v>680</v>
      </c>
      <c r="CR98">
        <v>218</v>
      </c>
      <c r="CS98" t="s">
        <v>681</v>
      </c>
      <c r="CT98" t="s">
        <v>682</v>
      </c>
      <c r="CU98" t="s">
        <v>683</v>
      </c>
      <c r="CV98" t="s">
        <v>683</v>
      </c>
      <c r="CW98" t="s">
        <v>684</v>
      </c>
      <c r="CX98" t="s">
        <v>685</v>
      </c>
      <c r="CY98" t="s">
        <v>685</v>
      </c>
      <c r="CZ98" t="s">
        <v>686</v>
      </c>
      <c r="DA98" t="s">
        <v>152</v>
      </c>
      <c r="DB98" t="s">
        <v>178</v>
      </c>
      <c r="DC98" t="s">
        <v>365</v>
      </c>
      <c r="DD98" t="s">
        <v>155</v>
      </c>
      <c r="DE98">
        <v>904</v>
      </c>
      <c r="DF98">
        <v>-75.353050999999994</v>
      </c>
      <c r="DG98">
        <v>38.439326999999999</v>
      </c>
      <c r="DH98">
        <v>4500</v>
      </c>
      <c r="DI98">
        <v>800</v>
      </c>
      <c r="DL98">
        <v>10</v>
      </c>
      <c r="DM98">
        <v>9</v>
      </c>
      <c r="DN98">
        <v>27</v>
      </c>
      <c r="DO98">
        <v>80</v>
      </c>
      <c r="DP98">
        <v>16</v>
      </c>
      <c r="DQ98">
        <v>122</v>
      </c>
      <c r="DR98">
        <v>70000</v>
      </c>
      <c r="DS98" t="s">
        <v>687</v>
      </c>
      <c r="DT98">
        <v>1.2500000000000001E-2</v>
      </c>
      <c r="DU98">
        <v>1.2500000000000001E-2</v>
      </c>
      <c r="DV98">
        <v>0.32500000000000001</v>
      </c>
      <c r="DW98">
        <v>0.32500000000000001</v>
      </c>
      <c r="DX98">
        <v>0.32500000000000001</v>
      </c>
      <c r="DY98">
        <v>14.363788336312201</v>
      </c>
      <c r="DZ98" s="4">
        <v>3.6080000000000001</v>
      </c>
      <c r="EA98" s="4" t="s">
        <v>674</v>
      </c>
      <c r="EB98" s="4" t="s">
        <v>675</v>
      </c>
      <c r="EC98">
        <v>4.7039999999999997</v>
      </c>
      <c r="ED98">
        <v>326</v>
      </c>
      <c r="EE98" t="s">
        <v>678</v>
      </c>
      <c r="EF98">
        <v>6.9095945227241936E-3</v>
      </c>
      <c r="EH98">
        <f t="shared" si="3"/>
        <v>0.58000000000000007</v>
      </c>
      <c r="EI98">
        <v>3.38</v>
      </c>
      <c r="EJ98">
        <v>3.65</v>
      </c>
    </row>
    <row r="99" spans="1:140" x14ac:dyDescent="0.35">
      <c r="A99" s="1">
        <v>97</v>
      </c>
      <c r="B99">
        <v>-75.355006928462075</v>
      </c>
      <c r="C99">
        <v>34.653941081806892</v>
      </c>
      <c r="D99" t="s">
        <v>688</v>
      </c>
      <c r="E99">
        <v>0.1</v>
      </c>
      <c r="F99" t="s">
        <v>135</v>
      </c>
      <c r="G99">
        <v>5.7500000000000002E-2</v>
      </c>
      <c r="H99" t="s">
        <v>136</v>
      </c>
      <c r="I99">
        <v>-8388481</v>
      </c>
      <c r="J99">
        <v>4116952</v>
      </c>
      <c r="K99" t="s">
        <v>670</v>
      </c>
      <c r="L99" t="s">
        <v>689</v>
      </c>
      <c r="M99">
        <v>28</v>
      </c>
      <c r="N99">
        <v>3.6680000000000001</v>
      </c>
      <c r="O99">
        <v>3</v>
      </c>
      <c r="P99">
        <v>5</v>
      </c>
      <c r="Q99">
        <v>37</v>
      </c>
      <c r="R99">
        <v>55</v>
      </c>
      <c r="S99">
        <v>36910</v>
      </c>
      <c r="T99" t="s">
        <v>672</v>
      </c>
      <c r="U99">
        <v>7.081113256113257</v>
      </c>
      <c r="V99" t="s">
        <v>670</v>
      </c>
      <c r="W99">
        <v>0.11650000000000001</v>
      </c>
      <c r="X99">
        <v>10</v>
      </c>
      <c r="Y99">
        <v>8.9</v>
      </c>
      <c r="Z99">
        <v>8.9</v>
      </c>
      <c r="AA99">
        <v>20</v>
      </c>
      <c r="AB99">
        <v>26</v>
      </c>
      <c r="AC99">
        <v>0.67</v>
      </c>
      <c r="AD99">
        <v>67</v>
      </c>
      <c r="AE99">
        <v>0.1064844246662429</v>
      </c>
      <c r="AF99">
        <v>2.86</v>
      </c>
      <c r="AG99" t="s">
        <v>672</v>
      </c>
      <c r="AH99" t="s">
        <v>670</v>
      </c>
      <c r="AI99">
        <v>20</v>
      </c>
      <c r="AJ99">
        <v>6.6666666666666671E-3</v>
      </c>
      <c r="AK99">
        <v>6.666666666666667</v>
      </c>
      <c r="AL99" t="s">
        <v>690</v>
      </c>
      <c r="AM99">
        <v>79362.913728787506</v>
      </c>
      <c r="AN99">
        <v>1.47</v>
      </c>
      <c r="AO99">
        <v>0.09</v>
      </c>
      <c r="AP99">
        <v>0.19</v>
      </c>
      <c r="AQ99">
        <v>1.18</v>
      </c>
      <c r="AR99">
        <v>1.1200000000000001</v>
      </c>
      <c r="AS99">
        <v>0.04</v>
      </c>
      <c r="AT99">
        <v>0.02</v>
      </c>
      <c r="AU99">
        <v>0.02</v>
      </c>
      <c r="AV99">
        <v>2.4500000000000002</v>
      </c>
      <c r="AW99">
        <v>1.45</v>
      </c>
      <c r="AX99">
        <v>0.21</v>
      </c>
      <c r="AY99">
        <v>0.53</v>
      </c>
      <c r="AZ99">
        <v>0</v>
      </c>
      <c r="BA99">
        <v>1.19</v>
      </c>
      <c r="BB99">
        <v>0.08</v>
      </c>
      <c r="BC99">
        <v>0.18</v>
      </c>
      <c r="BD99">
        <v>0.27</v>
      </c>
      <c r="BE99">
        <v>7.39</v>
      </c>
      <c r="BF99">
        <v>6.7</v>
      </c>
      <c r="BG99">
        <v>0.24</v>
      </c>
      <c r="BH99">
        <v>0.45</v>
      </c>
      <c r="BI99">
        <v>0</v>
      </c>
      <c r="BJ99">
        <v>0.04</v>
      </c>
      <c r="BK99">
        <v>6.66</v>
      </c>
      <c r="BL99">
        <v>0</v>
      </c>
      <c r="BM99">
        <v>1.97</v>
      </c>
      <c r="BN99">
        <v>0.21</v>
      </c>
      <c r="BO99">
        <v>0.46</v>
      </c>
      <c r="BP99">
        <v>1.3</v>
      </c>
      <c r="BQ99">
        <v>1.1000000000000001</v>
      </c>
      <c r="BR99">
        <v>0.06</v>
      </c>
      <c r="BS99">
        <v>0.13</v>
      </c>
      <c r="BT99">
        <v>0</v>
      </c>
      <c r="BU99">
        <v>7.79</v>
      </c>
      <c r="BV99">
        <v>6.73</v>
      </c>
      <c r="BW99">
        <v>0.34</v>
      </c>
      <c r="BX99">
        <v>0.72</v>
      </c>
      <c r="BY99">
        <v>0</v>
      </c>
      <c r="BZ99">
        <v>0.04</v>
      </c>
      <c r="CA99">
        <v>6.7</v>
      </c>
      <c r="CB99">
        <v>0</v>
      </c>
      <c r="CC99">
        <f t="shared" si="2"/>
        <v>2.75</v>
      </c>
      <c r="CD99">
        <v>3.96</v>
      </c>
      <c r="CE99">
        <v>0.34230769230769231</v>
      </c>
      <c r="CF99">
        <v>0.44500000000000001</v>
      </c>
      <c r="CG99">
        <v>0.1492537313432836</v>
      </c>
      <c r="CH99">
        <v>0.2342657342657343</v>
      </c>
      <c r="CI99">
        <v>0</v>
      </c>
      <c r="CJ99">
        <v>28084</v>
      </c>
      <c r="CK99" t="s">
        <v>141</v>
      </c>
      <c r="CL99" t="s">
        <v>187</v>
      </c>
      <c r="CM99" t="s">
        <v>143</v>
      </c>
      <c r="CN99">
        <v>0.132818743032</v>
      </c>
      <c r="CO99">
        <v>180.77227907765521</v>
      </c>
      <c r="CP99">
        <v>98</v>
      </c>
      <c r="CQ99" t="s">
        <v>691</v>
      </c>
      <c r="CR99">
        <v>21</v>
      </c>
      <c r="CS99" t="s">
        <v>692</v>
      </c>
      <c r="CT99" t="s">
        <v>146</v>
      </c>
      <c r="CU99" t="s">
        <v>139</v>
      </c>
      <c r="CV99" t="s">
        <v>693</v>
      </c>
      <c r="CW99" t="s">
        <v>148</v>
      </c>
      <c r="CX99" t="s">
        <v>149</v>
      </c>
      <c r="CY99" t="s">
        <v>150</v>
      </c>
      <c r="CZ99" t="s">
        <v>151</v>
      </c>
      <c r="DA99" t="s">
        <v>152</v>
      </c>
      <c r="DB99" t="s">
        <v>153</v>
      </c>
      <c r="DC99" t="s">
        <v>154</v>
      </c>
      <c r="DD99" t="s">
        <v>155</v>
      </c>
      <c r="DE99">
        <v>5666</v>
      </c>
      <c r="DF99">
        <v>-81.232484999999997</v>
      </c>
      <c r="DG99">
        <v>27.839607000000001</v>
      </c>
      <c r="DH99">
        <v>3550</v>
      </c>
      <c r="DI99">
        <v>300</v>
      </c>
      <c r="DK99">
        <v>100.5</v>
      </c>
      <c r="DL99">
        <v>25</v>
      </c>
      <c r="DM99">
        <v>24</v>
      </c>
      <c r="DN99">
        <v>26</v>
      </c>
      <c r="DO99">
        <v>25</v>
      </c>
      <c r="DP99">
        <v>5</v>
      </c>
      <c r="DQ99">
        <v>28</v>
      </c>
      <c r="DS99" t="s">
        <v>156</v>
      </c>
      <c r="DT99">
        <v>1.2500000000000001E-2</v>
      </c>
      <c r="DU99">
        <v>1.2500000000000001E-2</v>
      </c>
      <c r="DV99">
        <v>0.32500000000000001</v>
      </c>
      <c r="DW99">
        <v>0.32500000000000001</v>
      </c>
      <c r="DX99">
        <v>0.32500000000000001</v>
      </c>
      <c r="DY99">
        <v>9.0601335122866171</v>
      </c>
      <c r="DZ99" s="4">
        <v>3.6080000000000001</v>
      </c>
      <c r="EA99" s="4" t="s">
        <v>674</v>
      </c>
      <c r="EB99" s="4" t="s">
        <v>675</v>
      </c>
      <c r="EC99">
        <v>4.7039999999999997</v>
      </c>
      <c r="ED99">
        <v>16</v>
      </c>
      <c r="EE99" t="s">
        <v>690</v>
      </c>
      <c r="EF99">
        <v>0.59277287758883268</v>
      </c>
      <c r="EH99">
        <f t="shared" si="3"/>
        <v>0.58000000000000007</v>
      </c>
      <c r="EI99">
        <v>3.38</v>
      </c>
      <c r="EJ99">
        <v>3.65</v>
      </c>
    </row>
    <row r="100" spans="1:140" x14ac:dyDescent="0.35">
      <c r="A100" s="1">
        <v>98</v>
      </c>
      <c r="B100">
        <v>-122.0674017026772</v>
      </c>
      <c r="C100">
        <v>36.11859387211377</v>
      </c>
      <c r="D100" t="s">
        <v>694</v>
      </c>
      <c r="E100">
        <v>0.02</v>
      </c>
      <c r="F100" t="s">
        <v>160</v>
      </c>
      <c r="G100">
        <v>0.16800000000000001</v>
      </c>
      <c r="H100" t="s">
        <v>161</v>
      </c>
      <c r="I100">
        <v>-13588481</v>
      </c>
      <c r="J100">
        <v>4316952</v>
      </c>
      <c r="K100" t="s">
        <v>427</v>
      </c>
      <c r="L100" t="s">
        <v>695</v>
      </c>
      <c r="M100">
        <v>27</v>
      </c>
      <c r="N100">
        <v>5.4829999999999997</v>
      </c>
      <c r="O100">
        <v>4</v>
      </c>
      <c r="P100">
        <v>9</v>
      </c>
      <c r="Q100">
        <v>6</v>
      </c>
      <c r="R100">
        <v>53</v>
      </c>
      <c r="S100">
        <v>439036</v>
      </c>
      <c r="T100" t="s">
        <v>315</v>
      </c>
      <c r="U100">
        <v>8.1439147775781446</v>
      </c>
      <c r="V100" t="s">
        <v>427</v>
      </c>
      <c r="W100">
        <v>0.27039999999999997</v>
      </c>
      <c r="X100">
        <v>10</v>
      </c>
      <c r="Y100">
        <v>8.9</v>
      </c>
      <c r="Z100">
        <v>8.9</v>
      </c>
      <c r="AA100">
        <v>20</v>
      </c>
      <c r="AB100">
        <v>26</v>
      </c>
      <c r="AC100">
        <v>0.40699999999999997</v>
      </c>
      <c r="AD100">
        <v>67</v>
      </c>
      <c r="AE100">
        <v>6.4685314685314674E-2</v>
      </c>
      <c r="AF100">
        <v>2.86</v>
      </c>
      <c r="AG100" t="s">
        <v>315</v>
      </c>
      <c r="AH100" t="s">
        <v>427</v>
      </c>
      <c r="AI100">
        <v>77</v>
      </c>
      <c r="AJ100">
        <v>2.5666666666666671E-2</v>
      </c>
      <c r="AK100">
        <v>25.666666666666671</v>
      </c>
      <c r="AL100" t="s">
        <v>696</v>
      </c>
      <c r="AM100">
        <v>31228.346459642071</v>
      </c>
      <c r="AN100">
        <v>1.74</v>
      </c>
      <c r="AO100">
        <v>0.09</v>
      </c>
      <c r="AP100">
        <v>0.19</v>
      </c>
      <c r="AQ100">
        <v>1.45</v>
      </c>
      <c r="AR100">
        <v>1.29</v>
      </c>
      <c r="AS100">
        <v>0.13</v>
      </c>
      <c r="AT100">
        <v>0.04</v>
      </c>
      <c r="AU100">
        <v>0.02</v>
      </c>
      <c r="AV100">
        <v>3.01</v>
      </c>
      <c r="AW100">
        <v>2.02</v>
      </c>
      <c r="AX100">
        <v>0.21</v>
      </c>
      <c r="AY100">
        <v>0.53</v>
      </c>
      <c r="AZ100">
        <v>0</v>
      </c>
      <c r="BA100">
        <v>1.37</v>
      </c>
      <c r="BB100">
        <v>0.24</v>
      </c>
      <c r="BC100">
        <v>0.41</v>
      </c>
      <c r="BD100">
        <v>0.27</v>
      </c>
      <c r="BE100">
        <v>15.79</v>
      </c>
      <c r="BF100">
        <v>15.1</v>
      </c>
      <c r="BG100">
        <v>0.24</v>
      </c>
      <c r="BH100">
        <v>0.45</v>
      </c>
      <c r="BI100">
        <v>0</v>
      </c>
      <c r="BJ100">
        <v>0.11</v>
      </c>
      <c r="BK100">
        <v>14.98</v>
      </c>
      <c r="BL100">
        <v>0</v>
      </c>
      <c r="BM100">
        <v>2.41</v>
      </c>
      <c r="BN100">
        <v>0.21</v>
      </c>
      <c r="BO100">
        <v>0.46</v>
      </c>
      <c r="BP100">
        <v>1.74</v>
      </c>
      <c r="BQ100">
        <v>1.27</v>
      </c>
      <c r="BR100">
        <v>0.17</v>
      </c>
      <c r="BS100">
        <v>0.3</v>
      </c>
      <c r="BT100">
        <v>0</v>
      </c>
      <c r="BU100">
        <v>16.239999999999998</v>
      </c>
      <c r="BV100">
        <v>15.18</v>
      </c>
      <c r="BW100">
        <v>0.34</v>
      </c>
      <c r="BX100">
        <v>0.72</v>
      </c>
      <c r="BY100">
        <v>0</v>
      </c>
      <c r="BZ100">
        <v>0.11</v>
      </c>
      <c r="CA100">
        <v>15.07</v>
      </c>
      <c r="CB100">
        <v>0</v>
      </c>
      <c r="CC100">
        <f t="shared" si="2"/>
        <v>2.75</v>
      </c>
      <c r="CD100">
        <v>3.96</v>
      </c>
      <c r="CE100">
        <v>0.34230769230769231</v>
      </c>
      <c r="CF100">
        <v>0.44500000000000001</v>
      </c>
      <c r="CG100">
        <v>0.1492537313432836</v>
      </c>
      <c r="CH100">
        <v>0.1423076923076923</v>
      </c>
      <c r="CI100">
        <v>0</v>
      </c>
      <c r="CJ100">
        <v>23583</v>
      </c>
      <c r="CK100" t="s">
        <v>169</v>
      </c>
      <c r="CL100" t="s">
        <v>697</v>
      </c>
      <c r="CM100" t="s">
        <v>143</v>
      </c>
      <c r="CN100">
        <v>9.8247525444599998E-2</v>
      </c>
      <c r="CO100">
        <v>41.21870665965406</v>
      </c>
      <c r="CP100">
        <v>99</v>
      </c>
      <c r="CQ100" t="s">
        <v>698</v>
      </c>
      <c r="CR100">
        <v>204</v>
      </c>
      <c r="CS100" t="s">
        <v>546</v>
      </c>
      <c r="CT100" t="s">
        <v>547</v>
      </c>
      <c r="CU100" t="s">
        <v>315</v>
      </c>
      <c r="CV100" t="s">
        <v>548</v>
      </c>
      <c r="CW100" t="s">
        <v>549</v>
      </c>
      <c r="CX100" t="s">
        <v>550</v>
      </c>
      <c r="CY100" t="s">
        <v>551</v>
      </c>
      <c r="CZ100" t="s">
        <v>319</v>
      </c>
      <c r="DA100" t="s">
        <v>152</v>
      </c>
      <c r="DB100" t="s">
        <v>178</v>
      </c>
      <c r="DC100" t="s">
        <v>207</v>
      </c>
      <c r="DD100" t="s">
        <v>180</v>
      </c>
      <c r="DE100">
        <v>2393</v>
      </c>
      <c r="DF100">
        <v>-119.305311</v>
      </c>
      <c r="DG100">
        <v>35.410406000000002</v>
      </c>
      <c r="DH100">
        <v>7200</v>
      </c>
      <c r="DI100">
        <v>200</v>
      </c>
      <c r="DL100">
        <v>15</v>
      </c>
      <c r="DM100">
        <v>10</v>
      </c>
      <c r="DN100">
        <v>40</v>
      </c>
      <c r="DO100">
        <v>50</v>
      </c>
      <c r="DP100">
        <v>0.2</v>
      </c>
      <c r="DQ100">
        <v>10000</v>
      </c>
      <c r="DS100" t="s">
        <v>322</v>
      </c>
      <c r="DT100">
        <v>1.2500000000000001E-2</v>
      </c>
      <c r="DU100">
        <v>1.2500000000000001E-2</v>
      </c>
      <c r="DV100">
        <v>0.32500000000000001</v>
      </c>
      <c r="DW100">
        <v>0.32500000000000001</v>
      </c>
      <c r="DX100">
        <v>0.32500000000000001</v>
      </c>
      <c r="DY100">
        <v>0</v>
      </c>
      <c r="DZ100" s="4">
        <v>5.3979999999999997</v>
      </c>
      <c r="EA100" s="4" t="s">
        <v>432</v>
      </c>
      <c r="EB100" s="4" t="s">
        <v>433</v>
      </c>
      <c r="EC100">
        <v>6.4850000000000003</v>
      </c>
      <c r="ED100">
        <v>353</v>
      </c>
      <c r="EE100" t="s">
        <v>696</v>
      </c>
      <c r="EF100">
        <v>0.2490558397728114</v>
      </c>
      <c r="EH100">
        <f t="shared" si="3"/>
        <v>0.58000000000000007</v>
      </c>
      <c r="EI100">
        <v>3.38</v>
      </c>
      <c r="EJ100">
        <v>3.65</v>
      </c>
    </row>
    <row r="101" spans="1:140" x14ac:dyDescent="0.35">
      <c r="A101" s="1">
        <v>99</v>
      </c>
      <c r="B101">
        <v>-120.27077113443811</v>
      </c>
      <c r="C101">
        <v>36.11859387211377</v>
      </c>
      <c r="D101" t="s">
        <v>699</v>
      </c>
      <c r="E101">
        <v>0.02</v>
      </c>
      <c r="F101" t="s">
        <v>160</v>
      </c>
      <c r="G101">
        <v>0.16800000000000001</v>
      </c>
      <c r="H101" t="s">
        <v>161</v>
      </c>
      <c r="I101">
        <v>-13388481</v>
      </c>
      <c r="J101">
        <v>4316952</v>
      </c>
      <c r="K101" t="s">
        <v>427</v>
      </c>
      <c r="L101" t="s">
        <v>700</v>
      </c>
      <c r="M101">
        <v>10</v>
      </c>
      <c r="N101">
        <v>5.3070000000000004</v>
      </c>
      <c r="O101">
        <v>4</v>
      </c>
      <c r="P101">
        <v>9</v>
      </c>
      <c r="Q101">
        <v>6</v>
      </c>
      <c r="R101">
        <v>19</v>
      </c>
      <c r="S101">
        <v>1008650</v>
      </c>
      <c r="T101" t="s">
        <v>315</v>
      </c>
      <c r="U101">
        <v>8.1439147775781446</v>
      </c>
      <c r="V101" t="s">
        <v>427</v>
      </c>
      <c r="W101">
        <v>0.27039999999999997</v>
      </c>
      <c r="X101">
        <v>10</v>
      </c>
      <c r="Y101">
        <v>8.9</v>
      </c>
      <c r="Z101">
        <v>8.9</v>
      </c>
      <c r="AA101">
        <v>20</v>
      </c>
      <c r="AB101">
        <v>26</v>
      </c>
      <c r="AC101">
        <v>0.40699999999999997</v>
      </c>
      <c r="AD101">
        <v>67</v>
      </c>
      <c r="AE101">
        <v>6.4685314685314674E-2</v>
      </c>
      <c r="AF101">
        <v>2.86</v>
      </c>
      <c r="AG101" t="s">
        <v>315</v>
      </c>
      <c r="AH101" t="s">
        <v>427</v>
      </c>
      <c r="AI101">
        <v>77</v>
      </c>
      <c r="AJ101">
        <v>2.5666666666666671E-2</v>
      </c>
      <c r="AK101">
        <v>25.666666666666671</v>
      </c>
      <c r="AL101" t="s">
        <v>701</v>
      </c>
      <c r="AM101">
        <v>0</v>
      </c>
      <c r="AN101">
        <v>1.74</v>
      </c>
      <c r="AO101">
        <v>0.09</v>
      </c>
      <c r="AP101">
        <v>0.19</v>
      </c>
      <c r="AQ101">
        <v>1.45</v>
      </c>
      <c r="AR101">
        <v>1.29</v>
      </c>
      <c r="AS101">
        <v>0.13</v>
      </c>
      <c r="AT101">
        <v>0.04</v>
      </c>
      <c r="AU101">
        <v>0.02</v>
      </c>
      <c r="AV101">
        <v>3.01</v>
      </c>
      <c r="AW101">
        <v>2.02</v>
      </c>
      <c r="AX101">
        <v>0.21</v>
      </c>
      <c r="AY101">
        <v>0.53</v>
      </c>
      <c r="AZ101">
        <v>0</v>
      </c>
      <c r="BA101">
        <v>1.37</v>
      </c>
      <c r="BB101">
        <v>0.24</v>
      </c>
      <c r="BC101">
        <v>0.41</v>
      </c>
      <c r="BD101">
        <v>0.27</v>
      </c>
      <c r="BE101">
        <v>15.79</v>
      </c>
      <c r="BF101">
        <v>15.1</v>
      </c>
      <c r="BG101">
        <v>0.24</v>
      </c>
      <c r="BH101">
        <v>0.45</v>
      </c>
      <c r="BI101">
        <v>0</v>
      </c>
      <c r="BJ101">
        <v>0.11</v>
      </c>
      <c r="BK101">
        <v>14.98</v>
      </c>
      <c r="BL101">
        <v>0</v>
      </c>
      <c r="BM101">
        <v>2.41</v>
      </c>
      <c r="BN101">
        <v>0.21</v>
      </c>
      <c r="BO101">
        <v>0.46</v>
      </c>
      <c r="BP101">
        <v>1.74</v>
      </c>
      <c r="BQ101">
        <v>1.27</v>
      </c>
      <c r="BR101">
        <v>0.17</v>
      </c>
      <c r="BS101">
        <v>0.3</v>
      </c>
      <c r="BT101">
        <v>0</v>
      </c>
      <c r="BU101">
        <v>16.239999999999998</v>
      </c>
      <c r="BV101">
        <v>15.18</v>
      </c>
      <c r="BW101">
        <v>0.34</v>
      </c>
      <c r="BX101">
        <v>0.72</v>
      </c>
      <c r="BY101">
        <v>0</v>
      </c>
      <c r="BZ101">
        <v>0.11</v>
      </c>
      <c r="CA101">
        <v>15.07</v>
      </c>
      <c r="CB101">
        <v>0</v>
      </c>
      <c r="CC101">
        <f t="shared" si="2"/>
        <v>2.75</v>
      </c>
      <c r="CD101">
        <v>3.96</v>
      </c>
      <c r="CE101">
        <v>0.34230769230769231</v>
      </c>
      <c r="CF101">
        <v>0.44500000000000001</v>
      </c>
      <c r="CG101">
        <v>0.1492537313432836</v>
      </c>
      <c r="CH101">
        <v>0.1423076923076923</v>
      </c>
      <c r="CI101">
        <v>0</v>
      </c>
      <c r="CJ101">
        <v>22431</v>
      </c>
      <c r="CK101" t="s">
        <v>169</v>
      </c>
      <c r="CL101" t="s">
        <v>430</v>
      </c>
      <c r="CM101" t="s">
        <v>143</v>
      </c>
      <c r="CN101">
        <v>9.1343763180700005E-2</v>
      </c>
      <c r="CO101">
        <v>10.654062592647429</v>
      </c>
      <c r="CP101">
        <v>100</v>
      </c>
      <c r="CQ101" t="s">
        <v>702</v>
      </c>
      <c r="CR101">
        <v>204</v>
      </c>
      <c r="CS101" t="s">
        <v>546</v>
      </c>
      <c r="CT101" t="s">
        <v>547</v>
      </c>
      <c r="CU101" t="s">
        <v>315</v>
      </c>
      <c r="CV101" t="s">
        <v>548</v>
      </c>
      <c r="CW101" t="s">
        <v>549</v>
      </c>
      <c r="CX101" t="s">
        <v>550</v>
      </c>
      <c r="CY101" t="s">
        <v>551</v>
      </c>
      <c r="CZ101" t="s">
        <v>319</v>
      </c>
      <c r="DA101" t="s">
        <v>152</v>
      </c>
      <c r="DB101" t="s">
        <v>178</v>
      </c>
      <c r="DC101" t="s">
        <v>207</v>
      </c>
      <c r="DD101" t="s">
        <v>180</v>
      </c>
      <c r="DE101">
        <v>2393</v>
      </c>
      <c r="DF101">
        <v>-119.305311</v>
      </c>
      <c r="DG101">
        <v>35.410406000000002</v>
      </c>
      <c r="DH101">
        <v>7200</v>
      </c>
      <c r="DI101">
        <v>200</v>
      </c>
      <c r="DL101">
        <v>15</v>
      </c>
      <c r="DM101">
        <v>10</v>
      </c>
      <c r="DN101">
        <v>40</v>
      </c>
      <c r="DO101">
        <v>50</v>
      </c>
      <c r="DP101">
        <v>0.2</v>
      </c>
      <c r="DQ101">
        <v>10000</v>
      </c>
      <c r="DS101" t="s">
        <v>322</v>
      </c>
      <c r="DT101">
        <v>1.2500000000000001E-2</v>
      </c>
      <c r="DU101">
        <v>1.2500000000000001E-2</v>
      </c>
      <c r="DV101">
        <v>0.32500000000000001</v>
      </c>
      <c r="DW101">
        <v>0.32500000000000001</v>
      </c>
      <c r="DX101">
        <v>0.32500000000000001</v>
      </c>
      <c r="DY101">
        <v>0</v>
      </c>
      <c r="DZ101" s="4">
        <v>5.3979999999999997</v>
      </c>
      <c r="EA101" s="4" t="s">
        <v>432</v>
      </c>
      <c r="EB101" s="4" t="s">
        <v>433</v>
      </c>
      <c r="EC101">
        <v>6.4850000000000003</v>
      </c>
      <c r="ED101">
        <v>261</v>
      </c>
      <c r="EE101" t="s">
        <v>701</v>
      </c>
      <c r="EF101">
        <v>0</v>
      </c>
      <c r="EH101">
        <f t="shared" si="3"/>
        <v>0.58000000000000007</v>
      </c>
      <c r="EI101">
        <v>3.38</v>
      </c>
      <c r="EJ101">
        <v>3.65</v>
      </c>
    </row>
    <row r="102" spans="1:140" x14ac:dyDescent="0.35">
      <c r="A102" s="1">
        <v>100</v>
      </c>
      <c r="B102">
        <v>-118.4741405661991</v>
      </c>
      <c r="C102">
        <v>36.11859387211377</v>
      </c>
      <c r="D102" t="s">
        <v>703</v>
      </c>
      <c r="E102">
        <v>0.1</v>
      </c>
      <c r="F102" t="s">
        <v>135</v>
      </c>
      <c r="G102">
        <v>0.16800000000000001</v>
      </c>
      <c r="H102" t="s">
        <v>161</v>
      </c>
      <c r="I102">
        <v>-13188481</v>
      </c>
      <c r="J102">
        <v>4316952</v>
      </c>
      <c r="K102" t="s">
        <v>427</v>
      </c>
      <c r="L102" t="s">
        <v>704</v>
      </c>
      <c r="M102">
        <v>54</v>
      </c>
      <c r="N102">
        <v>5.2489999999999997</v>
      </c>
      <c r="O102">
        <v>4</v>
      </c>
      <c r="P102">
        <v>9</v>
      </c>
      <c r="Q102">
        <v>6</v>
      </c>
      <c r="R102">
        <v>107</v>
      </c>
      <c r="S102">
        <v>473117</v>
      </c>
      <c r="T102" t="s">
        <v>315</v>
      </c>
      <c r="U102">
        <v>8.1439147775781446</v>
      </c>
      <c r="V102" t="s">
        <v>427</v>
      </c>
      <c r="W102">
        <v>0.27039999999999997</v>
      </c>
      <c r="X102">
        <v>10</v>
      </c>
      <c r="Y102">
        <v>8.9</v>
      </c>
      <c r="Z102">
        <v>8.9</v>
      </c>
      <c r="AA102">
        <v>20</v>
      </c>
      <c r="AB102">
        <v>26</v>
      </c>
      <c r="AC102">
        <v>0.40699999999999997</v>
      </c>
      <c r="AD102">
        <v>67</v>
      </c>
      <c r="AE102">
        <v>6.4685314685314674E-2</v>
      </c>
      <c r="AF102">
        <v>2.86</v>
      </c>
      <c r="AG102" t="s">
        <v>315</v>
      </c>
      <c r="AH102" t="s">
        <v>427</v>
      </c>
      <c r="AI102">
        <v>77</v>
      </c>
      <c r="AJ102">
        <v>2.5666666666666671E-2</v>
      </c>
      <c r="AK102">
        <v>25.666666666666671</v>
      </c>
      <c r="AL102" t="s">
        <v>705</v>
      </c>
      <c r="AM102">
        <v>0</v>
      </c>
      <c r="AN102">
        <v>1.74</v>
      </c>
      <c r="AO102">
        <v>0.09</v>
      </c>
      <c r="AP102">
        <v>0.19</v>
      </c>
      <c r="AQ102">
        <v>1.45</v>
      </c>
      <c r="AR102">
        <v>1.29</v>
      </c>
      <c r="AS102">
        <v>0.13</v>
      </c>
      <c r="AT102">
        <v>0.04</v>
      </c>
      <c r="AU102">
        <v>0.02</v>
      </c>
      <c r="AV102">
        <v>3.01</v>
      </c>
      <c r="AW102">
        <v>2.02</v>
      </c>
      <c r="AX102">
        <v>0.21</v>
      </c>
      <c r="AY102">
        <v>0.53</v>
      </c>
      <c r="AZ102">
        <v>0</v>
      </c>
      <c r="BA102">
        <v>1.37</v>
      </c>
      <c r="BB102">
        <v>0.24</v>
      </c>
      <c r="BC102">
        <v>0.41</v>
      </c>
      <c r="BD102">
        <v>0.27</v>
      </c>
      <c r="BE102">
        <v>15.79</v>
      </c>
      <c r="BF102">
        <v>15.1</v>
      </c>
      <c r="BG102">
        <v>0.24</v>
      </c>
      <c r="BH102">
        <v>0.45</v>
      </c>
      <c r="BI102">
        <v>0</v>
      </c>
      <c r="BJ102">
        <v>0.11</v>
      </c>
      <c r="BK102">
        <v>14.98</v>
      </c>
      <c r="BL102">
        <v>0</v>
      </c>
      <c r="BM102">
        <v>2.41</v>
      </c>
      <c r="BN102">
        <v>0.21</v>
      </c>
      <c r="BO102">
        <v>0.46</v>
      </c>
      <c r="BP102">
        <v>1.74</v>
      </c>
      <c r="BQ102">
        <v>1.27</v>
      </c>
      <c r="BR102">
        <v>0.17</v>
      </c>
      <c r="BS102">
        <v>0.3</v>
      </c>
      <c r="BT102">
        <v>0</v>
      </c>
      <c r="BU102">
        <v>16.239999999999998</v>
      </c>
      <c r="BV102">
        <v>15.18</v>
      </c>
      <c r="BW102">
        <v>0.34</v>
      </c>
      <c r="BX102">
        <v>0.72</v>
      </c>
      <c r="BY102">
        <v>0</v>
      </c>
      <c r="BZ102">
        <v>0.11</v>
      </c>
      <c r="CA102">
        <v>15.07</v>
      </c>
      <c r="CB102">
        <v>0</v>
      </c>
      <c r="CC102">
        <f t="shared" si="2"/>
        <v>2.75</v>
      </c>
      <c r="CD102">
        <v>3.96</v>
      </c>
      <c r="CE102">
        <v>0.34230769230769231</v>
      </c>
      <c r="CF102">
        <v>0.44500000000000001</v>
      </c>
      <c r="CG102">
        <v>0.1492537313432836</v>
      </c>
      <c r="CH102">
        <v>0.1423076923076923</v>
      </c>
      <c r="CI102">
        <v>0</v>
      </c>
      <c r="CJ102">
        <v>22635</v>
      </c>
      <c r="CK102" t="s">
        <v>169</v>
      </c>
      <c r="CL102" t="s">
        <v>430</v>
      </c>
      <c r="CM102" t="s">
        <v>143</v>
      </c>
      <c r="CN102">
        <v>0.245888</v>
      </c>
      <c r="CO102">
        <v>40.521270471385527</v>
      </c>
      <c r="CP102">
        <v>101</v>
      </c>
      <c r="CQ102" t="s">
        <v>706</v>
      </c>
      <c r="CR102">
        <v>204</v>
      </c>
      <c r="CS102" t="s">
        <v>546</v>
      </c>
      <c r="CT102" t="s">
        <v>547</v>
      </c>
      <c r="CU102" t="s">
        <v>315</v>
      </c>
      <c r="CV102" t="s">
        <v>548</v>
      </c>
      <c r="CW102" t="s">
        <v>549</v>
      </c>
      <c r="CX102" t="s">
        <v>550</v>
      </c>
      <c r="CY102" t="s">
        <v>551</v>
      </c>
      <c r="CZ102" t="s">
        <v>319</v>
      </c>
      <c r="DA102" t="s">
        <v>152</v>
      </c>
      <c r="DB102" t="s">
        <v>178</v>
      </c>
      <c r="DC102" t="s">
        <v>207</v>
      </c>
      <c r="DD102" t="s">
        <v>180</v>
      </c>
      <c r="DE102">
        <v>2393</v>
      </c>
      <c r="DF102">
        <v>-119.305311</v>
      </c>
      <c r="DG102">
        <v>35.410406000000002</v>
      </c>
      <c r="DH102">
        <v>7200</v>
      </c>
      <c r="DI102">
        <v>200</v>
      </c>
      <c r="DL102">
        <v>15</v>
      </c>
      <c r="DM102">
        <v>10</v>
      </c>
      <c r="DN102">
        <v>40</v>
      </c>
      <c r="DO102">
        <v>50</v>
      </c>
      <c r="DP102">
        <v>0.2</v>
      </c>
      <c r="DQ102">
        <v>10000</v>
      </c>
      <c r="DS102" t="s">
        <v>322</v>
      </c>
      <c r="DT102">
        <v>1.2500000000000001E-2</v>
      </c>
      <c r="DU102">
        <v>1.2500000000000001E-2</v>
      </c>
      <c r="DV102">
        <v>0.32500000000000001</v>
      </c>
      <c r="DW102">
        <v>0.32500000000000001</v>
      </c>
      <c r="DX102">
        <v>0.32500000000000001</v>
      </c>
      <c r="DY102">
        <v>31.119700113999318</v>
      </c>
      <c r="DZ102" s="4">
        <v>5.3979999999999997</v>
      </c>
      <c r="EA102" s="4" t="s">
        <v>432</v>
      </c>
      <c r="EB102" s="4" t="s">
        <v>433</v>
      </c>
      <c r="EC102">
        <v>6.4850000000000003</v>
      </c>
      <c r="ED102">
        <v>213</v>
      </c>
      <c r="EE102" t="s">
        <v>705</v>
      </c>
      <c r="EF102">
        <v>0</v>
      </c>
      <c r="EH102">
        <f t="shared" si="3"/>
        <v>0.58000000000000007</v>
      </c>
      <c r="EI102">
        <v>3.38</v>
      </c>
      <c r="EJ102">
        <v>3.65</v>
      </c>
    </row>
    <row r="103" spans="1:140" x14ac:dyDescent="0.35">
      <c r="A103" s="1">
        <v>101</v>
      </c>
      <c r="B103">
        <v>-116.6775099979601</v>
      </c>
      <c r="C103">
        <v>36.11859387211377</v>
      </c>
      <c r="D103" t="s">
        <v>707</v>
      </c>
      <c r="E103">
        <v>0.1</v>
      </c>
      <c r="F103" t="s">
        <v>135</v>
      </c>
      <c r="G103">
        <v>0.16800000000000001</v>
      </c>
      <c r="H103" t="s">
        <v>161</v>
      </c>
      <c r="I103">
        <v>-12988481</v>
      </c>
      <c r="J103">
        <v>4316952</v>
      </c>
      <c r="K103" t="s">
        <v>427</v>
      </c>
      <c r="L103" t="s">
        <v>708</v>
      </c>
      <c r="M103">
        <v>14</v>
      </c>
      <c r="N103">
        <v>6.077</v>
      </c>
      <c r="O103">
        <v>4</v>
      </c>
      <c r="P103">
        <v>9</v>
      </c>
      <c r="Q103">
        <v>6</v>
      </c>
      <c r="R103">
        <v>27</v>
      </c>
      <c r="S103">
        <v>19025</v>
      </c>
      <c r="T103" t="s">
        <v>315</v>
      </c>
      <c r="U103">
        <v>8.1439147775781446</v>
      </c>
      <c r="V103" t="s">
        <v>427</v>
      </c>
      <c r="W103">
        <v>0.27039999999999997</v>
      </c>
      <c r="X103">
        <v>10</v>
      </c>
      <c r="Y103">
        <v>8.9</v>
      </c>
      <c r="Z103">
        <v>8.9</v>
      </c>
      <c r="AA103">
        <v>20</v>
      </c>
      <c r="AB103">
        <v>26</v>
      </c>
      <c r="AC103">
        <v>0.40699999999999997</v>
      </c>
      <c r="AD103">
        <v>67</v>
      </c>
      <c r="AE103">
        <v>6.4685314685314674E-2</v>
      </c>
      <c r="AF103">
        <v>2.86</v>
      </c>
      <c r="AG103" t="s">
        <v>315</v>
      </c>
      <c r="AH103" t="s">
        <v>427</v>
      </c>
      <c r="AI103">
        <v>77</v>
      </c>
      <c r="AJ103">
        <v>2.5666666666666671E-2</v>
      </c>
      <c r="AK103">
        <v>25.666666666666671</v>
      </c>
      <c r="AL103" t="s">
        <v>556</v>
      </c>
      <c r="AM103">
        <v>44549.656472651754</v>
      </c>
      <c r="AN103">
        <v>1.74</v>
      </c>
      <c r="AO103">
        <v>0.09</v>
      </c>
      <c r="AP103">
        <v>0.19</v>
      </c>
      <c r="AQ103">
        <v>1.45</v>
      </c>
      <c r="AR103">
        <v>1.29</v>
      </c>
      <c r="AS103">
        <v>0.13</v>
      </c>
      <c r="AT103">
        <v>0.04</v>
      </c>
      <c r="AU103">
        <v>0.02</v>
      </c>
      <c r="AV103">
        <v>3.01</v>
      </c>
      <c r="AW103">
        <v>2.02</v>
      </c>
      <c r="AX103">
        <v>0.21</v>
      </c>
      <c r="AY103">
        <v>0.53</v>
      </c>
      <c r="AZ103">
        <v>0</v>
      </c>
      <c r="BA103">
        <v>1.37</v>
      </c>
      <c r="BB103">
        <v>0.24</v>
      </c>
      <c r="BC103">
        <v>0.41</v>
      </c>
      <c r="BD103">
        <v>0.27</v>
      </c>
      <c r="BE103">
        <v>15.79</v>
      </c>
      <c r="BF103">
        <v>15.1</v>
      </c>
      <c r="BG103">
        <v>0.24</v>
      </c>
      <c r="BH103">
        <v>0.45</v>
      </c>
      <c r="BI103">
        <v>0</v>
      </c>
      <c r="BJ103">
        <v>0.11</v>
      </c>
      <c r="BK103">
        <v>14.98</v>
      </c>
      <c r="BL103">
        <v>0</v>
      </c>
      <c r="BM103">
        <v>2.41</v>
      </c>
      <c r="BN103">
        <v>0.21</v>
      </c>
      <c r="BO103">
        <v>0.46</v>
      </c>
      <c r="BP103">
        <v>1.74</v>
      </c>
      <c r="BQ103">
        <v>1.27</v>
      </c>
      <c r="BR103">
        <v>0.17</v>
      </c>
      <c r="BS103">
        <v>0.3</v>
      </c>
      <c r="BT103">
        <v>0</v>
      </c>
      <c r="BU103">
        <v>16.239999999999998</v>
      </c>
      <c r="BV103">
        <v>15.18</v>
      </c>
      <c r="BW103">
        <v>0.34</v>
      </c>
      <c r="BX103">
        <v>0.72</v>
      </c>
      <c r="BY103">
        <v>0</v>
      </c>
      <c r="BZ103">
        <v>0.11</v>
      </c>
      <c r="CA103">
        <v>15.07</v>
      </c>
      <c r="CB103">
        <v>0</v>
      </c>
      <c r="CC103">
        <f t="shared" si="2"/>
        <v>2.75</v>
      </c>
      <c r="CD103">
        <v>3.96</v>
      </c>
      <c r="CE103">
        <v>0.34230769230769231</v>
      </c>
      <c r="CF103">
        <v>0.44500000000000001</v>
      </c>
      <c r="CG103">
        <v>0.1492537313432836</v>
      </c>
      <c r="CH103">
        <v>0.1423076923076923</v>
      </c>
      <c r="CI103">
        <v>0</v>
      </c>
      <c r="CJ103">
        <v>12211</v>
      </c>
      <c r="CK103" t="s">
        <v>141</v>
      </c>
      <c r="CL103" t="s">
        <v>709</v>
      </c>
      <c r="CM103" t="s">
        <v>143</v>
      </c>
      <c r="CN103">
        <v>1.6578404738600001</v>
      </c>
      <c r="CO103">
        <v>71.146013937450306</v>
      </c>
      <c r="CP103">
        <v>102</v>
      </c>
      <c r="CQ103" t="s">
        <v>710</v>
      </c>
      <c r="CR103">
        <v>204</v>
      </c>
      <c r="CS103" t="s">
        <v>546</v>
      </c>
      <c r="CT103" t="s">
        <v>547</v>
      </c>
      <c r="CU103" t="s">
        <v>315</v>
      </c>
      <c r="CV103" t="s">
        <v>548</v>
      </c>
      <c r="CW103" t="s">
        <v>549</v>
      </c>
      <c r="CX103" t="s">
        <v>550</v>
      </c>
      <c r="CY103" t="s">
        <v>551</v>
      </c>
      <c r="CZ103" t="s">
        <v>319</v>
      </c>
      <c r="DA103" t="s">
        <v>152</v>
      </c>
      <c r="DB103" t="s">
        <v>178</v>
      </c>
      <c r="DC103" t="s">
        <v>207</v>
      </c>
      <c r="DD103" t="s">
        <v>180</v>
      </c>
      <c r="DE103">
        <v>2393</v>
      </c>
      <c r="DF103">
        <v>-119.305311</v>
      </c>
      <c r="DG103">
        <v>35.410406000000002</v>
      </c>
      <c r="DH103">
        <v>7200</v>
      </c>
      <c r="DI103">
        <v>200</v>
      </c>
      <c r="DL103">
        <v>15</v>
      </c>
      <c r="DM103">
        <v>10</v>
      </c>
      <c r="DN103">
        <v>40</v>
      </c>
      <c r="DO103">
        <v>50</v>
      </c>
      <c r="DP103">
        <v>0.2</v>
      </c>
      <c r="DQ103">
        <v>10000</v>
      </c>
      <c r="DS103" t="s">
        <v>322</v>
      </c>
      <c r="DT103">
        <v>1.2500000000000001E-2</v>
      </c>
      <c r="DU103">
        <v>1.2500000000000001E-2</v>
      </c>
      <c r="DV103">
        <v>0.32500000000000001</v>
      </c>
      <c r="DW103">
        <v>0.32500000000000001</v>
      </c>
      <c r="DX103">
        <v>0.32500000000000001</v>
      </c>
      <c r="DY103">
        <v>3.8944454357927731</v>
      </c>
      <c r="DZ103" s="4">
        <v>5.3979999999999997</v>
      </c>
      <c r="EA103" s="4" t="s">
        <v>432</v>
      </c>
      <c r="EB103" s="4" t="s">
        <v>433</v>
      </c>
      <c r="EC103">
        <v>6.4850000000000003</v>
      </c>
      <c r="ED103">
        <v>244</v>
      </c>
      <c r="EE103" t="s">
        <v>556</v>
      </c>
      <c r="EF103">
        <v>0.32394357518712719</v>
      </c>
      <c r="EH103">
        <f t="shared" si="3"/>
        <v>0.58000000000000007</v>
      </c>
      <c r="EI103">
        <v>3.38</v>
      </c>
      <c r="EJ103">
        <v>3.65</v>
      </c>
    </row>
    <row r="104" spans="1:140" x14ac:dyDescent="0.35">
      <c r="A104" s="1">
        <v>102</v>
      </c>
      <c r="B104">
        <v>-114.88087942972101</v>
      </c>
      <c r="C104">
        <v>36.11859387211377</v>
      </c>
      <c r="D104" t="s">
        <v>711</v>
      </c>
      <c r="E104">
        <v>0.1</v>
      </c>
      <c r="F104" t="s">
        <v>135</v>
      </c>
      <c r="G104">
        <v>7.3200000000000001E-2</v>
      </c>
      <c r="H104" t="s">
        <v>161</v>
      </c>
      <c r="I104">
        <v>-12788481</v>
      </c>
      <c r="J104">
        <v>4316952</v>
      </c>
      <c r="K104" t="s">
        <v>712</v>
      </c>
      <c r="L104" t="s">
        <v>713</v>
      </c>
      <c r="M104">
        <v>3</v>
      </c>
      <c r="N104">
        <v>4.5629999999999997</v>
      </c>
      <c r="O104">
        <v>4</v>
      </c>
      <c r="P104">
        <v>8</v>
      </c>
      <c r="Q104">
        <v>32</v>
      </c>
      <c r="R104">
        <v>3</v>
      </c>
      <c r="S104">
        <v>2265469</v>
      </c>
      <c r="T104" t="s">
        <v>714</v>
      </c>
      <c r="U104">
        <v>8.0104643432458005</v>
      </c>
      <c r="V104" t="s">
        <v>712</v>
      </c>
      <c r="W104">
        <v>0.1147</v>
      </c>
      <c r="X104">
        <v>10</v>
      </c>
      <c r="Y104">
        <v>8.9</v>
      </c>
      <c r="Z104">
        <v>8.9</v>
      </c>
      <c r="AA104">
        <v>20</v>
      </c>
      <c r="AB104">
        <v>26</v>
      </c>
      <c r="AC104">
        <v>0.63100000000000001</v>
      </c>
      <c r="AD104">
        <v>67</v>
      </c>
      <c r="AE104">
        <v>0.1002860775588048</v>
      </c>
      <c r="AF104">
        <v>2.86</v>
      </c>
      <c r="AG104" t="s">
        <v>714</v>
      </c>
      <c r="AH104" t="s">
        <v>712</v>
      </c>
      <c r="AI104">
        <v>26</v>
      </c>
      <c r="AJ104">
        <v>8.6666666666666663E-3</v>
      </c>
      <c r="AK104">
        <v>8.6666666666666661</v>
      </c>
      <c r="AL104" t="s">
        <v>715</v>
      </c>
      <c r="AM104">
        <v>0</v>
      </c>
      <c r="AN104">
        <v>1.61</v>
      </c>
      <c r="AO104">
        <v>0.09</v>
      </c>
      <c r="AP104">
        <v>0.19</v>
      </c>
      <c r="AQ104">
        <v>1.32</v>
      </c>
      <c r="AR104">
        <v>1.27</v>
      </c>
      <c r="AS104">
        <v>0.04</v>
      </c>
      <c r="AT104">
        <v>0.01</v>
      </c>
      <c r="AU104">
        <v>0.02</v>
      </c>
      <c r="AV104">
        <v>2.59</v>
      </c>
      <c r="AW104">
        <v>1.59</v>
      </c>
      <c r="AX104">
        <v>0.21</v>
      </c>
      <c r="AY104">
        <v>0.53</v>
      </c>
      <c r="AZ104">
        <v>0</v>
      </c>
      <c r="BA104">
        <v>1.35</v>
      </c>
      <c r="BB104">
        <v>0.08</v>
      </c>
      <c r="BC104">
        <v>0.17</v>
      </c>
      <c r="BD104">
        <v>0.27</v>
      </c>
      <c r="BE104">
        <v>6.83</v>
      </c>
      <c r="BF104">
        <v>6.14</v>
      </c>
      <c r="BG104">
        <v>0.24</v>
      </c>
      <c r="BH104">
        <v>0.45</v>
      </c>
      <c r="BI104">
        <v>0</v>
      </c>
      <c r="BJ104">
        <v>0.04</v>
      </c>
      <c r="BK104">
        <v>6.1</v>
      </c>
      <c r="BL104">
        <v>0</v>
      </c>
      <c r="BM104">
        <v>2.1</v>
      </c>
      <c r="BN104">
        <v>0.21</v>
      </c>
      <c r="BO104">
        <v>0.46</v>
      </c>
      <c r="BP104">
        <v>1.43</v>
      </c>
      <c r="BQ104">
        <v>1.25</v>
      </c>
      <c r="BR104">
        <v>0.06</v>
      </c>
      <c r="BS104">
        <v>0.12</v>
      </c>
      <c r="BT104">
        <v>0</v>
      </c>
      <c r="BU104">
        <v>7.24</v>
      </c>
      <c r="BV104">
        <v>6.18</v>
      </c>
      <c r="BW104">
        <v>0.34</v>
      </c>
      <c r="BX104">
        <v>0.72</v>
      </c>
      <c r="BY104">
        <v>0</v>
      </c>
      <c r="BZ104">
        <v>0.04</v>
      </c>
      <c r="CA104">
        <v>6.14</v>
      </c>
      <c r="CB104">
        <v>0</v>
      </c>
      <c r="CC104">
        <f t="shared" si="2"/>
        <v>2.75</v>
      </c>
      <c r="CD104">
        <v>3.96</v>
      </c>
      <c r="CE104">
        <v>0.34230769230769231</v>
      </c>
      <c r="CF104">
        <v>0.44500000000000001</v>
      </c>
      <c r="CG104">
        <v>0.1492537313432836</v>
      </c>
      <c r="CH104">
        <v>0.2206293706293706</v>
      </c>
      <c r="CI104">
        <v>0</v>
      </c>
      <c r="CJ104">
        <v>23012</v>
      </c>
      <c r="CK104" t="s">
        <v>169</v>
      </c>
      <c r="CL104" t="s">
        <v>716</v>
      </c>
      <c r="CM104" t="s">
        <v>143</v>
      </c>
      <c r="CN104">
        <v>4.3569101712100003E-2</v>
      </c>
      <c r="CO104">
        <v>3.6087291939796642</v>
      </c>
      <c r="CP104">
        <v>103</v>
      </c>
      <c r="CQ104" t="s">
        <v>712</v>
      </c>
      <c r="CR104">
        <v>223</v>
      </c>
      <c r="CS104" t="s">
        <v>717</v>
      </c>
      <c r="CT104" t="s">
        <v>718</v>
      </c>
      <c r="CU104" t="s">
        <v>315</v>
      </c>
      <c r="CV104" t="s">
        <v>719</v>
      </c>
      <c r="CW104" t="s">
        <v>720</v>
      </c>
      <c r="CX104" t="s">
        <v>721</v>
      </c>
      <c r="CY104" t="s">
        <v>551</v>
      </c>
      <c r="CZ104" t="s">
        <v>319</v>
      </c>
      <c r="DA104" t="s">
        <v>152</v>
      </c>
      <c r="DB104" t="s">
        <v>178</v>
      </c>
      <c r="DC104" t="s">
        <v>207</v>
      </c>
      <c r="DD104" t="s">
        <v>155</v>
      </c>
      <c r="DE104">
        <v>2069</v>
      </c>
      <c r="DF104">
        <v>-121.36967300000001</v>
      </c>
      <c r="DG104">
        <v>38.049534000000001</v>
      </c>
      <c r="DH104">
        <v>7600</v>
      </c>
      <c r="DI104">
        <v>1000</v>
      </c>
      <c r="DL104">
        <v>18</v>
      </c>
      <c r="DM104">
        <v>15</v>
      </c>
      <c r="DN104">
        <v>30</v>
      </c>
      <c r="DO104">
        <v>5</v>
      </c>
      <c r="DP104">
        <v>10</v>
      </c>
      <c r="DQ104">
        <v>1700</v>
      </c>
      <c r="DS104" t="s">
        <v>322</v>
      </c>
      <c r="DT104">
        <v>1.2500000000000001E-2</v>
      </c>
      <c r="DU104">
        <v>1.2500000000000001E-2</v>
      </c>
      <c r="DV104">
        <v>0.32500000000000001</v>
      </c>
      <c r="DW104">
        <v>0.32500000000000001</v>
      </c>
      <c r="DX104">
        <v>0.32500000000000001</v>
      </c>
      <c r="DY104">
        <v>12.70139034872456</v>
      </c>
      <c r="DZ104" s="4">
        <v>4.5750000000000002</v>
      </c>
      <c r="EA104" s="4" t="s">
        <v>722</v>
      </c>
      <c r="EB104" s="4" t="s">
        <v>723</v>
      </c>
      <c r="EC104">
        <v>5.3360000000000003</v>
      </c>
      <c r="ED104">
        <v>278</v>
      </c>
      <c r="EE104" t="s">
        <v>715</v>
      </c>
      <c r="EF104">
        <v>0</v>
      </c>
      <c r="EH104">
        <f t="shared" si="3"/>
        <v>0.58000000000000007</v>
      </c>
      <c r="EI104">
        <v>3.38</v>
      </c>
      <c r="EJ104">
        <v>3.65</v>
      </c>
    </row>
    <row r="105" spans="1:140" x14ac:dyDescent="0.35">
      <c r="A105" s="1">
        <v>103</v>
      </c>
      <c r="B105">
        <v>-113.084248861482</v>
      </c>
      <c r="C105">
        <v>36.11859387211377</v>
      </c>
      <c r="D105" t="s">
        <v>724</v>
      </c>
      <c r="E105">
        <v>0.1</v>
      </c>
      <c r="F105" t="s">
        <v>135</v>
      </c>
      <c r="G105">
        <v>0.16109999999999999</v>
      </c>
      <c r="H105" t="s">
        <v>161</v>
      </c>
      <c r="I105">
        <v>-12588481</v>
      </c>
      <c r="J105">
        <v>4316952</v>
      </c>
      <c r="K105" t="s">
        <v>307</v>
      </c>
      <c r="L105" t="s">
        <v>567</v>
      </c>
      <c r="M105">
        <v>3</v>
      </c>
      <c r="N105">
        <v>4.351</v>
      </c>
      <c r="O105">
        <v>4</v>
      </c>
      <c r="P105">
        <v>8</v>
      </c>
      <c r="Q105">
        <v>4</v>
      </c>
      <c r="R105">
        <v>5</v>
      </c>
      <c r="S105">
        <v>145100</v>
      </c>
      <c r="T105" t="s">
        <v>309</v>
      </c>
      <c r="U105">
        <v>6.5998399715504972</v>
      </c>
      <c r="V105" t="s">
        <v>307</v>
      </c>
      <c r="W105">
        <v>0.12740000000000001</v>
      </c>
      <c r="X105">
        <v>10</v>
      </c>
      <c r="Y105">
        <v>8.9</v>
      </c>
      <c r="Z105">
        <v>8.9</v>
      </c>
      <c r="AA105">
        <v>20</v>
      </c>
      <c r="AB105">
        <v>26</v>
      </c>
      <c r="AC105">
        <v>0.63400000000000001</v>
      </c>
      <c r="AD105">
        <v>67</v>
      </c>
      <c r="AE105">
        <v>0.1007628734901462</v>
      </c>
      <c r="AF105">
        <v>2.86</v>
      </c>
      <c r="AG105" t="s">
        <v>309</v>
      </c>
      <c r="AH105" t="s">
        <v>307</v>
      </c>
      <c r="AI105">
        <v>64</v>
      </c>
      <c r="AJ105">
        <v>2.1333333333333329E-2</v>
      </c>
      <c r="AK105">
        <v>21.333333333333329</v>
      </c>
      <c r="AL105" t="s">
        <v>568</v>
      </c>
      <c r="AM105">
        <v>0</v>
      </c>
      <c r="AN105">
        <v>1.43</v>
      </c>
      <c r="AO105">
        <v>0.09</v>
      </c>
      <c r="AP105">
        <v>0.19</v>
      </c>
      <c r="AQ105">
        <v>1.1499999999999999</v>
      </c>
      <c r="AR105">
        <v>1.04</v>
      </c>
      <c r="AS105">
        <v>0.09</v>
      </c>
      <c r="AT105">
        <v>0.02</v>
      </c>
      <c r="AU105">
        <v>0.02</v>
      </c>
      <c r="AV105">
        <v>2.46</v>
      </c>
      <c r="AW105">
        <v>1.47</v>
      </c>
      <c r="AX105">
        <v>0.21</v>
      </c>
      <c r="AY105">
        <v>0.53</v>
      </c>
      <c r="AZ105">
        <v>0</v>
      </c>
      <c r="BA105">
        <v>1.1100000000000001</v>
      </c>
      <c r="BB105">
        <v>0.16</v>
      </c>
      <c r="BC105">
        <v>0.2</v>
      </c>
      <c r="BD105">
        <v>0.27</v>
      </c>
      <c r="BE105">
        <v>7.98</v>
      </c>
      <c r="BF105">
        <v>7.29</v>
      </c>
      <c r="BG105">
        <v>0.24</v>
      </c>
      <c r="BH105">
        <v>0.45</v>
      </c>
      <c r="BI105">
        <v>0</v>
      </c>
      <c r="BJ105">
        <v>0.08</v>
      </c>
      <c r="BK105">
        <v>7.21</v>
      </c>
      <c r="BL105">
        <v>0</v>
      </c>
      <c r="BM105">
        <v>1.96</v>
      </c>
      <c r="BN105">
        <v>0.21</v>
      </c>
      <c r="BO105">
        <v>0.46</v>
      </c>
      <c r="BP105">
        <v>1.29</v>
      </c>
      <c r="BQ105">
        <v>1.03</v>
      </c>
      <c r="BR105">
        <v>0.12</v>
      </c>
      <c r="BS105">
        <v>0.14000000000000001</v>
      </c>
      <c r="BT105">
        <v>0</v>
      </c>
      <c r="BU105">
        <v>8.39</v>
      </c>
      <c r="BV105">
        <v>7.33</v>
      </c>
      <c r="BW105">
        <v>0.34</v>
      </c>
      <c r="BX105">
        <v>0.72</v>
      </c>
      <c r="BY105">
        <v>0</v>
      </c>
      <c r="BZ105">
        <v>0.08</v>
      </c>
      <c r="CA105">
        <v>7.25</v>
      </c>
      <c r="CB105">
        <v>0</v>
      </c>
      <c r="CC105">
        <f t="shared" si="2"/>
        <v>2.75</v>
      </c>
      <c r="CD105">
        <v>3.96</v>
      </c>
      <c r="CE105">
        <v>0.34230769230769231</v>
      </c>
      <c r="CF105">
        <v>0.44500000000000001</v>
      </c>
      <c r="CG105">
        <v>0.1492537313432836</v>
      </c>
      <c r="CH105">
        <v>0.22167832167832169</v>
      </c>
      <c r="CI105">
        <v>0</v>
      </c>
      <c r="CJ105">
        <v>1925</v>
      </c>
      <c r="CK105" t="s">
        <v>141</v>
      </c>
      <c r="CL105" t="s">
        <v>311</v>
      </c>
      <c r="CM105" t="s">
        <v>143</v>
      </c>
      <c r="CN105">
        <v>0.84085038381400001</v>
      </c>
      <c r="CO105">
        <v>67.59933934638066</v>
      </c>
      <c r="CP105">
        <v>104</v>
      </c>
      <c r="CQ105" t="s">
        <v>307</v>
      </c>
      <c r="CR105">
        <v>91</v>
      </c>
      <c r="CS105" t="s">
        <v>452</v>
      </c>
      <c r="CT105" t="s">
        <v>453</v>
      </c>
      <c r="CU105" t="s">
        <v>454</v>
      </c>
      <c r="CV105" t="s">
        <v>455</v>
      </c>
      <c r="CW105" t="s">
        <v>456</v>
      </c>
      <c r="CX105" t="s">
        <v>457</v>
      </c>
      <c r="CY105" t="s">
        <v>458</v>
      </c>
      <c r="CZ105" t="s">
        <v>206</v>
      </c>
      <c r="DA105" t="s">
        <v>152</v>
      </c>
      <c r="DB105" t="s">
        <v>153</v>
      </c>
      <c r="DC105" t="s">
        <v>459</v>
      </c>
      <c r="DD105" t="s">
        <v>208</v>
      </c>
      <c r="DE105">
        <v>1466</v>
      </c>
      <c r="DF105">
        <v>-108.330134</v>
      </c>
      <c r="DG105">
        <v>37.163961999999998</v>
      </c>
      <c r="DH105">
        <v>8275</v>
      </c>
      <c r="DI105">
        <v>1000</v>
      </c>
      <c r="DJ105">
        <v>3475</v>
      </c>
      <c r="DK105">
        <v>178</v>
      </c>
      <c r="DL105">
        <v>7.5</v>
      </c>
      <c r="DO105">
        <v>9</v>
      </c>
      <c r="DR105">
        <v>112500</v>
      </c>
      <c r="DS105">
        <v>42</v>
      </c>
      <c r="DT105">
        <v>1.2500000000000001E-2</v>
      </c>
      <c r="DU105">
        <v>1.2500000000000001E-2</v>
      </c>
      <c r="DV105">
        <v>0.32500000000000001</v>
      </c>
      <c r="DW105">
        <v>0.32500000000000001</v>
      </c>
      <c r="DX105">
        <v>0.32500000000000001</v>
      </c>
      <c r="DY105">
        <v>33.346322401158183</v>
      </c>
      <c r="DZ105" s="4">
        <v>3.9140000000000001</v>
      </c>
      <c r="EA105" s="4" t="s">
        <v>323</v>
      </c>
      <c r="EB105" s="4" t="s">
        <v>324</v>
      </c>
      <c r="EC105">
        <v>4.8630000000000004</v>
      </c>
      <c r="ED105">
        <v>95</v>
      </c>
      <c r="EE105" t="s">
        <v>568</v>
      </c>
      <c r="EF105">
        <v>0</v>
      </c>
      <c r="EH105">
        <f t="shared" si="3"/>
        <v>0.58000000000000007</v>
      </c>
      <c r="EI105">
        <v>3.38</v>
      </c>
      <c r="EJ105">
        <v>3.65</v>
      </c>
    </row>
    <row r="106" spans="1:140" x14ac:dyDescent="0.35">
      <c r="A106" s="1">
        <v>104</v>
      </c>
      <c r="B106">
        <v>-111.2876182932429</v>
      </c>
      <c r="C106">
        <v>36.11859387211377</v>
      </c>
      <c r="D106" t="s">
        <v>725</v>
      </c>
      <c r="E106">
        <v>0.02</v>
      </c>
      <c r="F106" t="s">
        <v>160</v>
      </c>
      <c r="G106">
        <v>0.16109999999999999</v>
      </c>
      <c r="H106" t="s">
        <v>161</v>
      </c>
      <c r="I106">
        <v>-12388481</v>
      </c>
      <c r="J106">
        <v>4316952</v>
      </c>
      <c r="K106" t="s">
        <v>307</v>
      </c>
      <c r="L106" t="s">
        <v>567</v>
      </c>
      <c r="M106">
        <v>3</v>
      </c>
      <c r="N106">
        <v>4.351</v>
      </c>
      <c r="O106">
        <v>4</v>
      </c>
      <c r="P106">
        <v>8</v>
      </c>
      <c r="Q106">
        <v>4</v>
      </c>
      <c r="R106">
        <v>5</v>
      </c>
      <c r="S106">
        <v>145100</v>
      </c>
      <c r="T106" t="s">
        <v>309</v>
      </c>
      <c r="U106">
        <v>6.5998399715504972</v>
      </c>
      <c r="V106" t="s">
        <v>307</v>
      </c>
      <c r="W106">
        <v>0.12740000000000001</v>
      </c>
      <c r="X106">
        <v>10</v>
      </c>
      <c r="Y106">
        <v>8.9</v>
      </c>
      <c r="Z106">
        <v>8.9</v>
      </c>
      <c r="AA106">
        <v>20</v>
      </c>
      <c r="AB106">
        <v>26</v>
      </c>
      <c r="AC106">
        <v>0.63400000000000001</v>
      </c>
      <c r="AD106">
        <v>67</v>
      </c>
      <c r="AE106">
        <v>0.1007628734901462</v>
      </c>
      <c r="AF106">
        <v>2.86</v>
      </c>
      <c r="AG106" t="s">
        <v>309</v>
      </c>
      <c r="AH106" t="s">
        <v>307</v>
      </c>
      <c r="AI106">
        <v>64</v>
      </c>
      <c r="AJ106">
        <v>2.1333333333333329E-2</v>
      </c>
      <c r="AK106">
        <v>21.333333333333329</v>
      </c>
      <c r="AL106" t="s">
        <v>568</v>
      </c>
      <c r="AM106">
        <v>0</v>
      </c>
      <c r="AN106">
        <v>1.43</v>
      </c>
      <c r="AO106">
        <v>0.09</v>
      </c>
      <c r="AP106">
        <v>0.19</v>
      </c>
      <c r="AQ106">
        <v>1.1499999999999999</v>
      </c>
      <c r="AR106">
        <v>1.04</v>
      </c>
      <c r="AS106">
        <v>0.09</v>
      </c>
      <c r="AT106">
        <v>0.02</v>
      </c>
      <c r="AU106">
        <v>0.02</v>
      </c>
      <c r="AV106">
        <v>2.46</v>
      </c>
      <c r="AW106">
        <v>1.47</v>
      </c>
      <c r="AX106">
        <v>0.21</v>
      </c>
      <c r="AY106">
        <v>0.53</v>
      </c>
      <c r="AZ106">
        <v>0</v>
      </c>
      <c r="BA106">
        <v>1.1100000000000001</v>
      </c>
      <c r="BB106">
        <v>0.16</v>
      </c>
      <c r="BC106">
        <v>0.2</v>
      </c>
      <c r="BD106">
        <v>0.27</v>
      </c>
      <c r="BE106">
        <v>7.98</v>
      </c>
      <c r="BF106">
        <v>7.29</v>
      </c>
      <c r="BG106">
        <v>0.24</v>
      </c>
      <c r="BH106">
        <v>0.45</v>
      </c>
      <c r="BI106">
        <v>0</v>
      </c>
      <c r="BJ106">
        <v>0.08</v>
      </c>
      <c r="BK106">
        <v>7.21</v>
      </c>
      <c r="BL106">
        <v>0</v>
      </c>
      <c r="BM106">
        <v>1.96</v>
      </c>
      <c r="BN106">
        <v>0.21</v>
      </c>
      <c r="BO106">
        <v>0.46</v>
      </c>
      <c r="BP106">
        <v>1.29</v>
      </c>
      <c r="BQ106">
        <v>1.03</v>
      </c>
      <c r="BR106">
        <v>0.12</v>
      </c>
      <c r="BS106">
        <v>0.14000000000000001</v>
      </c>
      <c r="BT106">
        <v>0</v>
      </c>
      <c r="BU106">
        <v>8.39</v>
      </c>
      <c r="BV106">
        <v>7.33</v>
      </c>
      <c r="BW106">
        <v>0.34</v>
      </c>
      <c r="BX106">
        <v>0.72</v>
      </c>
      <c r="BY106">
        <v>0</v>
      </c>
      <c r="BZ106">
        <v>0.08</v>
      </c>
      <c r="CA106">
        <v>7.25</v>
      </c>
      <c r="CB106">
        <v>0</v>
      </c>
      <c r="CC106">
        <f t="shared" si="2"/>
        <v>2.75</v>
      </c>
      <c r="CD106">
        <v>3.96</v>
      </c>
      <c r="CE106">
        <v>0.34230769230769231</v>
      </c>
      <c r="CF106">
        <v>0.44500000000000001</v>
      </c>
      <c r="CG106">
        <v>0.1492537313432836</v>
      </c>
      <c r="CH106">
        <v>0.22167832167832169</v>
      </c>
      <c r="CI106">
        <v>0</v>
      </c>
      <c r="CJ106">
        <v>31066</v>
      </c>
      <c r="CK106" t="s">
        <v>141</v>
      </c>
      <c r="CL106" t="s">
        <v>726</v>
      </c>
      <c r="CM106" t="s">
        <v>143</v>
      </c>
      <c r="CN106">
        <v>1.4361163692800001</v>
      </c>
      <c r="CO106">
        <v>8.5262732349254886</v>
      </c>
      <c r="CP106">
        <v>105</v>
      </c>
      <c r="CQ106" t="s">
        <v>307</v>
      </c>
      <c r="CR106">
        <v>91</v>
      </c>
      <c r="CS106" t="s">
        <v>452</v>
      </c>
      <c r="CT106" t="s">
        <v>453</v>
      </c>
      <c r="CU106" t="s">
        <v>454</v>
      </c>
      <c r="CV106" t="s">
        <v>455</v>
      </c>
      <c r="CW106" t="s">
        <v>456</v>
      </c>
      <c r="CX106" t="s">
        <v>457</v>
      </c>
      <c r="CY106" t="s">
        <v>458</v>
      </c>
      <c r="CZ106" t="s">
        <v>206</v>
      </c>
      <c r="DA106" t="s">
        <v>152</v>
      </c>
      <c r="DB106" t="s">
        <v>153</v>
      </c>
      <c r="DC106" t="s">
        <v>459</v>
      </c>
      <c r="DD106" t="s">
        <v>208</v>
      </c>
      <c r="DE106">
        <v>1466</v>
      </c>
      <c r="DF106">
        <v>-108.330134</v>
      </c>
      <c r="DG106">
        <v>37.163961999999998</v>
      </c>
      <c r="DH106">
        <v>8275</v>
      </c>
      <c r="DI106">
        <v>1000</v>
      </c>
      <c r="DJ106">
        <v>3475</v>
      </c>
      <c r="DK106">
        <v>178</v>
      </c>
      <c r="DL106">
        <v>7.5</v>
      </c>
      <c r="DO106">
        <v>9</v>
      </c>
      <c r="DR106">
        <v>112500</v>
      </c>
      <c r="DS106">
        <v>42</v>
      </c>
      <c r="DT106">
        <v>1.2500000000000001E-2</v>
      </c>
      <c r="DU106">
        <v>1.2500000000000001E-2</v>
      </c>
      <c r="DV106">
        <v>0.32500000000000001</v>
      </c>
      <c r="DW106">
        <v>0.32500000000000001</v>
      </c>
      <c r="DX106">
        <v>0.32500000000000001</v>
      </c>
      <c r="DY106">
        <v>0</v>
      </c>
      <c r="DZ106" s="4">
        <v>3.9140000000000001</v>
      </c>
      <c r="EA106" s="4" t="s">
        <v>323</v>
      </c>
      <c r="EB106" s="4" t="s">
        <v>324</v>
      </c>
      <c r="EC106">
        <v>4.8630000000000004</v>
      </c>
      <c r="ED106">
        <v>95</v>
      </c>
      <c r="EE106" t="s">
        <v>568</v>
      </c>
      <c r="EF106">
        <v>0</v>
      </c>
      <c r="EH106">
        <f t="shared" si="3"/>
        <v>0.58000000000000007</v>
      </c>
      <c r="EI106">
        <v>3.38</v>
      </c>
      <c r="EJ106">
        <v>3.65</v>
      </c>
    </row>
    <row r="107" spans="1:140" x14ac:dyDescent="0.35">
      <c r="A107" s="1">
        <v>105</v>
      </c>
      <c r="B107">
        <v>-109.4909877250039</v>
      </c>
      <c r="C107">
        <v>36.11859387211377</v>
      </c>
      <c r="D107" t="s">
        <v>727</v>
      </c>
      <c r="E107">
        <v>0.1</v>
      </c>
      <c r="F107" t="s">
        <v>135</v>
      </c>
      <c r="G107">
        <v>0.16109999999999999</v>
      </c>
      <c r="H107" t="s">
        <v>161</v>
      </c>
      <c r="I107">
        <v>-12188481</v>
      </c>
      <c r="J107">
        <v>4316952</v>
      </c>
      <c r="K107" t="s">
        <v>307</v>
      </c>
      <c r="L107" t="s">
        <v>570</v>
      </c>
      <c r="M107">
        <v>1</v>
      </c>
      <c r="N107">
        <v>4.3319999999999999</v>
      </c>
      <c r="O107">
        <v>4</v>
      </c>
      <c r="P107">
        <v>8</v>
      </c>
      <c r="Q107">
        <v>4</v>
      </c>
      <c r="R107">
        <v>1</v>
      </c>
      <c r="S107">
        <v>66024</v>
      </c>
      <c r="T107" t="s">
        <v>309</v>
      </c>
      <c r="U107">
        <v>6.5998399715504972</v>
      </c>
      <c r="V107" t="s">
        <v>307</v>
      </c>
      <c r="W107">
        <v>0.12740000000000001</v>
      </c>
      <c r="X107">
        <v>10</v>
      </c>
      <c r="Y107">
        <v>8.9</v>
      </c>
      <c r="Z107">
        <v>8.9</v>
      </c>
      <c r="AA107">
        <v>20</v>
      </c>
      <c r="AB107">
        <v>26</v>
      </c>
      <c r="AC107">
        <v>0.63400000000000001</v>
      </c>
      <c r="AD107">
        <v>67</v>
      </c>
      <c r="AE107">
        <v>0.1007628734901462</v>
      </c>
      <c r="AF107">
        <v>2.86</v>
      </c>
      <c r="AG107" t="s">
        <v>309</v>
      </c>
      <c r="AH107" t="s">
        <v>307</v>
      </c>
      <c r="AI107">
        <v>64</v>
      </c>
      <c r="AJ107">
        <v>2.1333333333333329E-2</v>
      </c>
      <c r="AK107">
        <v>21.333333333333329</v>
      </c>
      <c r="AL107" t="s">
        <v>728</v>
      </c>
      <c r="AM107">
        <v>49563.956540028383</v>
      </c>
      <c r="AN107">
        <v>1.43</v>
      </c>
      <c r="AO107">
        <v>0.09</v>
      </c>
      <c r="AP107">
        <v>0.19</v>
      </c>
      <c r="AQ107">
        <v>1.1499999999999999</v>
      </c>
      <c r="AR107">
        <v>1.04</v>
      </c>
      <c r="AS107">
        <v>0.09</v>
      </c>
      <c r="AT107">
        <v>0.02</v>
      </c>
      <c r="AU107">
        <v>0.02</v>
      </c>
      <c r="AV107">
        <v>2.46</v>
      </c>
      <c r="AW107">
        <v>1.47</v>
      </c>
      <c r="AX107">
        <v>0.21</v>
      </c>
      <c r="AY107">
        <v>0.53</v>
      </c>
      <c r="AZ107">
        <v>0</v>
      </c>
      <c r="BA107">
        <v>1.1100000000000001</v>
      </c>
      <c r="BB107">
        <v>0.16</v>
      </c>
      <c r="BC107">
        <v>0.2</v>
      </c>
      <c r="BD107">
        <v>0.27</v>
      </c>
      <c r="BE107">
        <v>7.98</v>
      </c>
      <c r="BF107">
        <v>7.29</v>
      </c>
      <c r="BG107">
        <v>0.24</v>
      </c>
      <c r="BH107">
        <v>0.45</v>
      </c>
      <c r="BI107">
        <v>0</v>
      </c>
      <c r="BJ107">
        <v>0.08</v>
      </c>
      <c r="BK107">
        <v>7.21</v>
      </c>
      <c r="BL107">
        <v>0</v>
      </c>
      <c r="BM107">
        <v>1.96</v>
      </c>
      <c r="BN107">
        <v>0.21</v>
      </c>
      <c r="BO107">
        <v>0.46</v>
      </c>
      <c r="BP107">
        <v>1.29</v>
      </c>
      <c r="BQ107">
        <v>1.03</v>
      </c>
      <c r="BR107">
        <v>0.12</v>
      </c>
      <c r="BS107">
        <v>0.14000000000000001</v>
      </c>
      <c r="BT107">
        <v>0</v>
      </c>
      <c r="BU107">
        <v>8.39</v>
      </c>
      <c r="BV107">
        <v>7.33</v>
      </c>
      <c r="BW107">
        <v>0.34</v>
      </c>
      <c r="BX107">
        <v>0.72</v>
      </c>
      <c r="BY107">
        <v>0</v>
      </c>
      <c r="BZ107">
        <v>0.08</v>
      </c>
      <c r="CA107">
        <v>7.25</v>
      </c>
      <c r="CB107">
        <v>0</v>
      </c>
      <c r="CC107">
        <f t="shared" si="2"/>
        <v>2.75</v>
      </c>
      <c r="CD107">
        <v>3.96</v>
      </c>
      <c r="CE107">
        <v>0.34230769230769231</v>
      </c>
      <c r="CF107">
        <v>0.44500000000000001</v>
      </c>
      <c r="CG107">
        <v>0.1492537313432836</v>
      </c>
      <c r="CH107">
        <v>0.22167832167832169</v>
      </c>
      <c r="CI107">
        <v>0</v>
      </c>
      <c r="CJ107">
        <v>7052</v>
      </c>
      <c r="CK107" t="s">
        <v>141</v>
      </c>
      <c r="CL107" t="s">
        <v>311</v>
      </c>
      <c r="CM107" t="s">
        <v>143</v>
      </c>
      <c r="CN107">
        <v>0.662903648392</v>
      </c>
      <c r="CO107">
        <v>42.923301603310158</v>
      </c>
      <c r="CP107">
        <v>106</v>
      </c>
      <c r="CQ107" t="s">
        <v>307</v>
      </c>
      <c r="CR107">
        <v>91</v>
      </c>
      <c r="CS107" t="s">
        <v>452</v>
      </c>
      <c r="CT107" t="s">
        <v>453</v>
      </c>
      <c r="CU107" t="s">
        <v>454</v>
      </c>
      <c r="CV107" t="s">
        <v>455</v>
      </c>
      <c r="CW107" t="s">
        <v>456</v>
      </c>
      <c r="CX107" t="s">
        <v>457</v>
      </c>
      <c r="CY107" t="s">
        <v>458</v>
      </c>
      <c r="CZ107" t="s">
        <v>206</v>
      </c>
      <c r="DA107" t="s">
        <v>152</v>
      </c>
      <c r="DB107" t="s">
        <v>153</v>
      </c>
      <c r="DC107" t="s">
        <v>459</v>
      </c>
      <c r="DD107" t="s">
        <v>208</v>
      </c>
      <c r="DE107">
        <v>1466</v>
      </c>
      <c r="DF107">
        <v>-108.330134</v>
      </c>
      <c r="DG107">
        <v>37.163961999999998</v>
      </c>
      <c r="DH107">
        <v>8275</v>
      </c>
      <c r="DI107">
        <v>1000</v>
      </c>
      <c r="DJ107">
        <v>3475</v>
      </c>
      <c r="DK107">
        <v>178</v>
      </c>
      <c r="DL107">
        <v>7.5</v>
      </c>
      <c r="DO107">
        <v>9</v>
      </c>
      <c r="DR107">
        <v>112500</v>
      </c>
      <c r="DS107">
        <v>42</v>
      </c>
      <c r="DT107">
        <v>1.2500000000000001E-2</v>
      </c>
      <c r="DU107">
        <v>1.2500000000000001E-2</v>
      </c>
      <c r="DV107">
        <v>0.32500000000000001</v>
      </c>
      <c r="DW107">
        <v>0.32500000000000001</v>
      </c>
      <c r="DX107">
        <v>0.32500000000000001</v>
      </c>
      <c r="DY107">
        <v>12.115796242169299</v>
      </c>
      <c r="DZ107" s="4">
        <v>3.9140000000000001</v>
      </c>
      <c r="EA107" s="4" t="s">
        <v>323</v>
      </c>
      <c r="EB107" s="4" t="s">
        <v>324</v>
      </c>
      <c r="EC107">
        <v>4.8630000000000004</v>
      </c>
      <c r="ED107">
        <v>194</v>
      </c>
      <c r="EE107" t="s">
        <v>728</v>
      </c>
      <c r="EF107">
        <v>0.44523678775162362</v>
      </c>
      <c r="EH107">
        <f t="shared" si="3"/>
        <v>0.58000000000000007</v>
      </c>
      <c r="EI107">
        <v>3.38</v>
      </c>
      <c r="EJ107">
        <v>3.65</v>
      </c>
    </row>
    <row r="108" spans="1:140" x14ac:dyDescent="0.35">
      <c r="A108" s="1">
        <v>106</v>
      </c>
      <c r="B108">
        <v>-107.6943571567648</v>
      </c>
      <c r="C108">
        <v>36.11859387211377</v>
      </c>
      <c r="D108" t="s">
        <v>729</v>
      </c>
      <c r="E108">
        <v>0.02</v>
      </c>
      <c r="F108" t="s">
        <v>160</v>
      </c>
      <c r="G108">
        <v>4.6100000000000002E-2</v>
      </c>
      <c r="H108" t="s">
        <v>161</v>
      </c>
      <c r="I108">
        <v>-11988481</v>
      </c>
      <c r="J108">
        <v>4316952</v>
      </c>
      <c r="K108" t="s">
        <v>337</v>
      </c>
      <c r="L108" t="s">
        <v>579</v>
      </c>
      <c r="M108">
        <v>24</v>
      </c>
      <c r="N108">
        <v>4.2610000000000001</v>
      </c>
      <c r="O108">
        <v>4</v>
      </c>
      <c r="P108">
        <v>8</v>
      </c>
      <c r="Q108">
        <v>35</v>
      </c>
      <c r="R108">
        <v>45</v>
      </c>
      <c r="S108">
        <v>121663</v>
      </c>
      <c r="T108" t="s">
        <v>333</v>
      </c>
      <c r="U108">
        <v>5.7453557453557451</v>
      </c>
      <c r="V108" t="s">
        <v>337</v>
      </c>
      <c r="W108">
        <v>9.1799999999999993E-2</v>
      </c>
      <c r="X108">
        <v>10</v>
      </c>
      <c r="Y108">
        <v>8.9</v>
      </c>
      <c r="Z108">
        <v>8.9</v>
      </c>
      <c r="AA108">
        <v>20</v>
      </c>
      <c r="AB108">
        <v>26</v>
      </c>
      <c r="AC108">
        <v>0.74299999999999999</v>
      </c>
      <c r="AD108">
        <v>67</v>
      </c>
      <c r="AE108">
        <v>0.1180864589955499</v>
      </c>
      <c r="AF108">
        <v>2.86</v>
      </c>
      <c r="AG108" t="s">
        <v>333</v>
      </c>
      <c r="AH108" t="s">
        <v>337</v>
      </c>
      <c r="AI108">
        <v>32</v>
      </c>
      <c r="AJ108">
        <v>1.066666666666667E-2</v>
      </c>
      <c r="AK108">
        <v>10.66666666666667</v>
      </c>
      <c r="AL108" t="s">
        <v>728</v>
      </c>
      <c r="AM108">
        <v>0</v>
      </c>
      <c r="AN108">
        <v>1.25</v>
      </c>
      <c r="AO108">
        <v>0.09</v>
      </c>
      <c r="AP108">
        <v>0.19</v>
      </c>
      <c r="AQ108">
        <v>0.96</v>
      </c>
      <c r="AR108">
        <v>0.91</v>
      </c>
      <c r="AS108">
        <v>0.04</v>
      </c>
      <c r="AT108">
        <v>0.01</v>
      </c>
      <c r="AU108">
        <v>0.02</v>
      </c>
      <c r="AV108">
        <v>2.1800000000000002</v>
      </c>
      <c r="AW108">
        <v>1.18</v>
      </c>
      <c r="AX108">
        <v>0.21</v>
      </c>
      <c r="AY108">
        <v>0.53</v>
      </c>
      <c r="AZ108">
        <v>0</v>
      </c>
      <c r="BA108">
        <v>0.97</v>
      </c>
      <c r="BB108">
        <v>0.08</v>
      </c>
      <c r="BC108">
        <v>0.14000000000000001</v>
      </c>
      <c r="BD108">
        <v>0.27</v>
      </c>
      <c r="BE108">
        <v>5.72</v>
      </c>
      <c r="BF108">
        <v>5.03</v>
      </c>
      <c r="BG108">
        <v>0.24</v>
      </c>
      <c r="BH108">
        <v>0.45</v>
      </c>
      <c r="BI108">
        <v>0</v>
      </c>
      <c r="BJ108">
        <v>0.04</v>
      </c>
      <c r="BK108">
        <v>4.99</v>
      </c>
      <c r="BL108">
        <v>0</v>
      </c>
      <c r="BM108">
        <v>1.73</v>
      </c>
      <c r="BN108">
        <v>0.21</v>
      </c>
      <c r="BO108">
        <v>0.46</v>
      </c>
      <c r="BP108">
        <v>1.05</v>
      </c>
      <c r="BQ108">
        <v>0.9</v>
      </c>
      <c r="BR108">
        <v>0.06</v>
      </c>
      <c r="BS108">
        <v>0.1</v>
      </c>
      <c r="BT108">
        <v>0</v>
      </c>
      <c r="BU108">
        <v>6.12</v>
      </c>
      <c r="BV108">
        <v>5.0599999999999996</v>
      </c>
      <c r="BW108">
        <v>0.34</v>
      </c>
      <c r="BX108">
        <v>0.72</v>
      </c>
      <c r="BY108">
        <v>0</v>
      </c>
      <c r="BZ108">
        <v>0.04</v>
      </c>
      <c r="CA108">
        <v>5.0199999999999996</v>
      </c>
      <c r="CB108">
        <v>0</v>
      </c>
      <c r="CC108">
        <f t="shared" si="2"/>
        <v>2.75</v>
      </c>
      <c r="CD108">
        <v>3.96</v>
      </c>
      <c r="CE108">
        <v>0.34230769230769231</v>
      </c>
      <c r="CF108">
        <v>0.44500000000000001</v>
      </c>
      <c r="CG108">
        <v>0.1492537313432836</v>
      </c>
      <c r="CH108">
        <v>0.25979020979020978</v>
      </c>
      <c r="CI108">
        <v>0</v>
      </c>
      <c r="CJ108">
        <v>21491</v>
      </c>
      <c r="CK108" t="s">
        <v>169</v>
      </c>
      <c r="CL108" t="s">
        <v>730</v>
      </c>
      <c r="CM108" t="s">
        <v>143</v>
      </c>
      <c r="CN108">
        <v>0.19056794508399999</v>
      </c>
      <c r="CO108">
        <v>1.685004056155142</v>
      </c>
      <c r="CP108">
        <v>107</v>
      </c>
      <c r="CQ108" t="s">
        <v>731</v>
      </c>
      <c r="CR108">
        <v>126</v>
      </c>
      <c r="CS108" t="s">
        <v>576</v>
      </c>
      <c r="CT108" t="s">
        <v>577</v>
      </c>
      <c r="CU108" t="s">
        <v>333</v>
      </c>
      <c r="CV108" t="s">
        <v>578</v>
      </c>
      <c r="CW108" t="s">
        <v>579</v>
      </c>
      <c r="CX108" t="s">
        <v>580</v>
      </c>
      <c r="CY108" t="s">
        <v>581</v>
      </c>
      <c r="CZ108" t="s">
        <v>206</v>
      </c>
      <c r="DA108" t="s">
        <v>152</v>
      </c>
      <c r="DB108" t="s">
        <v>178</v>
      </c>
      <c r="DC108" t="s">
        <v>365</v>
      </c>
      <c r="DD108" t="s">
        <v>582</v>
      </c>
      <c r="DE108">
        <v>8520</v>
      </c>
      <c r="DF108">
        <v>-107.652666</v>
      </c>
      <c r="DG108">
        <v>36.368147</v>
      </c>
      <c r="DH108">
        <v>5511</v>
      </c>
      <c r="DI108">
        <v>883</v>
      </c>
      <c r="DJ108">
        <v>2388</v>
      </c>
      <c r="DK108">
        <v>123</v>
      </c>
      <c r="DL108">
        <v>13</v>
      </c>
      <c r="DO108">
        <v>15</v>
      </c>
      <c r="DR108">
        <v>20000</v>
      </c>
      <c r="DS108" t="s">
        <v>583</v>
      </c>
      <c r="DT108">
        <v>1.2500000000000001E-2</v>
      </c>
      <c r="DU108">
        <v>1.2500000000000001E-2</v>
      </c>
      <c r="DV108">
        <v>0.32500000000000001</v>
      </c>
      <c r="DW108">
        <v>0.32500000000000001</v>
      </c>
      <c r="DX108">
        <v>0.32500000000000001</v>
      </c>
      <c r="DY108">
        <v>0</v>
      </c>
      <c r="DZ108" s="4">
        <v>4.01</v>
      </c>
      <c r="EA108" s="4" t="s">
        <v>340</v>
      </c>
      <c r="EB108" s="4" t="s">
        <v>341</v>
      </c>
      <c r="EC108">
        <v>4.8239999999999998</v>
      </c>
      <c r="ED108">
        <v>194</v>
      </c>
      <c r="EE108" t="s">
        <v>728</v>
      </c>
      <c r="EF108">
        <v>0</v>
      </c>
      <c r="EH108">
        <f t="shared" si="3"/>
        <v>0.58000000000000007</v>
      </c>
      <c r="EI108">
        <v>3.38</v>
      </c>
      <c r="EJ108">
        <v>3.65</v>
      </c>
    </row>
    <row r="109" spans="1:140" x14ac:dyDescent="0.35">
      <c r="A109" s="1">
        <v>107</v>
      </c>
      <c r="B109">
        <v>-105.8977265885258</v>
      </c>
      <c r="C109">
        <v>36.11859387211377</v>
      </c>
      <c r="D109" t="s">
        <v>732</v>
      </c>
      <c r="E109">
        <v>0.1</v>
      </c>
      <c r="F109" t="s">
        <v>135</v>
      </c>
      <c r="G109">
        <v>0.1938</v>
      </c>
      <c r="H109" t="s">
        <v>161</v>
      </c>
      <c r="I109">
        <v>-11788481</v>
      </c>
      <c r="J109">
        <v>4316952</v>
      </c>
      <c r="K109" t="s">
        <v>337</v>
      </c>
      <c r="L109" t="s">
        <v>733</v>
      </c>
      <c r="M109">
        <v>22</v>
      </c>
      <c r="N109">
        <v>3.9649999999999999</v>
      </c>
      <c r="O109">
        <v>4</v>
      </c>
      <c r="P109">
        <v>8</v>
      </c>
      <c r="Q109">
        <v>35</v>
      </c>
      <c r="R109">
        <v>39</v>
      </c>
      <c r="S109">
        <v>40359</v>
      </c>
      <c r="T109" t="s">
        <v>333</v>
      </c>
      <c r="U109">
        <v>5.7453557453557451</v>
      </c>
      <c r="V109" t="s">
        <v>337</v>
      </c>
      <c r="W109">
        <v>9.1799999999999993E-2</v>
      </c>
      <c r="X109">
        <v>10</v>
      </c>
      <c r="Y109">
        <v>8.9</v>
      </c>
      <c r="Z109">
        <v>8.9</v>
      </c>
      <c r="AA109">
        <v>20</v>
      </c>
      <c r="AB109">
        <v>26</v>
      </c>
      <c r="AC109">
        <v>0.74299999999999999</v>
      </c>
      <c r="AD109">
        <v>67</v>
      </c>
      <c r="AE109">
        <v>0.1180864589955499</v>
      </c>
      <c r="AF109">
        <v>2.86</v>
      </c>
      <c r="AG109" t="s">
        <v>333</v>
      </c>
      <c r="AH109" t="s">
        <v>337</v>
      </c>
      <c r="AI109">
        <v>32</v>
      </c>
      <c r="AJ109">
        <v>1.066666666666667E-2</v>
      </c>
      <c r="AK109">
        <v>10.66666666666667</v>
      </c>
      <c r="AL109" t="s">
        <v>734</v>
      </c>
      <c r="AM109">
        <v>0</v>
      </c>
      <c r="AN109">
        <v>1.25</v>
      </c>
      <c r="AO109">
        <v>0.09</v>
      </c>
      <c r="AP109">
        <v>0.19</v>
      </c>
      <c r="AQ109">
        <v>0.96</v>
      </c>
      <c r="AR109">
        <v>0.91</v>
      </c>
      <c r="AS109">
        <v>0.04</v>
      </c>
      <c r="AT109">
        <v>0.01</v>
      </c>
      <c r="AU109">
        <v>0.02</v>
      </c>
      <c r="AV109">
        <v>2.1800000000000002</v>
      </c>
      <c r="AW109">
        <v>1.18</v>
      </c>
      <c r="AX109">
        <v>0.21</v>
      </c>
      <c r="AY109">
        <v>0.53</v>
      </c>
      <c r="AZ109">
        <v>0</v>
      </c>
      <c r="BA109">
        <v>0.97</v>
      </c>
      <c r="BB109">
        <v>0.08</v>
      </c>
      <c r="BC109">
        <v>0.14000000000000001</v>
      </c>
      <c r="BD109">
        <v>0.27</v>
      </c>
      <c r="BE109">
        <v>5.72</v>
      </c>
      <c r="BF109">
        <v>5.03</v>
      </c>
      <c r="BG109">
        <v>0.24</v>
      </c>
      <c r="BH109">
        <v>0.45</v>
      </c>
      <c r="BI109">
        <v>0</v>
      </c>
      <c r="BJ109">
        <v>0.04</v>
      </c>
      <c r="BK109">
        <v>4.99</v>
      </c>
      <c r="BL109">
        <v>0</v>
      </c>
      <c r="BM109">
        <v>1.73</v>
      </c>
      <c r="BN109">
        <v>0.21</v>
      </c>
      <c r="BO109">
        <v>0.46</v>
      </c>
      <c r="BP109">
        <v>1.05</v>
      </c>
      <c r="BQ109">
        <v>0.9</v>
      </c>
      <c r="BR109">
        <v>0.06</v>
      </c>
      <c r="BS109">
        <v>0.1</v>
      </c>
      <c r="BT109">
        <v>0</v>
      </c>
      <c r="BU109">
        <v>6.12</v>
      </c>
      <c r="BV109">
        <v>5.0599999999999996</v>
      </c>
      <c r="BW109">
        <v>0.34</v>
      </c>
      <c r="BX109">
        <v>0.72</v>
      </c>
      <c r="BY109">
        <v>0</v>
      </c>
      <c r="BZ109">
        <v>0.04</v>
      </c>
      <c r="CA109">
        <v>5.0199999999999996</v>
      </c>
      <c r="CB109">
        <v>0</v>
      </c>
      <c r="CC109">
        <f t="shared" si="2"/>
        <v>2.75</v>
      </c>
      <c r="CD109">
        <v>3.96</v>
      </c>
      <c r="CE109">
        <v>0.34230769230769231</v>
      </c>
      <c r="CF109">
        <v>0.44500000000000001</v>
      </c>
      <c r="CG109">
        <v>0.1492537313432836</v>
      </c>
      <c r="CH109">
        <v>0.25979020979020978</v>
      </c>
      <c r="CI109">
        <v>0</v>
      </c>
      <c r="CJ109">
        <v>21537</v>
      </c>
      <c r="CK109" t="s">
        <v>169</v>
      </c>
      <c r="CL109" t="s">
        <v>730</v>
      </c>
      <c r="CM109" t="s">
        <v>143</v>
      </c>
      <c r="CN109">
        <v>0.60384227597200002</v>
      </c>
      <c r="CO109">
        <v>5.7822394459382522</v>
      </c>
      <c r="CP109">
        <v>108</v>
      </c>
      <c r="CQ109" t="s">
        <v>587</v>
      </c>
      <c r="CR109">
        <v>88</v>
      </c>
      <c r="CS109" t="s">
        <v>588</v>
      </c>
      <c r="CT109" t="s">
        <v>589</v>
      </c>
      <c r="CU109" t="s">
        <v>333</v>
      </c>
      <c r="CV109" t="s">
        <v>590</v>
      </c>
      <c r="CW109" t="s">
        <v>591</v>
      </c>
      <c r="CX109" t="s">
        <v>592</v>
      </c>
      <c r="CY109" t="s">
        <v>335</v>
      </c>
      <c r="CZ109" t="s">
        <v>206</v>
      </c>
      <c r="DA109" t="s">
        <v>152</v>
      </c>
      <c r="DB109" t="s">
        <v>178</v>
      </c>
      <c r="DC109" t="s">
        <v>207</v>
      </c>
      <c r="DD109" t="s">
        <v>203</v>
      </c>
      <c r="DE109">
        <v>1834</v>
      </c>
      <c r="DF109">
        <v>-106.359433</v>
      </c>
      <c r="DG109">
        <v>35.331516999999998</v>
      </c>
      <c r="DH109">
        <v>4688</v>
      </c>
      <c r="DI109">
        <v>262</v>
      </c>
      <c r="DJ109">
        <v>2031</v>
      </c>
      <c r="DK109">
        <v>109</v>
      </c>
      <c r="DL109">
        <v>8.5</v>
      </c>
      <c r="DO109">
        <v>9</v>
      </c>
      <c r="DR109">
        <v>80000</v>
      </c>
      <c r="DS109" t="s">
        <v>583</v>
      </c>
      <c r="DT109">
        <v>1.2500000000000001E-2</v>
      </c>
      <c r="DU109">
        <v>1.2500000000000001E-2</v>
      </c>
      <c r="DV109">
        <v>0.32500000000000001</v>
      </c>
      <c r="DW109">
        <v>0.32500000000000001</v>
      </c>
      <c r="DX109">
        <v>0.32500000000000001</v>
      </c>
      <c r="DY109">
        <v>49.429822351728262</v>
      </c>
      <c r="DZ109" s="4">
        <v>4.01</v>
      </c>
      <c r="EA109" s="4" t="s">
        <v>340</v>
      </c>
      <c r="EB109" s="4" t="s">
        <v>341</v>
      </c>
      <c r="EC109">
        <v>4.8239999999999998</v>
      </c>
      <c r="ED109">
        <v>24</v>
      </c>
      <c r="EE109" t="s">
        <v>734</v>
      </c>
      <c r="EF109">
        <v>0</v>
      </c>
      <c r="EH109">
        <f t="shared" si="3"/>
        <v>0.58000000000000007</v>
      </c>
      <c r="EI109">
        <v>3.38</v>
      </c>
      <c r="EJ109">
        <v>3.65</v>
      </c>
    </row>
    <row r="110" spans="1:140" x14ac:dyDescent="0.35">
      <c r="A110" s="1">
        <v>108</v>
      </c>
      <c r="B110">
        <v>-104.1010960202868</v>
      </c>
      <c r="C110">
        <v>36.11859387211377</v>
      </c>
      <c r="D110" t="s">
        <v>735</v>
      </c>
      <c r="E110">
        <v>0.1</v>
      </c>
      <c r="F110" t="s">
        <v>135</v>
      </c>
      <c r="G110">
        <v>4.6100000000000002E-2</v>
      </c>
      <c r="H110" t="s">
        <v>161</v>
      </c>
      <c r="I110">
        <v>-11588481</v>
      </c>
      <c r="J110">
        <v>4316952</v>
      </c>
      <c r="K110" t="s">
        <v>337</v>
      </c>
      <c r="L110" t="s">
        <v>736</v>
      </c>
      <c r="M110">
        <v>12</v>
      </c>
      <c r="N110">
        <v>4.9889999999999999</v>
      </c>
      <c r="O110">
        <v>4</v>
      </c>
      <c r="P110">
        <v>8</v>
      </c>
      <c r="Q110">
        <v>35</v>
      </c>
      <c r="R110">
        <v>21</v>
      </c>
      <c r="S110">
        <v>655</v>
      </c>
      <c r="T110" t="s">
        <v>333</v>
      </c>
      <c r="U110">
        <v>5.7453557453557451</v>
      </c>
      <c r="V110" t="s">
        <v>337</v>
      </c>
      <c r="W110">
        <v>9.1799999999999993E-2</v>
      </c>
      <c r="X110">
        <v>10</v>
      </c>
      <c r="Y110">
        <v>8.9</v>
      </c>
      <c r="Z110">
        <v>8.9</v>
      </c>
      <c r="AA110">
        <v>20</v>
      </c>
      <c r="AB110">
        <v>26</v>
      </c>
      <c r="AC110">
        <v>0.74299999999999999</v>
      </c>
      <c r="AD110">
        <v>67</v>
      </c>
      <c r="AE110">
        <v>0.1180864589955499</v>
      </c>
      <c r="AF110">
        <v>2.86</v>
      </c>
      <c r="AG110" t="s">
        <v>333</v>
      </c>
      <c r="AH110" t="s">
        <v>337</v>
      </c>
      <c r="AI110">
        <v>32</v>
      </c>
      <c r="AJ110">
        <v>1.066666666666667E-2</v>
      </c>
      <c r="AK110">
        <v>10.66666666666667</v>
      </c>
      <c r="AL110" t="s">
        <v>737</v>
      </c>
      <c r="AM110">
        <v>45716.367513254358</v>
      </c>
      <c r="AN110">
        <v>1.25</v>
      </c>
      <c r="AO110">
        <v>0.09</v>
      </c>
      <c r="AP110">
        <v>0.19</v>
      </c>
      <c r="AQ110">
        <v>0.96</v>
      </c>
      <c r="AR110">
        <v>0.91</v>
      </c>
      <c r="AS110">
        <v>0.04</v>
      </c>
      <c r="AT110">
        <v>0.01</v>
      </c>
      <c r="AU110">
        <v>0.02</v>
      </c>
      <c r="AV110">
        <v>2.1800000000000002</v>
      </c>
      <c r="AW110">
        <v>1.18</v>
      </c>
      <c r="AX110">
        <v>0.21</v>
      </c>
      <c r="AY110">
        <v>0.53</v>
      </c>
      <c r="AZ110">
        <v>0</v>
      </c>
      <c r="BA110">
        <v>0.97</v>
      </c>
      <c r="BB110">
        <v>0.08</v>
      </c>
      <c r="BC110">
        <v>0.14000000000000001</v>
      </c>
      <c r="BD110">
        <v>0.27</v>
      </c>
      <c r="BE110">
        <v>5.72</v>
      </c>
      <c r="BF110">
        <v>5.03</v>
      </c>
      <c r="BG110">
        <v>0.24</v>
      </c>
      <c r="BH110">
        <v>0.45</v>
      </c>
      <c r="BI110">
        <v>0</v>
      </c>
      <c r="BJ110">
        <v>0.04</v>
      </c>
      <c r="BK110">
        <v>4.99</v>
      </c>
      <c r="BL110">
        <v>0</v>
      </c>
      <c r="BM110">
        <v>1.73</v>
      </c>
      <c r="BN110">
        <v>0.21</v>
      </c>
      <c r="BO110">
        <v>0.46</v>
      </c>
      <c r="BP110">
        <v>1.05</v>
      </c>
      <c r="BQ110">
        <v>0.9</v>
      </c>
      <c r="BR110">
        <v>0.06</v>
      </c>
      <c r="BS110">
        <v>0.1</v>
      </c>
      <c r="BT110">
        <v>0</v>
      </c>
      <c r="BU110">
        <v>6.12</v>
      </c>
      <c r="BV110">
        <v>5.0599999999999996</v>
      </c>
      <c r="BW110">
        <v>0.34</v>
      </c>
      <c r="BX110">
        <v>0.72</v>
      </c>
      <c r="BY110">
        <v>0</v>
      </c>
      <c r="BZ110">
        <v>0.04</v>
      </c>
      <c r="CA110">
        <v>5.0199999999999996</v>
      </c>
      <c r="CB110">
        <v>0</v>
      </c>
      <c r="CC110">
        <f t="shared" si="2"/>
        <v>2.75</v>
      </c>
      <c r="CD110">
        <v>3.96</v>
      </c>
      <c r="CE110">
        <v>0.34230769230769231</v>
      </c>
      <c r="CF110">
        <v>0.44500000000000001</v>
      </c>
      <c r="CG110">
        <v>0.1492537313432836</v>
      </c>
      <c r="CH110">
        <v>0.25979020979020978</v>
      </c>
      <c r="CI110">
        <v>0</v>
      </c>
      <c r="CJ110">
        <v>3568</v>
      </c>
      <c r="CK110" t="s">
        <v>141</v>
      </c>
      <c r="CL110" t="s">
        <v>738</v>
      </c>
      <c r="CM110" t="s">
        <v>143</v>
      </c>
      <c r="CN110">
        <v>0.55144290592699996</v>
      </c>
      <c r="CO110">
        <v>93.714316366254025</v>
      </c>
      <c r="CP110">
        <v>109</v>
      </c>
      <c r="CQ110" t="s">
        <v>739</v>
      </c>
      <c r="CR110">
        <v>127</v>
      </c>
      <c r="CS110" t="s">
        <v>740</v>
      </c>
      <c r="CT110" t="s">
        <v>577</v>
      </c>
      <c r="CU110" t="s">
        <v>454</v>
      </c>
      <c r="CV110" t="s">
        <v>741</v>
      </c>
      <c r="CW110" t="s">
        <v>742</v>
      </c>
      <c r="CX110" t="s">
        <v>743</v>
      </c>
      <c r="CY110" t="s">
        <v>742</v>
      </c>
      <c r="CZ110" t="s">
        <v>206</v>
      </c>
      <c r="DA110" t="s">
        <v>152</v>
      </c>
      <c r="DB110" t="s">
        <v>178</v>
      </c>
      <c r="DC110" t="s">
        <v>365</v>
      </c>
      <c r="DD110" t="s">
        <v>582</v>
      </c>
      <c r="DE110">
        <v>24922</v>
      </c>
      <c r="DF110">
        <v>-103.77965500000001</v>
      </c>
      <c r="DG110">
        <v>39.885283000000001</v>
      </c>
      <c r="DH110">
        <v>6320</v>
      </c>
      <c r="DI110">
        <v>210</v>
      </c>
      <c r="DJ110">
        <v>2738</v>
      </c>
      <c r="DK110">
        <v>136</v>
      </c>
      <c r="DL110">
        <v>13</v>
      </c>
      <c r="DO110">
        <v>31</v>
      </c>
      <c r="DR110">
        <v>49000</v>
      </c>
      <c r="DS110" t="s">
        <v>583</v>
      </c>
      <c r="DT110">
        <v>1.2500000000000001E-2</v>
      </c>
      <c r="DU110">
        <v>1.2500000000000001E-2</v>
      </c>
      <c r="DV110">
        <v>0.32500000000000001</v>
      </c>
      <c r="DW110">
        <v>0.32500000000000001</v>
      </c>
      <c r="DX110">
        <v>0.32500000000000001</v>
      </c>
      <c r="DY110">
        <v>47.413473500487449</v>
      </c>
      <c r="DZ110" s="4">
        <v>4.01</v>
      </c>
      <c r="EA110" s="4" t="s">
        <v>340</v>
      </c>
      <c r="EB110" s="4" t="s">
        <v>341</v>
      </c>
      <c r="EC110">
        <v>4.8239999999999998</v>
      </c>
      <c r="ED110">
        <v>386</v>
      </c>
      <c r="EE110" t="s">
        <v>737</v>
      </c>
      <c r="EF110">
        <v>0.33689408445730618</v>
      </c>
      <c r="EH110">
        <f t="shared" si="3"/>
        <v>0.58000000000000007</v>
      </c>
      <c r="EI110">
        <v>3.38</v>
      </c>
      <c r="EJ110">
        <v>3.65</v>
      </c>
    </row>
    <row r="111" spans="1:140" x14ac:dyDescent="0.35">
      <c r="A111" s="1">
        <v>109</v>
      </c>
      <c r="B111">
        <v>-102.30446545204769</v>
      </c>
      <c r="C111">
        <v>36.11859387211377</v>
      </c>
      <c r="D111" t="s">
        <v>744</v>
      </c>
      <c r="E111">
        <v>0.1</v>
      </c>
      <c r="F111" t="s">
        <v>135</v>
      </c>
      <c r="G111">
        <v>6.5299999999999997E-2</v>
      </c>
      <c r="H111" t="s">
        <v>161</v>
      </c>
      <c r="I111">
        <v>-11388481</v>
      </c>
      <c r="J111">
        <v>4316952</v>
      </c>
      <c r="K111" t="s">
        <v>165</v>
      </c>
      <c r="L111" t="s">
        <v>745</v>
      </c>
      <c r="M111">
        <v>56</v>
      </c>
      <c r="N111">
        <v>3.5990000000000002</v>
      </c>
      <c r="O111">
        <v>3</v>
      </c>
      <c r="P111">
        <v>7</v>
      </c>
      <c r="Q111">
        <v>48</v>
      </c>
      <c r="R111">
        <v>111</v>
      </c>
      <c r="S111">
        <v>7121</v>
      </c>
      <c r="T111" t="s">
        <v>167</v>
      </c>
      <c r="U111">
        <v>4.3100995732574674</v>
      </c>
      <c r="V111" t="s">
        <v>165</v>
      </c>
      <c r="W111">
        <v>9.7899999999999987E-2</v>
      </c>
      <c r="X111">
        <v>10</v>
      </c>
      <c r="Y111">
        <v>8.9</v>
      </c>
      <c r="Z111">
        <v>8.9</v>
      </c>
      <c r="AA111">
        <v>20</v>
      </c>
      <c r="AB111">
        <v>26</v>
      </c>
      <c r="AC111">
        <v>0.82299999999999995</v>
      </c>
      <c r="AD111">
        <v>67</v>
      </c>
      <c r="AE111">
        <v>0.1308010171646535</v>
      </c>
      <c r="AF111">
        <v>2.86</v>
      </c>
      <c r="AG111" t="s">
        <v>167</v>
      </c>
      <c r="AH111" t="s">
        <v>165</v>
      </c>
      <c r="AI111">
        <v>37</v>
      </c>
      <c r="AJ111">
        <v>1.233333333333333E-2</v>
      </c>
      <c r="AK111">
        <v>12.33333333333333</v>
      </c>
      <c r="AL111" t="s">
        <v>746</v>
      </c>
      <c r="AM111">
        <v>18002.274898477299</v>
      </c>
      <c r="AN111">
        <v>1.03</v>
      </c>
      <c r="AO111">
        <v>0.09</v>
      </c>
      <c r="AP111">
        <v>0.19</v>
      </c>
      <c r="AQ111">
        <v>0.74</v>
      </c>
      <c r="AR111">
        <v>0.68</v>
      </c>
      <c r="AS111">
        <v>0.04</v>
      </c>
      <c r="AT111">
        <v>0.01</v>
      </c>
      <c r="AU111">
        <v>0.02</v>
      </c>
      <c r="AV111">
        <v>1.95</v>
      </c>
      <c r="AW111">
        <v>0.96</v>
      </c>
      <c r="AX111">
        <v>0.21</v>
      </c>
      <c r="AY111">
        <v>0.53</v>
      </c>
      <c r="AZ111">
        <v>0</v>
      </c>
      <c r="BA111">
        <v>0.72</v>
      </c>
      <c r="BB111">
        <v>0.08</v>
      </c>
      <c r="BC111">
        <v>0.15</v>
      </c>
      <c r="BD111">
        <v>0.27</v>
      </c>
      <c r="BE111">
        <v>6.28</v>
      </c>
      <c r="BF111">
        <v>5.59</v>
      </c>
      <c r="BG111">
        <v>0.24</v>
      </c>
      <c r="BH111">
        <v>0.45</v>
      </c>
      <c r="BI111">
        <v>0</v>
      </c>
      <c r="BJ111">
        <v>0.04</v>
      </c>
      <c r="BK111">
        <v>5.55</v>
      </c>
      <c r="BL111">
        <v>0</v>
      </c>
      <c r="BM111">
        <v>1.51</v>
      </c>
      <c r="BN111">
        <v>0.21</v>
      </c>
      <c r="BO111">
        <v>0.46</v>
      </c>
      <c r="BP111">
        <v>0.84</v>
      </c>
      <c r="BQ111">
        <v>0.67</v>
      </c>
      <c r="BR111">
        <v>0.06</v>
      </c>
      <c r="BS111">
        <v>0.11</v>
      </c>
      <c r="BT111">
        <v>0</v>
      </c>
      <c r="BU111">
        <v>6.68</v>
      </c>
      <c r="BV111">
        <v>5.62</v>
      </c>
      <c r="BW111">
        <v>0.34</v>
      </c>
      <c r="BX111">
        <v>0.72</v>
      </c>
      <c r="BY111">
        <v>0</v>
      </c>
      <c r="BZ111">
        <v>0.04</v>
      </c>
      <c r="CA111">
        <v>5.58</v>
      </c>
      <c r="CB111">
        <v>0</v>
      </c>
      <c r="CC111">
        <f t="shared" si="2"/>
        <v>2.75</v>
      </c>
      <c r="CD111">
        <v>3.96</v>
      </c>
      <c r="CE111">
        <v>0.34230769230769231</v>
      </c>
      <c r="CF111">
        <v>0.44500000000000001</v>
      </c>
      <c r="CG111">
        <v>0.1492537313432836</v>
      </c>
      <c r="CH111">
        <v>0.28776223776223769</v>
      </c>
      <c r="CI111">
        <v>0</v>
      </c>
      <c r="CJ111">
        <v>3359</v>
      </c>
      <c r="CK111" t="s">
        <v>141</v>
      </c>
      <c r="CL111" t="s">
        <v>738</v>
      </c>
      <c r="CM111" t="s">
        <v>143</v>
      </c>
      <c r="CN111">
        <v>0.120136643269</v>
      </c>
      <c r="CO111">
        <v>19.93915166333041</v>
      </c>
      <c r="CP111">
        <v>110</v>
      </c>
      <c r="CQ111" t="s">
        <v>201</v>
      </c>
      <c r="CR111">
        <v>17</v>
      </c>
      <c r="CS111" t="s">
        <v>596</v>
      </c>
      <c r="CT111" t="s">
        <v>332</v>
      </c>
      <c r="CU111" t="s">
        <v>167</v>
      </c>
      <c r="CV111" t="s">
        <v>597</v>
      </c>
      <c r="CW111" t="s">
        <v>598</v>
      </c>
      <c r="CX111" t="s">
        <v>599</v>
      </c>
      <c r="CY111" t="s">
        <v>205</v>
      </c>
      <c r="CZ111" t="s">
        <v>206</v>
      </c>
      <c r="DA111" t="s">
        <v>152</v>
      </c>
      <c r="DB111" t="s">
        <v>153</v>
      </c>
      <c r="DC111" t="s">
        <v>207</v>
      </c>
      <c r="DD111" t="s">
        <v>208</v>
      </c>
      <c r="DE111">
        <v>15157</v>
      </c>
      <c r="DF111">
        <v>-101.65746</v>
      </c>
      <c r="DG111">
        <v>34.678773</v>
      </c>
      <c r="DH111">
        <v>5517</v>
      </c>
      <c r="DI111">
        <v>724</v>
      </c>
      <c r="DJ111">
        <v>2390</v>
      </c>
      <c r="DK111">
        <v>94</v>
      </c>
      <c r="DL111">
        <v>8.5</v>
      </c>
      <c r="DO111">
        <v>42</v>
      </c>
      <c r="DP111">
        <v>0.6</v>
      </c>
      <c r="DQ111">
        <v>746</v>
      </c>
      <c r="DS111" t="s">
        <v>209</v>
      </c>
      <c r="DT111">
        <v>1.2500000000000001E-2</v>
      </c>
      <c r="DU111">
        <v>1.2500000000000001E-2</v>
      </c>
      <c r="DV111">
        <v>0.32500000000000001</v>
      </c>
      <c r="DW111">
        <v>0.32500000000000001</v>
      </c>
      <c r="DX111">
        <v>0.32500000000000001</v>
      </c>
      <c r="DY111">
        <v>67.023334563405498</v>
      </c>
      <c r="DZ111" s="4">
        <v>3.4470000000000001</v>
      </c>
      <c r="EA111" s="4" t="s">
        <v>182</v>
      </c>
      <c r="EB111" s="4" t="s">
        <v>183</v>
      </c>
      <c r="EC111">
        <v>4.4379999999999997</v>
      </c>
      <c r="ED111">
        <v>234</v>
      </c>
      <c r="EE111" t="s">
        <v>746</v>
      </c>
      <c r="EF111">
        <v>0.15498646136876551</v>
      </c>
      <c r="EH111">
        <f t="shared" si="3"/>
        <v>0.58000000000000007</v>
      </c>
      <c r="EI111">
        <v>3.38</v>
      </c>
      <c r="EJ111">
        <v>3.65</v>
      </c>
    </row>
    <row r="112" spans="1:140" x14ac:dyDescent="0.35">
      <c r="A112" s="1">
        <v>110</v>
      </c>
      <c r="B112">
        <v>-100.5078348838087</v>
      </c>
      <c r="C112">
        <v>36.11859387211377</v>
      </c>
      <c r="D112" t="s">
        <v>747</v>
      </c>
      <c r="E112">
        <v>0.1</v>
      </c>
      <c r="F112" t="s">
        <v>135</v>
      </c>
      <c r="G112">
        <v>4.8399999999999999E-2</v>
      </c>
      <c r="H112" t="s">
        <v>161</v>
      </c>
      <c r="I112">
        <v>-11188481</v>
      </c>
      <c r="J112">
        <v>4316952</v>
      </c>
      <c r="K112" t="s">
        <v>165</v>
      </c>
      <c r="L112" t="s">
        <v>748</v>
      </c>
      <c r="M112">
        <v>148</v>
      </c>
      <c r="N112">
        <v>3.5920000000000001</v>
      </c>
      <c r="O112">
        <v>3</v>
      </c>
      <c r="P112">
        <v>7</v>
      </c>
      <c r="Q112">
        <v>48</v>
      </c>
      <c r="R112">
        <v>295</v>
      </c>
      <c r="S112">
        <v>3058</v>
      </c>
      <c r="T112" t="s">
        <v>167</v>
      </c>
      <c r="U112">
        <v>4.3100995732574674</v>
      </c>
      <c r="V112" t="s">
        <v>165</v>
      </c>
      <c r="W112">
        <v>9.7899999999999987E-2</v>
      </c>
      <c r="X112">
        <v>10</v>
      </c>
      <c r="Y112">
        <v>8.9</v>
      </c>
      <c r="Z112">
        <v>8.9</v>
      </c>
      <c r="AA112">
        <v>20</v>
      </c>
      <c r="AB112">
        <v>26</v>
      </c>
      <c r="AC112">
        <v>0.82299999999999995</v>
      </c>
      <c r="AD112">
        <v>67</v>
      </c>
      <c r="AE112">
        <v>0.1308010171646535</v>
      </c>
      <c r="AF112">
        <v>2.86</v>
      </c>
      <c r="AG112" t="s">
        <v>167</v>
      </c>
      <c r="AH112" t="s">
        <v>165</v>
      </c>
      <c r="AI112">
        <v>37</v>
      </c>
      <c r="AJ112">
        <v>1.233333333333333E-2</v>
      </c>
      <c r="AK112">
        <v>12.33333333333333</v>
      </c>
      <c r="AL112" t="s">
        <v>749</v>
      </c>
      <c r="AM112">
        <v>64920.12291177475</v>
      </c>
      <c r="AN112">
        <v>1.03</v>
      </c>
      <c r="AO112">
        <v>0.09</v>
      </c>
      <c r="AP112">
        <v>0.19</v>
      </c>
      <c r="AQ112">
        <v>0.74</v>
      </c>
      <c r="AR112">
        <v>0.68</v>
      </c>
      <c r="AS112">
        <v>0.04</v>
      </c>
      <c r="AT112">
        <v>0.01</v>
      </c>
      <c r="AU112">
        <v>0.02</v>
      </c>
      <c r="AV112">
        <v>1.95</v>
      </c>
      <c r="AW112">
        <v>0.96</v>
      </c>
      <c r="AX112">
        <v>0.21</v>
      </c>
      <c r="AY112">
        <v>0.53</v>
      </c>
      <c r="AZ112">
        <v>0</v>
      </c>
      <c r="BA112">
        <v>0.72</v>
      </c>
      <c r="BB112">
        <v>0.08</v>
      </c>
      <c r="BC112">
        <v>0.15</v>
      </c>
      <c r="BD112">
        <v>0.27</v>
      </c>
      <c r="BE112">
        <v>6.28</v>
      </c>
      <c r="BF112">
        <v>5.59</v>
      </c>
      <c r="BG112">
        <v>0.24</v>
      </c>
      <c r="BH112">
        <v>0.45</v>
      </c>
      <c r="BI112">
        <v>0</v>
      </c>
      <c r="BJ112">
        <v>0.04</v>
      </c>
      <c r="BK112">
        <v>5.55</v>
      </c>
      <c r="BL112">
        <v>0</v>
      </c>
      <c r="BM112">
        <v>1.51</v>
      </c>
      <c r="BN112">
        <v>0.21</v>
      </c>
      <c r="BO112">
        <v>0.46</v>
      </c>
      <c r="BP112">
        <v>0.84</v>
      </c>
      <c r="BQ112">
        <v>0.67</v>
      </c>
      <c r="BR112">
        <v>0.06</v>
      </c>
      <c r="BS112">
        <v>0.11</v>
      </c>
      <c r="BT112">
        <v>0</v>
      </c>
      <c r="BU112">
        <v>6.68</v>
      </c>
      <c r="BV112">
        <v>5.62</v>
      </c>
      <c r="BW112">
        <v>0.34</v>
      </c>
      <c r="BX112">
        <v>0.72</v>
      </c>
      <c r="BY112">
        <v>0</v>
      </c>
      <c r="BZ112">
        <v>0.04</v>
      </c>
      <c r="CA112">
        <v>5.58</v>
      </c>
      <c r="CB112">
        <v>0</v>
      </c>
      <c r="CC112">
        <f t="shared" si="2"/>
        <v>2.75</v>
      </c>
      <c r="CD112">
        <v>3.96</v>
      </c>
      <c r="CE112">
        <v>0.34230769230769231</v>
      </c>
      <c r="CF112">
        <v>0.44500000000000001</v>
      </c>
      <c r="CG112">
        <v>0.1492537313432836</v>
      </c>
      <c r="CH112">
        <v>0.28776223776223769</v>
      </c>
      <c r="CI112">
        <v>0</v>
      </c>
      <c r="CJ112">
        <v>29485</v>
      </c>
      <c r="CK112" t="s">
        <v>141</v>
      </c>
      <c r="CL112" t="s">
        <v>564</v>
      </c>
      <c r="CM112" t="s">
        <v>143</v>
      </c>
      <c r="CN112">
        <v>0.424981218296</v>
      </c>
      <c r="CO112">
        <v>2.2094635440706241</v>
      </c>
      <c r="CP112">
        <v>111</v>
      </c>
      <c r="CQ112" t="s">
        <v>484</v>
      </c>
      <c r="CR112">
        <v>1</v>
      </c>
      <c r="CS112" t="s">
        <v>485</v>
      </c>
      <c r="CT112" t="s">
        <v>486</v>
      </c>
      <c r="CU112" t="s">
        <v>487</v>
      </c>
      <c r="CV112" t="s">
        <v>488</v>
      </c>
      <c r="CW112" t="s">
        <v>489</v>
      </c>
      <c r="CX112" t="s">
        <v>490</v>
      </c>
      <c r="CY112" t="s">
        <v>490</v>
      </c>
      <c r="CZ112" t="s">
        <v>206</v>
      </c>
      <c r="DA112" t="s">
        <v>152</v>
      </c>
      <c r="DB112" t="s">
        <v>491</v>
      </c>
      <c r="DC112" t="s">
        <v>459</v>
      </c>
      <c r="DD112" t="s">
        <v>492</v>
      </c>
      <c r="DE112">
        <v>10229</v>
      </c>
      <c r="DF112">
        <v>-98.554415000000006</v>
      </c>
      <c r="DG112">
        <v>36.399382000000003</v>
      </c>
      <c r="DH112">
        <v>6562</v>
      </c>
      <c r="DI112">
        <v>572</v>
      </c>
      <c r="DJ112">
        <v>2640</v>
      </c>
      <c r="DK112">
        <v>139</v>
      </c>
      <c r="DL112">
        <v>10</v>
      </c>
      <c r="DO112">
        <v>50</v>
      </c>
      <c r="DR112">
        <v>150000</v>
      </c>
      <c r="DS112">
        <v>42</v>
      </c>
      <c r="DT112">
        <v>1.2500000000000001E-2</v>
      </c>
      <c r="DU112">
        <v>1.2500000000000001E-2</v>
      </c>
      <c r="DV112">
        <v>0.32500000000000001</v>
      </c>
      <c r="DW112">
        <v>0.32500000000000001</v>
      </c>
      <c r="DX112">
        <v>0.32500000000000001</v>
      </c>
      <c r="DY112">
        <v>32.726319810780637</v>
      </c>
      <c r="DZ112" s="4">
        <v>3.4470000000000001</v>
      </c>
      <c r="EA112" s="4" t="s">
        <v>182</v>
      </c>
      <c r="EB112" s="4" t="s">
        <v>183</v>
      </c>
      <c r="EC112">
        <v>4.4379999999999997</v>
      </c>
      <c r="ED112">
        <v>746</v>
      </c>
      <c r="EE112" t="s">
        <v>606</v>
      </c>
      <c r="EF112">
        <v>0.50034303126720858</v>
      </c>
      <c r="EH112">
        <f t="shared" si="3"/>
        <v>0.58000000000000007</v>
      </c>
      <c r="EI112">
        <v>3.38</v>
      </c>
      <c r="EJ112">
        <v>3.65</v>
      </c>
    </row>
    <row r="113" spans="1:140" x14ac:dyDescent="0.35">
      <c r="A113" s="1">
        <v>111</v>
      </c>
      <c r="B113">
        <v>-98.711204315569631</v>
      </c>
      <c r="C113">
        <v>36.11859387211377</v>
      </c>
      <c r="D113" t="s">
        <v>750</v>
      </c>
      <c r="E113">
        <v>0.02</v>
      </c>
      <c r="F113" t="s">
        <v>160</v>
      </c>
      <c r="G113">
        <v>4.8399999999999999E-2</v>
      </c>
      <c r="H113" t="s">
        <v>161</v>
      </c>
      <c r="I113">
        <v>-10988481</v>
      </c>
      <c r="J113">
        <v>4316952</v>
      </c>
      <c r="K113" t="s">
        <v>608</v>
      </c>
      <c r="L113" t="s">
        <v>751</v>
      </c>
      <c r="M113">
        <v>22</v>
      </c>
      <c r="N113">
        <v>3.726</v>
      </c>
      <c r="O113">
        <v>3</v>
      </c>
      <c r="P113">
        <v>7</v>
      </c>
      <c r="Q113">
        <v>40</v>
      </c>
      <c r="R113">
        <v>43</v>
      </c>
      <c r="S113">
        <v>4481</v>
      </c>
      <c r="T113" t="s">
        <v>487</v>
      </c>
      <c r="U113">
        <v>6.8431213168055267</v>
      </c>
      <c r="V113" t="s">
        <v>608</v>
      </c>
      <c r="W113">
        <v>9.0899999999999995E-2</v>
      </c>
      <c r="X113">
        <v>10</v>
      </c>
      <c r="Y113">
        <v>8.9</v>
      </c>
      <c r="Z113">
        <v>8.9</v>
      </c>
      <c r="AA113">
        <v>20</v>
      </c>
      <c r="AB113">
        <v>26</v>
      </c>
      <c r="AC113">
        <v>0.67300000000000004</v>
      </c>
      <c r="AD113">
        <v>67</v>
      </c>
      <c r="AE113">
        <v>0.1069612205975842</v>
      </c>
      <c r="AF113">
        <v>2.86</v>
      </c>
      <c r="AG113" t="s">
        <v>487</v>
      </c>
      <c r="AH113" t="s">
        <v>608</v>
      </c>
      <c r="AI113">
        <v>35</v>
      </c>
      <c r="AJ113">
        <v>1.1666666666666671E-2</v>
      </c>
      <c r="AK113">
        <v>11.66666666666667</v>
      </c>
      <c r="AL113" t="s">
        <v>752</v>
      </c>
      <c r="AM113">
        <v>27870.785576990711</v>
      </c>
      <c r="AN113">
        <v>1.42</v>
      </c>
      <c r="AO113">
        <v>0.09</v>
      </c>
      <c r="AP113">
        <v>0.19</v>
      </c>
      <c r="AQ113">
        <v>1.1399999999999999</v>
      </c>
      <c r="AR113">
        <v>1.08</v>
      </c>
      <c r="AS113">
        <v>0.04</v>
      </c>
      <c r="AT113">
        <v>0.01</v>
      </c>
      <c r="AU113">
        <v>0.02</v>
      </c>
      <c r="AV113">
        <v>2.36</v>
      </c>
      <c r="AW113">
        <v>1.37</v>
      </c>
      <c r="AX113">
        <v>0.21</v>
      </c>
      <c r="AY113">
        <v>0.53</v>
      </c>
      <c r="AZ113">
        <v>0</v>
      </c>
      <c r="BA113">
        <v>1.1499999999999999</v>
      </c>
      <c r="BB113">
        <v>0.08</v>
      </c>
      <c r="BC113">
        <v>0.14000000000000001</v>
      </c>
      <c r="BD113">
        <v>0.27</v>
      </c>
      <c r="BE113">
        <v>5.72</v>
      </c>
      <c r="BF113">
        <v>5.03</v>
      </c>
      <c r="BG113">
        <v>0.24</v>
      </c>
      <c r="BH113">
        <v>0.45</v>
      </c>
      <c r="BI113">
        <v>0</v>
      </c>
      <c r="BJ113">
        <v>0.04</v>
      </c>
      <c r="BK113">
        <v>4.99</v>
      </c>
      <c r="BL113">
        <v>0</v>
      </c>
      <c r="BM113">
        <v>1.9</v>
      </c>
      <c r="BN113">
        <v>0.21</v>
      </c>
      <c r="BO113">
        <v>0.46</v>
      </c>
      <c r="BP113">
        <v>1.22</v>
      </c>
      <c r="BQ113">
        <v>1.07</v>
      </c>
      <c r="BR113">
        <v>0.06</v>
      </c>
      <c r="BS113">
        <v>0.1</v>
      </c>
      <c r="BT113">
        <v>0</v>
      </c>
      <c r="BU113">
        <v>6.12</v>
      </c>
      <c r="BV113">
        <v>5.0599999999999996</v>
      </c>
      <c r="BW113">
        <v>0.34</v>
      </c>
      <c r="BX113">
        <v>0.72</v>
      </c>
      <c r="BY113">
        <v>0</v>
      </c>
      <c r="BZ113">
        <v>0.04</v>
      </c>
      <c r="CA113">
        <v>5.0199999999999996</v>
      </c>
      <c r="CB113">
        <v>0</v>
      </c>
      <c r="CC113">
        <f t="shared" si="2"/>
        <v>2.75</v>
      </c>
      <c r="CD113">
        <v>3.96</v>
      </c>
      <c r="CE113">
        <v>0.34230769230769231</v>
      </c>
      <c r="CF113">
        <v>0.44500000000000001</v>
      </c>
      <c r="CG113">
        <v>0.1492537313432836</v>
      </c>
      <c r="CH113">
        <v>0.2353146853146853</v>
      </c>
      <c r="CI113">
        <v>0</v>
      </c>
      <c r="CJ113">
        <v>4822</v>
      </c>
      <c r="CK113" t="s">
        <v>169</v>
      </c>
      <c r="CL113" t="s">
        <v>753</v>
      </c>
      <c r="CM113" t="s">
        <v>143</v>
      </c>
      <c r="CN113">
        <v>2.5719357644100001E-2</v>
      </c>
      <c r="CO113">
        <v>4.5067058211942479</v>
      </c>
      <c r="CP113">
        <v>112</v>
      </c>
      <c r="CQ113" t="s">
        <v>484</v>
      </c>
      <c r="CR113">
        <v>1</v>
      </c>
      <c r="CS113" t="s">
        <v>485</v>
      </c>
      <c r="CT113" t="s">
        <v>486</v>
      </c>
      <c r="CU113" t="s">
        <v>487</v>
      </c>
      <c r="CV113" t="s">
        <v>488</v>
      </c>
      <c r="CW113" t="s">
        <v>489</v>
      </c>
      <c r="CX113" t="s">
        <v>490</v>
      </c>
      <c r="CY113" t="s">
        <v>490</v>
      </c>
      <c r="CZ113" t="s">
        <v>206</v>
      </c>
      <c r="DA113" t="s">
        <v>152</v>
      </c>
      <c r="DB113" t="s">
        <v>491</v>
      </c>
      <c r="DC113" t="s">
        <v>459</v>
      </c>
      <c r="DD113" t="s">
        <v>492</v>
      </c>
      <c r="DE113">
        <v>10229</v>
      </c>
      <c r="DF113">
        <v>-98.554415000000006</v>
      </c>
      <c r="DG113">
        <v>36.399382000000003</v>
      </c>
      <c r="DH113">
        <v>6562</v>
      </c>
      <c r="DI113">
        <v>572</v>
      </c>
      <c r="DJ113">
        <v>2640</v>
      </c>
      <c r="DK113">
        <v>139</v>
      </c>
      <c r="DL113">
        <v>10</v>
      </c>
      <c r="DO113">
        <v>50</v>
      </c>
      <c r="DR113">
        <v>150000</v>
      </c>
      <c r="DS113">
        <v>42</v>
      </c>
      <c r="DT113">
        <v>1.2500000000000001E-2</v>
      </c>
      <c r="DU113">
        <v>1.2500000000000001E-2</v>
      </c>
      <c r="DV113">
        <v>0.32500000000000001</v>
      </c>
      <c r="DW113">
        <v>0.32500000000000001</v>
      </c>
      <c r="DX113">
        <v>0.32500000000000001</v>
      </c>
      <c r="DY113">
        <v>0</v>
      </c>
      <c r="DZ113" s="4">
        <v>3.4329999999999998</v>
      </c>
      <c r="EA113" s="4" t="s">
        <v>611</v>
      </c>
      <c r="EB113" s="4" t="s">
        <v>612</v>
      </c>
      <c r="EC113">
        <v>4.1470000000000002</v>
      </c>
      <c r="ED113">
        <v>868</v>
      </c>
      <c r="EE113" t="s">
        <v>752</v>
      </c>
      <c r="EF113">
        <v>0.2483919702867054</v>
      </c>
      <c r="EH113">
        <f t="shared" si="3"/>
        <v>0.58000000000000007</v>
      </c>
      <c r="EI113">
        <v>3.38</v>
      </c>
      <c r="EJ113">
        <v>3.65</v>
      </c>
    </row>
    <row r="114" spans="1:140" x14ac:dyDescent="0.35">
      <c r="A114" s="1">
        <v>112</v>
      </c>
      <c r="B114">
        <v>-96.914573747330593</v>
      </c>
      <c r="C114">
        <v>36.11859387211377</v>
      </c>
      <c r="D114" t="s">
        <v>754</v>
      </c>
      <c r="E114">
        <v>0.02</v>
      </c>
      <c r="F114" t="s">
        <v>160</v>
      </c>
      <c r="G114">
        <v>4.8399999999999999E-2</v>
      </c>
      <c r="H114" t="s">
        <v>161</v>
      </c>
      <c r="I114">
        <v>-10788481</v>
      </c>
      <c r="J114">
        <v>4316952</v>
      </c>
      <c r="K114" t="s">
        <v>608</v>
      </c>
      <c r="L114" t="s">
        <v>755</v>
      </c>
      <c r="M114">
        <v>60</v>
      </c>
      <c r="N114">
        <v>3.4620000000000002</v>
      </c>
      <c r="O114">
        <v>3</v>
      </c>
      <c r="P114">
        <v>7</v>
      </c>
      <c r="Q114">
        <v>40</v>
      </c>
      <c r="R114">
        <v>119</v>
      </c>
      <c r="S114">
        <v>81649</v>
      </c>
      <c r="T114" t="s">
        <v>487</v>
      </c>
      <c r="U114">
        <v>6.8431213168055267</v>
      </c>
      <c r="V114" t="s">
        <v>608</v>
      </c>
      <c r="W114">
        <v>9.0899999999999995E-2</v>
      </c>
      <c r="X114">
        <v>10</v>
      </c>
      <c r="Y114">
        <v>8.9</v>
      </c>
      <c r="Z114">
        <v>8.9</v>
      </c>
      <c r="AA114">
        <v>20</v>
      </c>
      <c r="AB114">
        <v>26</v>
      </c>
      <c r="AC114">
        <v>0.67300000000000004</v>
      </c>
      <c r="AD114">
        <v>67</v>
      </c>
      <c r="AE114">
        <v>0.1069612205975842</v>
      </c>
      <c r="AF114">
        <v>2.86</v>
      </c>
      <c r="AG114" t="s">
        <v>487</v>
      </c>
      <c r="AH114" t="s">
        <v>608</v>
      </c>
      <c r="AI114">
        <v>35</v>
      </c>
      <c r="AJ114">
        <v>1.1666666666666671E-2</v>
      </c>
      <c r="AK114">
        <v>11.66666666666667</v>
      </c>
      <c r="AL114" t="s">
        <v>756</v>
      </c>
      <c r="AM114">
        <v>0</v>
      </c>
      <c r="AN114">
        <v>1.42</v>
      </c>
      <c r="AO114">
        <v>0.09</v>
      </c>
      <c r="AP114">
        <v>0.19</v>
      </c>
      <c r="AQ114">
        <v>1.1399999999999999</v>
      </c>
      <c r="AR114">
        <v>1.08</v>
      </c>
      <c r="AS114">
        <v>0.04</v>
      </c>
      <c r="AT114">
        <v>0.01</v>
      </c>
      <c r="AU114">
        <v>0.02</v>
      </c>
      <c r="AV114">
        <v>2.36</v>
      </c>
      <c r="AW114">
        <v>1.37</v>
      </c>
      <c r="AX114">
        <v>0.21</v>
      </c>
      <c r="AY114">
        <v>0.53</v>
      </c>
      <c r="AZ114">
        <v>0</v>
      </c>
      <c r="BA114">
        <v>1.1499999999999999</v>
      </c>
      <c r="BB114">
        <v>0.08</v>
      </c>
      <c r="BC114">
        <v>0.14000000000000001</v>
      </c>
      <c r="BD114">
        <v>0.27</v>
      </c>
      <c r="BE114">
        <v>5.72</v>
      </c>
      <c r="BF114">
        <v>5.03</v>
      </c>
      <c r="BG114">
        <v>0.24</v>
      </c>
      <c r="BH114">
        <v>0.45</v>
      </c>
      <c r="BI114">
        <v>0</v>
      </c>
      <c r="BJ114">
        <v>0.04</v>
      </c>
      <c r="BK114">
        <v>4.99</v>
      </c>
      <c r="BL114">
        <v>0</v>
      </c>
      <c r="BM114">
        <v>1.9</v>
      </c>
      <c r="BN114">
        <v>0.21</v>
      </c>
      <c r="BO114">
        <v>0.46</v>
      </c>
      <c r="BP114">
        <v>1.22</v>
      </c>
      <c r="BQ114">
        <v>1.07</v>
      </c>
      <c r="BR114">
        <v>0.06</v>
      </c>
      <c r="BS114">
        <v>0.1</v>
      </c>
      <c r="BT114">
        <v>0</v>
      </c>
      <c r="BU114">
        <v>6.12</v>
      </c>
      <c r="BV114">
        <v>5.0599999999999996</v>
      </c>
      <c r="BW114">
        <v>0.34</v>
      </c>
      <c r="BX114">
        <v>0.72</v>
      </c>
      <c r="BY114">
        <v>0</v>
      </c>
      <c r="BZ114">
        <v>0.04</v>
      </c>
      <c r="CA114">
        <v>5.0199999999999996</v>
      </c>
      <c r="CB114">
        <v>0</v>
      </c>
      <c r="CC114">
        <f t="shared" si="2"/>
        <v>2.75</v>
      </c>
      <c r="CD114">
        <v>3.96</v>
      </c>
      <c r="CE114">
        <v>0.34230769230769231</v>
      </c>
      <c r="CF114">
        <v>0.44500000000000001</v>
      </c>
      <c r="CG114">
        <v>0.1492537313432836</v>
      </c>
      <c r="CH114">
        <v>0.2353146853146853</v>
      </c>
      <c r="CI114">
        <v>0</v>
      </c>
      <c r="CJ114">
        <v>31766</v>
      </c>
      <c r="CK114" t="s">
        <v>141</v>
      </c>
      <c r="CL114" t="s">
        <v>757</v>
      </c>
      <c r="CM114" t="s">
        <v>143</v>
      </c>
      <c r="CN114">
        <v>3.7658770617299999</v>
      </c>
      <c r="CO114">
        <v>1.19762611059827</v>
      </c>
      <c r="CP114">
        <v>113</v>
      </c>
      <c r="CQ114" t="s">
        <v>758</v>
      </c>
      <c r="CR114">
        <v>1</v>
      </c>
      <c r="CS114" t="s">
        <v>485</v>
      </c>
      <c r="CT114" t="s">
        <v>486</v>
      </c>
      <c r="CU114" t="s">
        <v>487</v>
      </c>
      <c r="CV114" t="s">
        <v>488</v>
      </c>
      <c r="CW114" t="s">
        <v>489</v>
      </c>
      <c r="CX114" t="s">
        <v>490</v>
      </c>
      <c r="CY114" t="s">
        <v>490</v>
      </c>
      <c r="CZ114" t="s">
        <v>206</v>
      </c>
      <c r="DA114" t="s">
        <v>152</v>
      </c>
      <c r="DB114" t="s">
        <v>491</v>
      </c>
      <c r="DC114" t="s">
        <v>459</v>
      </c>
      <c r="DD114" t="s">
        <v>492</v>
      </c>
      <c r="DE114">
        <v>10229</v>
      </c>
      <c r="DF114">
        <v>-98.554415000000006</v>
      </c>
      <c r="DG114">
        <v>36.399382000000003</v>
      </c>
      <c r="DH114">
        <v>6562</v>
      </c>
      <c r="DI114">
        <v>572</v>
      </c>
      <c r="DJ114">
        <v>2640</v>
      </c>
      <c r="DK114">
        <v>139</v>
      </c>
      <c r="DL114">
        <v>10</v>
      </c>
      <c r="DO114">
        <v>50</v>
      </c>
      <c r="DR114">
        <v>150000</v>
      </c>
      <c r="DS114">
        <v>42</v>
      </c>
      <c r="DT114">
        <v>1.2500000000000001E-2</v>
      </c>
      <c r="DU114">
        <v>1.2500000000000001E-2</v>
      </c>
      <c r="DV114">
        <v>0.32500000000000001</v>
      </c>
      <c r="DW114">
        <v>0.32500000000000001</v>
      </c>
      <c r="DX114">
        <v>0.32500000000000001</v>
      </c>
      <c r="DY114">
        <v>0</v>
      </c>
      <c r="DZ114" s="4">
        <v>3.4329999999999998</v>
      </c>
      <c r="EA114" s="4" t="s">
        <v>611</v>
      </c>
      <c r="EB114" s="4" t="s">
        <v>612</v>
      </c>
      <c r="EC114">
        <v>4.1470000000000002</v>
      </c>
      <c r="ED114">
        <v>601</v>
      </c>
      <c r="EE114" t="s">
        <v>756</v>
      </c>
      <c r="EF114">
        <v>0</v>
      </c>
      <c r="EH114">
        <f t="shared" si="3"/>
        <v>0.58000000000000007</v>
      </c>
      <c r="EI114">
        <v>3.38</v>
      </c>
      <c r="EJ114">
        <v>3.65</v>
      </c>
    </row>
    <row r="115" spans="1:140" x14ac:dyDescent="0.35">
      <c r="A115" s="1">
        <v>113</v>
      </c>
      <c r="B115">
        <v>-95.11794317909154</v>
      </c>
      <c r="C115">
        <v>36.11859387211377</v>
      </c>
      <c r="D115" t="s">
        <v>759</v>
      </c>
      <c r="E115">
        <v>0.1</v>
      </c>
      <c r="F115" t="s">
        <v>135</v>
      </c>
      <c r="G115">
        <v>4.8399999999999999E-2</v>
      </c>
      <c r="H115" t="s">
        <v>161</v>
      </c>
      <c r="I115">
        <v>-10588481</v>
      </c>
      <c r="J115">
        <v>4316952</v>
      </c>
      <c r="K115" t="s">
        <v>608</v>
      </c>
      <c r="L115" t="s">
        <v>371</v>
      </c>
      <c r="M115">
        <v>11</v>
      </c>
      <c r="N115">
        <v>3.3889999999999998</v>
      </c>
      <c r="O115">
        <v>3</v>
      </c>
      <c r="P115">
        <v>7</v>
      </c>
      <c r="Q115">
        <v>40</v>
      </c>
      <c r="R115">
        <v>21</v>
      </c>
      <c r="S115">
        <v>47073</v>
      </c>
      <c r="T115" t="s">
        <v>487</v>
      </c>
      <c r="U115">
        <v>6.8431213168055267</v>
      </c>
      <c r="V115" t="s">
        <v>608</v>
      </c>
      <c r="W115">
        <v>9.0899999999999995E-2</v>
      </c>
      <c r="X115">
        <v>10</v>
      </c>
      <c r="Y115">
        <v>8.9</v>
      </c>
      <c r="Z115">
        <v>8.9</v>
      </c>
      <c r="AA115">
        <v>20</v>
      </c>
      <c r="AB115">
        <v>26</v>
      </c>
      <c r="AC115">
        <v>0.67300000000000004</v>
      </c>
      <c r="AD115">
        <v>67</v>
      </c>
      <c r="AE115">
        <v>0.1069612205975842</v>
      </c>
      <c r="AF115">
        <v>2.86</v>
      </c>
      <c r="AG115" t="s">
        <v>487</v>
      </c>
      <c r="AH115" t="s">
        <v>608</v>
      </c>
      <c r="AI115">
        <v>35</v>
      </c>
      <c r="AJ115">
        <v>1.1666666666666671E-2</v>
      </c>
      <c r="AK115">
        <v>11.66666666666667</v>
      </c>
      <c r="AL115" t="s">
        <v>760</v>
      </c>
      <c r="AM115">
        <v>0</v>
      </c>
      <c r="AN115">
        <v>1.42</v>
      </c>
      <c r="AO115">
        <v>0.09</v>
      </c>
      <c r="AP115">
        <v>0.19</v>
      </c>
      <c r="AQ115">
        <v>1.1399999999999999</v>
      </c>
      <c r="AR115">
        <v>1.08</v>
      </c>
      <c r="AS115">
        <v>0.04</v>
      </c>
      <c r="AT115">
        <v>0.01</v>
      </c>
      <c r="AU115">
        <v>0.02</v>
      </c>
      <c r="AV115">
        <v>2.36</v>
      </c>
      <c r="AW115">
        <v>1.37</v>
      </c>
      <c r="AX115">
        <v>0.21</v>
      </c>
      <c r="AY115">
        <v>0.53</v>
      </c>
      <c r="AZ115">
        <v>0</v>
      </c>
      <c r="BA115">
        <v>1.1499999999999999</v>
      </c>
      <c r="BB115">
        <v>0.08</v>
      </c>
      <c r="BC115">
        <v>0.14000000000000001</v>
      </c>
      <c r="BD115">
        <v>0.27</v>
      </c>
      <c r="BE115">
        <v>5.72</v>
      </c>
      <c r="BF115">
        <v>5.03</v>
      </c>
      <c r="BG115">
        <v>0.24</v>
      </c>
      <c r="BH115">
        <v>0.45</v>
      </c>
      <c r="BI115">
        <v>0</v>
      </c>
      <c r="BJ115">
        <v>0.04</v>
      </c>
      <c r="BK115">
        <v>4.99</v>
      </c>
      <c r="BL115">
        <v>0</v>
      </c>
      <c r="BM115">
        <v>1.9</v>
      </c>
      <c r="BN115">
        <v>0.21</v>
      </c>
      <c r="BO115">
        <v>0.46</v>
      </c>
      <c r="BP115">
        <v>1.22</v>
      </c>
      <c r="BQ115">
        <v>1.07</v>
      </c>
      <c r="BR115">
        <v>0.06</v>
      </c>
      <c r="BS115">
        <v>0.1</v>
      </c>
      <c r="BT115">
        <v>0</v>
      </c>
      <c r="BU115">
        <v>6.12</v>
      </c>
      <c r="BV115">
        <v>5.0599999999999996</v>
      </c>
      <c r="BW115">
        <v>0.34</v>
      </c>
      <c r="BX115">
        <v>0.72</v>
      </c>
      <c r="BY115">
        <v>0</v>
      </c>
      <c r="BZ115">
        <v>0.04</v>
      </c>
      <c r="CA115">
        <v>5.0199999999999996</v>
      </c>
      <c r="CB115">
        <v>0</v>
      </c>
      <c r="CC115">
        <f t="shared" si="2"/>
        <v>2.75</v>
      </c>
      <c r="CD115">
        <v>3.96</v>
      </c>
      <c r="CE115">
        <v>0.34230769230769231</v>
      </c>
      <c r="CF115">
        <v>0.44500000000000001</v>
      </c>
      <c r="CG115">
        <v>0.1492537313432836</v>
      </c>
      <c r="CH115">
        <v>0.2353146853146853</v>
      </c>
      <c r="CI115">
        <v>0</v>
      </c>
      <c r="CJ115">
        <v>23131</v>
      </c>
      <c r="CK115" t="s">
        <v>169</v>
      </c>
      <c r="CL115" t="s">
        <v>623</v>
      </c>
      <c r="CM115" t="s">
        <v>143</v>
      </c>
      <c r="CN115">
        <v>0.15966214858899999</v>
      </c>
      <c r="CO115">
        <v>17.054761970436239</v>
      </c>
      <c r="CP115">
        <v>114</v>
      </c>
      <c r="CQ115" t="s">
        <v>758</v>
      </c>
      <c r="CR115">
        <v>1</v>
      </c>
      <c r="CS115" t="s">
        <v>485</v>
      </c>
      <c r="CT115" t="s">
        <v>486</v>
      </c>
      <c r="CU115" t="s">
        <v>487</v>
      </c>
      <c r="CV115" t="s">
        <v>488</v>
      </c>
      <c r="CW115" t="s">
        <v>489</v>
      </c>
      <c r="CX115" t="s">
        <v>490</v>
      </c>
      <c r="CY115" t="s">
        <v>490</v>
      </c>
      <c r="CZ115" t="s">
        <v>206</v>
      </c>
      <c r="DA115" t="s">
        <v>152</v>
      </c>
      <c r="DB115" t="s">
        <v>491</v>
      </c>
      <c r="DC115" t="s">
        <v>459</v>
      </c>
      <c r="DD115" t="s">
        <v>492</v>
      </c>
      <c r="DE115">
        <v>10229</v>
      </c>
      <c r="DF115">
        <v>-98.554415000000006</v>
      </c>
      <c r="DG115">
        <v>36.399382000000003</v>
      </c>
      <c r="DH115">
        <v>6562</v>
      </c>
      <c r="DI115">
        <v>572</v>
      </c>
      <c r="DJ115">
        <v>2640</v>
      </c>
      <c r="DK115">
        <v>139</v>
      </c>
      <c r="DL115">
        <v>10</v>
      </c>
      <c r="DO115">
        <v>50</v>
      </c>
      <c r="DR115">
        <v>150000</v>
      </c>
      <c r="DS115">
        <v>42</v>
      </c>
      <c r="DT115">
        <v>1.2500000000000001E-2</v>
      </c>
      <c r="DU115">
        <v>1.2500000000000001E-2</v>
      </c>
      <c r="DV115">
        <v>0.32500000000000001</v>
      </c>
      <c r="DW115">
        <v>0.32500000000000001</v>
      </c>
      <c r="DX115">
        <v>0.32500000000000001</v>
      </c>
      <c r="DY115">
        <v>16.893964075345469</v>
      </c>
      <c r="DZ115" s="4">
        <v>3.4329999999999998</v>
      </c>
      <c r="EA115" s="4" t="s">
        <v>611</v>
      </c>
      <c r="EB115" s="4" t="s">
        <v>612</v>
      </c>
      <c r="EC115">
        <v>4.1470000000000002</v>
      </c>
      <c r="ED115">
        <v>662</v>
      </c>
      <c r="EE115" t="s">
        <v>760</v>
      </c>
      <c r="EF115">
        <v>0</v>
      </c>
      <c r="EH115">
        <f t="shared" si="3"/>
        <v>0.58000000000000007</v>
      </c>
      <c r="EI115">
        <v>3.38</v>
      </c>
      <c r="EJ115">
        <v>3.65</v>
      </c>
    </row>
    <row r="116" spans="1:140" x14ac:dyDescent="0.35">
      <c r="A116" s="1">
        <v>114</v>
      </c>
      <c r="B116">
        <v>-93.321312610852502</v>
      </c>
      <c r="C116">
        <v>36.11859387211377</v>
      </c>
      <c r="D116" t="s">
        <v>761</v>
      </c>
      <c r="E116">
        <v>0.1</v>
      </c>
      <c r="F116" t="s">
        <v>135</v>
      </c>
      <c r="G116">
        <v>4.6300000000000001E-2</v>
      </c>
      <c r="H116" t="s">
        <v>161</v>
      </c>
      <c r="I116">
        <v>-10388481</v>
      </c>
      <c r="J116">
        <v>4316952</v>
      </c>
      <c r="K116" t="s">
        <v>501</v>
      </c>
      <c r="L116" t="s">
        <v>762</v>
      </c>
      <c r="M116">
        <v>51</v>
      </c>
      <c r="N116">
        <v>3.9140000000000001</v>
      </c>
      <c r="O116">
        <v>3</v>
      </c>
      <c r="P116">
        <v>7</v>
      </c>
      <c r="Q116">
        <v>5</v>
      </c>
      <c r="R116">
        <v>101</v>
      </c>
      <c r="S116">
        <v>7225</v>
      </c>
      <c r="T116" t="s">
        <v>502</v>
      </c>
      <c r="U116">
        <v>7.4107777890672626</v>
      </c>
      <c r="V116" t="s">
        <v>501</v>
      </c>
      <c r="W116">
        <v>9.5899999999999999E-2</v>
      </c>
      <c r="X116">
        <v>10</v>
      </c>
      <c r="Y116">
        <v>8.9</v>
      </c>
      <c r="Z116">
        <v>8.9</v>
      </c>
      <c r="AA116">
        <v>20</v>
      </c>
      <c r="AB116">
        <v>26</v>
      </c>
      <c r="AC116">
        <v>0.96</v>
      </c>
      <c r="AD116">
        <v>67</v>
      </c>
      <c r="AE116">
        <v>0.15257469802924351</v>
      </c>
      <c r="AF116">
        <v>2.86</v>
      </c>
      <c r="AG116" t="s">
        <v>502</v>
      </c>
      <c r="AH116" t="s">
        <v>501</v>
      </c>
      <c r="AI116">
        <v>26</v>
      </c>
      <c r="AJ116">
        <v>8.6666666666666663E-3</v>
      </c>
      <c r="AK116">
        <v>8.6666666666666661</v>
      </c>
      <c r="AL116" t="s">
        <v>763</v>
      </c>
      <c r="AM116">
        <v>0</v>
      </c>
      <c r="AN116">
        <v>1.52</v>
      </c>
      <c r="AO116">
        <v>0.09</v>
      </c>
      <c r="AP116">
        <v>0.19</v>
      </c>
      <c r="AQ116">
        <v>1.23</v>
      </c>
      <c r="AR116">
        <v>1.17</v>
      </c>
      <c r="AS116">
        <v>0.04</v>
      </c>
      <c r="AT116">
        <v>0.01</v>
      </c>
      <c r="AU116">
        <v>0.02</v>
      </c>
      <c r="AV116">
        <v>2.4700000000000002</v>
      </c>
      <c r="AW116">
        <v>1.48</v>
      </c>
      <c r="AX116">
        <v>0.21</v>
      </c>
      <c r="AY116">
        <v>0.53</v>
      </c>
      <c r="AZ116">
        <v>0</v>
      </c>
      <c r="BA116">
        <v>1.24</v>
      </c>
      <c r="BB116">
        <v>0.08</v>
      </c>
      <c r="BC116">
        <v>0.15</v>
      </c>
      <c r="BD116">
        <v>0.27</v>
      </c>
      <c r="BE116">
        <v>6.28</v>
      </c>
      <c r="BF116">
        <v>5.59</v>
      </c>
      <c r="BG116">
        <v>0.24</v>
      </c>
      <c r="BH116">
        <v>0.45</v>
      </c>
      <c r="BI116">
        <v>0</v>
      </c>
      <c r="BJ116">
        <v>0.04</v>
      </c>
      <c r="BK116">
        <v>5.55</v>
      </c>
      <c r="BL116">
        <v>0</v>
      </c>
      <c r="BM116">
        <v>2</v>
      </c>
      <c r="BN116">
        <v>0.21</v>
      </c>
      <c r="BO116">
        <v>0.46</v>
      </c>
      <c r="BP116">
        <v>1.32</v>
      </c>
      <c r="BQ116">
        <v>1.1599999999999999</v>
      </c>
      <c r="BR116">
        <v>0.06</v>
      </c>
      <c r="BS116">
        <v>0.11</v>
      </c>
      <c r="BT116">
        <v>0</v>
      </c>
      <c r="BU116">
        <v>6.68</v>
      </c>
      <c r="BV116">
        <v>5.62</v>
      </c>
      <c r="BW116">
        <v>0.34</v>
      </c>
      <c r="BX116">
        <v>0.72</v>
      </c>
      <c r="BY116">
        <v>0</v>
      </c>
      <c r="BZ116">
        <v>0.04</v>
      </c>
      <c r="CA116">
        <v>5.58</v>
      </c>
      <c r="CB116">
        <v>0</v>
      </c>
      <c r="CC116">
        <f t="shared" si="2"/>
        <v>2.75</v>
      </c>
      <c r="CD116">
        <v>3.96</v>
      </c>
      <c r="CE116">
        <v>0.34230769230769231</v>
      </c>
      <c r="CF116">
        <v>0.44500000000000001</v>
      </c>
      <c r="CG116">
        <v>0.1492537313432836</v>
      </c>
      <c r="CH116">
        <v>0.33566433566433568</v>
      </c>
      <c r="CI116">
        <v>0</v>
      </c>
      <c r="CJ116">
        <v>856</v>
      </c>
      <c r="CK116" t="s">
        <v>169</v>
      </c>
      <c r="CL116" t="s">
        <v>764</v>
      </c>
      <c r="CM116" t="s">
        <v>143</v>
      </c>
      <c r="CN116">
        <v>0.60386066470900002</v>
      </c>
      <c r="CO116">
        <v>7.4243000239226848</v>
      </c>
      <c r="CP116">
        <v>115</v>
      </c>
      <c r="CQ116" t="s">
        <v>617</v>
      </c>
      <c r="CR116">
        <v>162</v>
      </c>
      <c r="CS116" t="s">
        <v>618</v>
      </c>
      <c r="CT116" t="s">
        <v>520</v>
      </c>
      <c r="CU116" t="s">
        <v>167</v>
      </c>
      <c r="CV116" t="s">
        <v>619</v>
      </c>
      <c r="CW116" t="s">
        <v>362</v>
      </c>
      <c r="CX116" t="s">
        <v>363</v>
      </c>
      <c r="CY116" t="s">
        <v>364</v>
      </c>
      <c r="CZ116" t="s">
        <v>151</v>
      </c>
      <c r="DA116" t="s">
        <v>152</v>
      </c>
      <c r="DB116" t="s">
        <v>178</v>
      </c>
      <c r="DC116" t="s">
        <v>179</v>
      </c>
      <c r="DD116" t="s">
        <v>155</v>
      </c>
      <c r="DE116">
        <v>409</v>
      </c>
      <c r="DF116">
        <v>-95.422424000000007</v>
      </c>
      <c r="DG116">
        <v>32.490718999999999</v>
      </c>
      <c r="DH116">
        <v>9200</v>
      </c>
      <c r="DI116">
        <v>430</v>
      </c>
      <c r="DK116">
        <v>212.2</v>
      </c>
      <c r="DL116">
        <v>20</v>
      </c>
      <c r="DM116">
        <v>10</v>
      </c>
      <c r="DN116">
        <v>22</v>
      </c>
      <c r="DO116">
        <v>250</v>
      </c>
      <c r="DP116">
        <v>200</v>
      </c>
      <c r="DQ116">
        <v>300</v>
      </c>
      <c r="DS116">
        <v>14</v>
      </c>
      <c r="DT116">
        <v>1.2500000000000001E-2</v>
      </c>
      <c r="DU116">
        <v>1.2500000000000001E-2</v>
      </c>
      <c r="DV116">
        <v>0.32500000000000001</v>
      </c>
      <c r="DW116">
        <v>0.32500000000000001</v>
      </c>
      <c r="DX116">
        <v>0.32500000000000001</v>
      </c>
      <c r="DY116">
        <v>96.113184822827122</v>
      </c>
      <c r="DZ116" s="4">
        <v>3.48</v>
      </c>
      <c r="EA116" s="4" t="s">
        <v>504</v>
      </c>
      <c r="EB116" s="4" t="s">
        <v>505</v>
      </c>
      <c r="EC116">
        <v>4.3410000000000002</v>
      </c>
      <c r="ED116">
        <v>701</v>
      </c>
      <c r="EE116" t="s">
        <v>763</v>
      </c>
      <c r="EF116">
        <v>0</v>
      </c>
      <c r="EH116">
        <f t="shared" si="3"/>
        <v>0.58000000000000007</v>
      </c>
      <c r="EI116">
        <v>3.38</v>
      </c>
      <c r="EJ116">
        <v>3.65</v>
      </c>
    </row>
    <row r="117" spans="1:140" x14ac:dyDescent="0.35">
      <c r="A117" s="1">
        <v>115</v>
      </c>
      <c r="B117">
        <v>-91.524682042613449</v>
      </c>
      <c r="C117">
        <v>36.11859387211377</v>
      </c>
      <c r="D117" t="s">
        <v>765</v>
      </c>
      <c r="E117">
        <v>0.1</v>
      </c>
      <c r="F117" t="s">
        <v>306</v>
      </c>
      <c r="G117">
        <v>3.7400000000000003E-2</v>
      </c>
      <c r="H117" t="s">
        <v>161</v>
      </c>
      <c r="I117">
        <v>-10188481</v>
      </c>
      <c r="J117">
        <v>4316952</v>
      </c>
      <c r="K117" t="s">
        <v>501</v>
      </c>
      <c r="L117" t="s">
        <v>766</v>
      </c>
      <c r="M117">
        <v>67</v>
      </c>
      <c r="N117">
        <v>3.4660000000000002</v>
      </c>
      <c r="O117">
        <v>3</v>
      </c>
      <c r="P117">
        <v>7</v>
      </c>
      <c r="Q117">
        <v>5</v>
      </c>
      <c r="R117">
        <v>135</v>
      </c>
      <c r="S117">
        <v>17280</v>
      </c>
      <c r="T117" t="s">
        <v>502</v>
      </c>
      <c r="U117">
        <v>7.4107777890672626</v>
      </c>
      <c r="V117" t="s">
        <v>501</v>
      </c>
      <c r="W117">
        <v>9.5899999999999999E-2</v>
      </c>
      <c r="X117">
        <v>10</v>
      </c>
      <c r="Y117">
        <v>8.9</v>
      </c>
      <c r="Z117">
        <v>8.9</v>
      </c>
      <c r="AA117">
        <v>20</v>
      </c>
      <c r="AB117">
        <v>26</v>
      </c>
      <c r="AC117">
        <v>0.96</v>
      </c>
      <c r="AD117">
        <v>67</v>
      </c>
      <c r="AE117">
        <v>0.15257469802924351</v>
      </c>
      <c r="AF117">
        <v>2.86</v>
      </c>
      <c r="AG117" t="s">
        <v>502</v>
      </c>
      <c r="AH117" t="s">
        <v>501</v>
      </c>
      <c r="AI117">
        <v>26</v>
      </c>
      <c r="AJ117">
        <v>8.6666666666666663E-3</v>
      </c>
      <c r="AK117">
        <v>8.6666666666666661</v>
      </c>
      <c r="AL117" t="s">
        <v>767</v>
      </c>
      <c r="AM117">
        <v>24914.941374366768</v>
      </c>
      <c r="AN117">
        <v>1.52</v>
      </c>
      <c r="AO117">
        <v>0.09</v>
      </c>
      <c r="AP117">
        <v>0.19</v>
      </c>
      <c r="AQ117">
        <v>1.23</v>
      </c>
      <c r="AR117">
        <v>1.17</v>
      </c>
      <c r="AS117">
        <v>0.04</v>
      </c>
      <c r="AT117">
        <v>0.01</v>
      </c>
      <c r="AU117">
        <v>0.02</v>
      </c>
      <c r="AV117">
        <v>2.4700000000000002</v>
      </c>
      <c r="AW117">
        <v>1.48</v>
      </c>
      <c r="AX117">
        <v>0.21</v>
      </c>
      <c r="AY117">
        <v>0.53</v>
      </c>
      <c r="AZ117">
        <v>0</v>
      </c>
      <c r="BA117">
        <v>1.24</v>
      </c>
      <c r="BB117">
        <v>0.08</v>
      </c>
      <c r="BC117">
        <v>0.15</v>
      </c>
      <c r="BD117">
        <v>0.27</v>
      </c>
      <c r="BE117">
        <v>6.28</v>
      </c>
      <c r="BF117">
        <v>5.59</v>
      </c>
      <c r="BG117">
        <v>0.24</v>
      </c>
      <c r="BH117">
        <v>0.45</v>
      </c>
      <c r="BI117">
        <v>0</v>
      </c>
      <c r="BJ117">
        <v>0.04</v>
      </c>
      <c r="BK117">
        <v>5.55</v>
      </c>
      <c r="BL117">
        <v>0</v>
      </c>
      <c r="BM117">
        <v>2</v>
      </c>
      <c r="BN117">
        <v>0.21</v>
      </c>
      <c r="BO117">
        <v>0.46</v>
      </c>
      <c r="BP117">
        <v>1.32</v>
      </c>
      <c r="BQ117">
        <v>1.1599999999999999</v>
      </c>
      <c r="BR117">
        <v>0.06</v>
      </c>
      <c r="BS117">
        <v>0.11</v>
      </c>
      <c r="BT117">
        <v>0</v>
      </c>
      <c r="BU117">
        <v>6.68</v>
      </c>
      <c r="BV117">
        <v>5.62</v>
      </c>
      <c r="BW117">
        <v>0.34</v>
      </c>
      <c r="BX117">
        <v>0.72</v>
      </c>
      <c r="BY117">
        <v>0</v>
      </c>
      <c r="BZ117">
        <v>0.04</v>
      </c>
      <c r="CA117">
        <v>5.58</v>
      </c>
      <c r="CB117">
        <v>0</v>
      </c>
      <c r="CC117">
        <f t="shared" si="2"/>
        <v>2.75</v>
      </c>
      <c r="CD117">
        <v>3.96</v>
      </c>
      <c r="CE117">
        <v>0.34230769230769231</v>
      </c>
      <c r="CF117">
        <v>0.44500000000000001</v>
      </c>
      <c r="CG117">
        <v>0.1492537313432836</v>
      </c>
      <c r="CH117">
        <v>0.33566433566433568</v>
      </c>
      <c r="CI117">
        <v>0</v>
      </c>
      <c r="CJ117">
        <v>23341</v>
      </c>
      <c r="CK117" t="s">
        <v>141</v>
      </c>
      <c r="CL117" t="s">
        <v>768</v>
      </c>
      <c r="CM117" t="s">
        <v>143</v>
      </c>
      <c r="CN117">
        <v>1.76399147353</v>
      </c>
      <c r="CO117">
        <v>8.1050315733284233</v>
      </c>
      <c r="CP117">
        <v>116</v>
      </c>
      <c r="CQ117" t="s">
        <v>378</v>
      </c>
      <c r="CR117">
        <v>109</v>
      </c>
      <c r="CS117" t="s">
        <v>379</v>
      </c>
      <c r="CT117" t="s">
        <v>215</v>
      </c>
      <c r="CU117" t="s">
        <v>216</v>
      </c>
      <c r="CV117" t="s">
        <v>380</v>
      </c>
      <c r="CW117" t="s">
        <v>175</v>
      </c>
      <c r="CX117" t="s">
        <v>218</v>
      </c>
      <c r="CY117" t="s">
        <v>219</v>
      </c>
      <c r="CZ117" t="s">
        <v>151</v>
      </c>
      <c r="DA117" t="s">
        <v>152</v>
      </c>
      <c r="DB117" t="s">
        <v>178</v>
      </c>
      <c r="DC117" t="s">
        <v>179</v>
      </c>
      <c r="DD117" t="s">
        <v>155</v>
      </c>
      <c r="DE117">
        <v>8003</v>
      </c>
      <c r="DF117">
        <v>-90.094294000000005</v>
      </c>
      <c r="DG117">
        <v>31.364063000000002</v>
      </c>
      <c r="DH117">
        <v>10000</v>
      </c>
      <c r="DI117">
        <v>400</v>
      </c>
      <c r="DJ117">
        <v>4500</v>
      </c>
      <c r="DL117">
        <v>22</v>
      </c>
      <c r="DM117">
        <v>16</v>
      </c>
      <c r="DN117">
        <v>29</v>
      </c>
      <c r="DO117">
        <v>200</v>
      </c>
      <c r="DP117">
        <v>4</v>
      </c>
      <c r="DQ117">
        <v>4170</v>
      </c>
      <c r="DS117">
        <v>11</v>
      </c>
      <c r="DT117">
        <v>1.2500000000000001E-2</v>
      </c>
      <c r="DU117">
        <v>1.2500000000000001E-2</v>
      </c>
      <c r="DV117">
        <v>0.32500000000000001</v>
      </c>
      <c r="DW117">
        <v>0.32500000000000001</v>
      </c>
      <c r="DX117">
        <v>0.32500000000000001</v>
      </c>
      <c r="DY117">
        <v>116.10302962080971</v>
      </c>
      <c r="DZ117" s="4">
        <v>3.48</v>
      </c>
      <c r="EA117" s="4" t="s">
        <v>504</v>
      </c>
      <c r="EB117" s="4" t="s">
        <v>505</v>
      </c>
      <c r="EC117">
        <v>4.3410000000000002</v>
      </c>
      <c r="ED117">
        <v>176</v>
      </c>
      <c r="EE117" t="s">
        <v>767</v>
      </c>
      <c r="EF117">
        <v>0.1810406179791143</v>
      </c>
      <c r="EH117">
        <f t="shared" si="3"/>
        <v>0.58000000000000007</v>
      </c>
      <c r="EI117">
        <v>3.38</v>
      </c>
      <c r="EJ117">
        <v>3.65</v>
      </c>
    </row>
    <row r="118" spans="1:140" x14ac:dyDescent="0.35">
      <c r="A118" s="1">
        <v>116</v>
      </c>
      <c r="B118">
        <v>-89.728051474374411</v>
      </c>
      <c r="C118">
        <v>36.11859387211377</v>
      </c>
      <c r="D118" t="s">
        <v>769</v>
      </c>
      <c r="E118">
        <v>0.1</v>
      </c>
      <c r="F118" t="s">
        <v>135</v>
      </c>
      <c r="G118">
        <v>8.8000000000000009E-2</v>
      </c>
      <c r="H118" t="s">
        <v>161</v>
      </c>
      <c r="I118">
        <v>-9988481</v>
      </c>
      <c r="J118">
        <v>4316952</v>
      </c>
      <c r="K118" t="s">
        <v>770</v>
      </c>
      <c r="L118" t="s">
        <v>771</v>
      </c>
      <c r="M118">
        <v>78</v>
      </c>
      <c r="N118">
        <v>3.613</v>
      </c>
      <c r="O118">
        <v>2</v>
      </c>
      <c r="P118">
        <v>4</v>
      </c>
      <c r="Q118">
        <v>29</v>
      </c>
      <c r="R118">
        <v>155</v>
      </c>
      <c r="S118">
        <v>15661</v>
      </c>
      <c r="T118" t="s">
        <v>772</v>
      </c>
      <c r="U118">
        <v>7.9601135439951216</v>
      </c>
      <c r="V118" t="s">
        <v>770</v>
      </c>
      <c r="W118">
        <v>0.1106</v>
      </c>
      <c r="X118">
        <v>10</v>
      </c>
      <c r="Y118">
        <v>8.9</v>
      </c>
      <c r="Z118">
        <v>8.9</v>
      </c>
      <c r="AA118">
        <v>20</v>
      </c>
      <c r="AB118">
        <v>26</v>
      </c>
      <c r="AC118">
        <v>1.456</v>
      </c>
      <c r="AD118">
        <v>67</v>
      </c>
      <c r="AE118">
        <v>0.23140495867768601</v>
      </c>
      <c r="AF118">
        <v>2.86</v>
      </c>
      <c r="AG118" t="s">
        <v>772</v>
      </c>
      <c r="AH118" t="s">
        <v>770</v>
      </c>
      <c r="AI118">
        <v>39</v>
      </c>
      <c r="AJ118">
        <v>1.2999999999999999E-2</v>
      </c>
      <c r="AK118">
        <v>13</v>
      </c>
      <c r="AL118" t="s">
        <v>773</v>
      </c>
      <c r="AM118">
        <v>7178.5647411809123</v>
      </c>
      <c r="AN118">
        <v>1.6</v>
      </c>
      <c r="AO118">
        <v>0.09</v>
      </c>
      <c r="AP118">
        <v>0.19</v>
      </c>
      <c r="AQ118">
        <v>1.32</v>
      </c>
      <c r="AR118">
        <v>1.26</v>
      </c>
      <c r="AS118">
        <v>0.04</v>
      </c>
      <c r="AT118">
        <v>0.01</v>
      </c>
      <c r="AU118">
        <v>0.02</v>
      </c>
      <c r="AV118">
        <v>2.58</v>
      </c>
      <c r="AW118">
        <v>1.58</v>
      </c>
      <c r="AX118">
        <v>0.21</v>
      </c>
      <c r="AY118">
        <v>0.53</v>
      </c>
      <c r="AZ118">
        <v>0</v>
      </c>
      <c r="BA118">
        <v>1.34</v>
      </c>
      <c r="BB118">
        <v>0.08</v>
      </c>
      <c r="BC118">
        <v>0.17</v>
      </c>
      <c r="BD118">
        <v>0.27</v>
      </c>
      <c r="BE118">
        <v>6.83</v>
      </c>
      <c r="BF118">
        <v>6.14</v>
      </c>
      <c r="BG118">
        <v>0.24</v>
      </c>
      <c r="BH118">
        <v>0.45</v>
      </c>
      <c r="BI118">
        <v>0</v>
      </c>
      <c r="BJ118">
        <v>0.04</v>
      </c>
      <c r="BK118">
        <v>6.1</v>
      </c>
      <c r="BL118">
        <v>0</v>
      </c>
      <c r="BM118">
        <v>2.09</v>
      </c>
      <c r="BN118">
        <v>0.21</v>
      </c>
      <c r="BO118">
        <v>0.46</v>
      </c>
      <c r="BP118">
        <v>1.42</v>
      </c>
      <c r="BQ118">
        <v>1.24</v>
      </c>
      <c r="BR118">
        <v>0.06</v>
      </c>
      <c r="BS118">
        <v>0.12</v>
      </c>
      <c r="BT118">
        <v>0</v>
      </c>
      <c r="BU118">
        <v>7.24</v>
      </c>
      <c r="BV118">
        <v>6.18</v>
      </c>
      <c r="BW118">
        <v>0.34</v>
      </c>
      <c r="BX118">
        <v>0.72</v>
      </c>
      <c r="BY118">
        <v>0</v>
      </c>
      <c r="BZ118">
        <v>0.04</v>
      </c>
      <c r="CA118">
        <v>6.14</v>
      </c>
      <c r="CB118">
        <v>0</v>
      </c>
      <c r="CC118">
        <f t="shared" si="2"/>
        <v>2.75</v>
      </c>
      <c r="CD118">
        <v>3.96</v>
      </c>
      <c r="CE118">
        <v>0.34230769230769231</v>
      </c>
      <c r="CF118">
        <v>0.44500000000000001</v>
      </c>
      <c r="CG118">
        <v>0.1492537313432836</v>
      </c>
      <c r="CH118">
        <v>0.50909090909090915</v>
      </c>
      <c r="CI118">
        <v>0</v>
      </c>
      <c r="CJ118">
        <v>20577</v>
      </c>
      <c r="CK118" t="s">
        <v>141</v>
      </c>
      <c r="CL118" t="s">
        <v>499</v>
      </c>
      <c r="CM118" t="s">
        <v>143</v>
      </c>
      <c r="CN118">
        <v>7.0980483630499996E-2</v>
      </c>
      <c r="CO118">
        <v>15.34478276758956</v>
      </c>
      <c r="CP118">
        <v>117</v>
      </c>
      <c r="CQ118" t="s">
        <v>774</v>
      </c>
      <c r="CR118">
        <v>93</v>
      </c>
      <c r="CS118" t="s">
        <v>775</v>
      </c>
      <c r="CT118" t="s">
        <v>639</v>
      </c>
      <c r="CU118" t="s">
        <v>776</v>
      </c>
      <c r="CV118" t="s">
        <v>777</v>
      </c>
      <c r="CW118" t="s">
        <v>642</v>
      </c>
      <c r="CX118" t="s">
        <v>778</v>
      </c>
      <c r="CY118" t="s">
        <v>779</v>
      </c>
      <c r="CZ118" t="s">
        <v>645</v>
      </c>
      <c r="DA118" t="s">
        <v>152</v>
      </c>
      <c r="DB118" t="s">
        <v>491</v>
      </c>
      <c r="DC118" t="s">
        <v>459</v>
      </c>
      <c r="DD118" t="s">
        <v>492</v>
      </c>
      <c r="DE118">
        <v>5560</v>
      </c>
      <c r="DF118">
        <v>-88.498699999999999</v>
      </c>
      <c r="DG118">
        <v>38.153100000000002</v>
      </c>
      <c r="DH118">
        <v>7300</v>
      </c>
      <c r="DI118">
        <v>600</v>
      </c>
      <c r="DL118">
        <v>3.5</v>
      </c>
      <c r="DM118">
        <v>4</v>
      </c>
      <c r="DN118">
        <v>4</v>
      </c>
      <c r="DO118">
        <v>65</v>
      </c>
      <c r="DP118">
        <v>1</v>
      </c>
      <c r="DQ118">
        <v>400</v>
      </c>
      <c r="DR118">
        <v>140000</v>
      </c>
      <c r="DS118">
        <v>60</v>
      </c>
      <c r="DT118">
        <v>1.2500000000000001E-2</v>
      </c>
      <c r="DU118">
        <v>1.2500000000000001E-2</v>
      </c>
      <c r="DV118">
        <v>0.32500000000000001</v>
      </c>
      <c r="DW118">
        <v>0.32500000000000001</v>
      </c>
      <c r="DX118">
        <v>0.32500000000000001</v>
      </c>
      <c r="DY118">
        <v>81.024319397614661</v>
      </c>
      <c r="DZ118" s="4">
        <v>3.5070000000000001</v>
      </c>
      <c r="EA118" s="4" t="s">
        <v>780</v>
      </c>
      <c r="EB118" s="4" t="s">
        <v>781</v>
      </c>
      <c r="EC118">
        <v>4.2930000000000001</v>
      </c>
      <c r="ED118">
        <v>115</v>
      </c>
      <c r="EE118" t="s">
        <v>773</v>
      </c>
      <c r="EF118">
        <v>5.9806159261621333E-2</v>
      </c>
      <c r="EH118">
        <f t="shared" si="3"/>
        <v>0.58000000000000007</v>
      </c>
      <c r="EI118">
        <v>3.38</v>
      </c>
      <c r="EJ118">
        <v>3.65</v>
      </c>
    </row>
    <row r="119" spans="1:140" x14ac:dyDescent="0.35">
      <c r="A119" s="1">
        <v>117</v>
      </c>
      <c r="B119">
        <v>-87.931420906135358</v>
      </c>
      <c r="C119">
        <v>36.11859387211377</v>
      </c>
      <c r="D119" t="s">
        <v>782</v>
      </c>
      <c r="E119">
        <v>0.1</v>
      </c>
      <c r="F119" t="s">
        <v>135</v>
      </c>
      <c r="G119">
        <v>8.8000000000000009E-2</v>
      </c>
      <c r="H119" t="s">
        <v>161</v>
      </c>
      <c r="I119">
        <v>-9788481</v>
      </c>
      <c r="J119">
        <v>4316952</v>
      </c>
      <c r="K119" t="s">
        <v>783</v>
      </c>
      <c r="L119" t="s">
        <v>784</v>
      </c>
      <c r="M119">
        <v>3</v>
      </c>
      <c r="N119">
        <v>3.4540000000000002</v>
      </c>
      <c r="O119">
        <v>3</v>
      </c>
      <c r="P119">
        <v>6</v>
      </c>
      <c r="Q119">
        <v>47</v>
      </c>
      <c r="R119">
        <v>5</v>
      </c>
      <c r="S119">
        <v>15863</v>
      </c>
      <c r="T119" t="s">
        <v>785</v>
      </c>
      <c r="U119">
        <v>6.1690367878486692</v>
      </c>
      <c r="V119" t="s">
        <v>783</v>
      </c>
      <c r="W119">
        <v>0.109</v>
      </c>
      <c r="X119">
        <v>10</v>
      </c>
      <c r="Y119">
        <v>8.9</v>
      </c>
      <c r="Z119">
        <v>8.9</v>
      </c>
      <c r="AA119">
        <v>20</v>
      </c>
      <c r="AB119">
        <v>26</v>
      </c>
      <c r="AC119">
        <v>0.80400000000000005</v>
      </c>
      <c r="AD119">
        <v>67</v>
      </c>
      <c r="AE119">
        <v>0.12778130959949141</v>
      </c>
      <c r="AF119">
        <v>2.86</v>
      </c>
      <c r="AG119" t="s">
        <v>785</v>
      </c>
      <c r="AH119" t="s">
        <v>783</v>
      </c>
      <c r="AI119">
        <v>43</v>
      </c>
      <c r="AJ119">
        <v>1.433333333333333E-2</v>
      </c>
      <c r="AK119">
        <v>14.33333333333333</v>
      </c>
      <c r="AL119" t="s">
        <v>786</v>
      </c>
      <c r="AM119">
        <v>24606.8807300751</v>
      </c>
      <c r="AN119">
        <v>1.32</v>
      </c>
      <c r="AO119">
        <v>0.09</v>
      </c>
      <c r="AP119">
        <v>0.19</v>
      </c>
      <c r="AQ119">
        <v>1.03</v>
      </c>
      <c r="AR119">
        <v>0.97</v>
      </c>
      <c r="AS119">
        <v>0.04</v>
      </c>
      <c r="AT119">
        <v>0.01</v>
      </c>
      <c r="AU119">
        <v>0.02</v>
      </c>
      <c r="AV119">
        <v>2.2799999999999998</v>
      </c>
      <c r="AW119">
        <v>1.28</v>
      </c>
      <c r="AX119">
        <v>0.21</v>
      </c>
      <c r="AY119">
        <v>0.53</v>
      </c>
      <c r="AZ119">
        <v>0</v>
      </c>
      <c r="BA119">
        <v>1.04</v>
      </c>
      <c r="BB119">
        <v>0.08</v>
      </c>
      <c r="BC119">
        <v>0.17</v>
      </c>
      <c r="BD119">
        <v>0.27</v>
      </c>
      <c r="BE119">
        <v>6.83</v>
      </c>
      <c r="BF119">
        <v>6.14</v>
      </c>
      <c r="BG119">
        <v>0.24</v>
      </c>
      <c r="BH119">
        <v>0.45</v>
      </c>
      <c r="BI119">
        <v>0</v>
      </c>
      <c r="BJ119">
        <v>0.04</v>
      </c>
      <c r="BK119">
        <v>6.1</v>
      </c>
      <c r="BL119">
        <v>0</v>
      </c>
      <c r="BM119">
        <v>1.81</v>
      </c>
      <c r="BN119">
        <v>0.21</v>
      </c>
      <c r="BO119">
        <v>0.46</v>
      </c>
      <c r="BP119">
        <v>1.1399999999999999</v>
      </c>
      <c r="BQ119">
        <v>0.96</v>
      </c>
      <c r="BR119">
        <v>0.06</v>
      </c>
      <c r="BS119">
        <v>0.12</v>
      </c>
      <c r="BT119">
        <v>0</v>
      </c>
      <c r="BU119">
        <v>7.24</v>
      </c>
      <c r="BV119">
        <v>6.18</v>
      </c>
      <c r="BW119">
        <v>0.34</v>
      </c>
      <c r="BX119">
        <v>0.72</v>
      </c>
      <c r="BY119">
        <v>0</v>
      </c>
      <c r="BZ119">
        <v>0.04</v>
      </c>
      <c r="CA119">
        <v>6.14</v>
      </c>
      <c r="CB119">
        <v>0</v>
      </c>
      <c r="CC119">
        <f t="shared" si="2"/>
        <v>2.75</v>
      </c>
      <c r="CD119">
        <v>3.96</v>
      </c>
      <c r="CE119">
        <v>0.34230769230769231</v>
      </c>
      <c r="CF119">
        <v>0.44500000000000001</v>
      </c>
      <c r="CG119">
        <v>0.1492537313432836</v>
      </c>
      <c r="CH119">
        <v>0.28111888111888123</v>
      </c>
      <c r="CI119">
        <v>0</v>
      </c>
      <c r="CJ119">
        <v>24553</v>
      </c>
      <c r="CK119" t="s">
        <v>141</v>
      </c>
      <c r="CL119" t="s">
        <v>377</v>
      </c>
      <c r="CM119" t="s">
        <v>143</v>
      </c>
      <c r="CN119">
        <v>0.150669063155</v>
      </c>
      <c r="CO119">
        <v>35.843652457005163</v>
      </c>
      <c r="CP119">
        <v>118</v>
      </c>
      <c r="CQ119" t="s">
        <v>637</v>
      </c>
      <c r="CR119">
        <v>96</v>
      </c>
      <c r="CS119" t="s">
        <v>638</v>
      </c>
      <c r="CT119" t="s">
        <v>639</v>
      </c>
      <c r="CU119" t="s">
        <v>640</v>
      </c>
      <c r="CV119" t="s">
        <v>641</v>
      </c>
      <c r="CW119" t="s">
        <v>642</v>
      </c>
      <c r="CX119" t="s">
        <v>643</v>
      </c>
      <c r="CY119" t="s">
        <v>644</v>
      </c>
      <c r="CZ119" t="s">
        <v>645</v>
      </c>
      <c r="DA119" t="s">
        <v>152</v>
      </c>
      <c r="DB119" t="s">
        <v>491</v>
      </c>
      <c r="DC119" t="s">
        <v>459</v>
      </c>
      <c r="DD119" t="s">
        <v>492</v>
      </c>
      <c r="DE119">
        <v>2610</v>
      </c>
      <c r="DF119">
        <v>-87.295199999999994</v>
      </c>
      <c r="DG119">
        <v>37.482399999999998</v>
      </c>
      <c r="DH119">
        <v>4670</v>
      </c>
      <c r="DI119">
        <v>500</v>
      </c>
      <c r="DL119">
        <v>6.5</v>
      </c>
      <c r="DM119">
        <v>4</v>
      </c>
      <c r="DN119">
        <v>11</v>
      </c>
      <c r="DO119">
        <v>90</v>
      </c>
      <c r="DP119">
        <v>10</v>
      </c>
      <c r="DQ119">
        <v>250</v>
      </c>
      <c r="DR119">
        <v>80000</v>
      </c>
      <c r="DS119">
        <v>60</v>
      </c>
      <c r="DT119">
        <v>1.2500000000000001E-2</v>
      </c>
      <c r="DU119">
        <v>1.2500000000000001E-2</v>
      </c>
      <c r="DV119">
        <v>0.32500000000000001</v>
      </c>
      <c r="DW119">
        <v>0.32500000000000001</v>
      </c>
      <c r="DX119">
        <v>0.32500000000000001</v>
      </c>
      <c r="DY119">
        <v>20.951286729472709</v>
      </c>
      <c r="DZ119" s="4">
        <v>3.5089999999999999</v>
      </c>
      <c r="EA119" s="4" t="s">
        <v>787</v>
      </c>
      <c r="EB119" s="4" t="s">
        <v>788</v>
      </c>
      <c r="EC119">
        <v>4.5670000000000002</v>
      </c>
      <c r="ED119">
        <v>918</v>
      </c>
      <c r="EE119" t="s">
        <v>786</v>
      </c>
      <c r="EF119">
        <v>0.20458497702381101</v>
      </c>
      <c r="EH119">
        <f t="shared" si="3"/>
        <v>0.58000000000000007</v>
      </c>
      <c r="EI119">
        <v>3.38</v>
      </c>
      <c r="EJ119">
        <v>3.65</v>
      </c>
    </row>
    <row r="120" spans="1:140" x14ac:dyDescent="0.35">
      <c r="A120" s="1">
        <v>118</v>
      </c>
      <c r="B120">
        <v>-86.13479033789632</v>
      </c>
      <c r="C120">
        <v>36.11859387211377</v>
      </c>
      <c r="D120" t="s">
        <v>789</v>
      </c>
      <c r="E120">
        <v>0.02</v>
      </c>
      <c r="F120" t="s">
        <v>160</v>
      </c>
      <c r="G120">
        <v>8.8000000000000009E-2</v>
      </c>
      <c r="H120" t="s">
        <v>161</v>
      </c>
      <c r="I120">
        <v>-9588481</v>
      </c>
      <c r="J120">
        <v>4316952</v>
      </c>
      <c r="K120" t="s">
        <v>783</v>
      </c>
      <c r="L120" t="s">
        <v>790</v>
      </c>
      <c r="M120">
        <v>95</v>
      </c>
      <c r="N120">
        <v>3.427</v>
      </c>
      <c r="O120">
        <v>3</v>
      </c>
      <c r="P120">
        <v>6</v>
      </c>
      <c r="Q120">
        <v>47</v>
      </c>
      <c r="R120">
        <v>189</v>
      </c>
      <c r="S120">
        <v>147747</v>
      </c>
      <c r="T120" t="s">
        <v>785</v>
      </c>
      <c r="U120">
        <v>6.1690367878486692</v>
      </c>
      <c r="V120" t="s">
        <v>783</v>
      </c>
      <c r="W120">
        <v>0.109</v>
      </c>
      <c r="X120">
        <v>10</v>
      </c>
      <c r="Y120">
        <v>8.9</v>
      </c>
      <c r="Z120">
        <v>8.9</v>
      </c>
      <c r="AA120">
        <v>20</v>
      </c>
      <c r="AB120">
        <v>26</v>
      </c>
      <c r="AC120">
        <v>0.80400000000000005</v>
      </c>
      <c r="AD120">
        <v>67</v>
      </c>
      <c r="AE120">
        <v>0.12778130959949141</v>
      </c>
      <c r="AF120">
        <v>2.86</v>
      </c>
      <c r="AG120" t="s">
        <v>785</v>
      </c>
      <c r="AH120" t="s">
        <v>783</v>
      </c>
      <c r="AI120">
        <v>43</v>
      </c>
      <c r="AJ120">
        <v>1.433333333333333E-2</v>
      </c>
      <c r="AK120">
        <v>14.33333333333333</v>
      </c>
      <c r="AL120" t="s">
        <v>791</v>
      </c>
      <c r="AM120">
        <v>0</v>
      </c>
      <c r="AN120">
        <v>1.32</v>
      </c>
      <c r="AO120">
        <v>0.09</v>
      </c>
      <c r="AP120">
        <v>0.19</v>
      </c>
      <c r="AQ120">
        <v>1.03</v>
      </c>
      <c r="AR120">
        <v>0.97</v>
      </c>
      <c r="AS120">
        <v>0.04</v>
      </c>
      <c r="AT120">
        <v>0.01</v>
      </c>
      <c r="AU120">
        <v>0.02</v>
      </c>
      <c r="AV120">
        <v>2.2799999999999998</v>
      </c>
      <c r="AW120">
        <v>1.28</v>
      </c>
      <c r="AX120">
        <v>0.21</v>
      </c>
      <c r="AY120">
        <v>0.53</v>
      </c>
      <c r="AZ120">
        <v>0</v>
      </c>
      <c r="BA120">
        <v>1.04</v>
      </c>
      <c r="BB120">
        <v>0.08</v>
      </c>
      <c r="BC120">
        <v>0.17</v>
      </c>
      <c r="BD120">
        <v>0.27</v>
      </c>
      <c r="BE120">
        <v>6.83</v>
      </c>
      <c r="BF120">
        <v>6.14</v>
      </c>
      <c r="BG120">
        <v>0.24</v>
      </c>
      <c r="BH120">
        <v>0.45</v>
      </c>
      <c r="BI120">
        <v>0</v>
      </c>
      <c r="BJ120">
        <v>0.04</v>
      </c>
      <c r="BK120">
        <v>6.1</v>
      </c>
      <c r="BL120">
        <v>0</v>
      </c>
      <c r="BM120">
        <v>1.81</v>
      </c>
      <c r="BN120">
        <v>0.21</v>
      </c>
      <c r="BO120">
        <v>0.46</v>
      </c>
      <c r="BP120">
        <v>1.1399999999999999</v>
      </c>
      <c r="BQ120">
        <v>0.96</v>
      </c>
      <c r="BR120">
        <v>0.06</v>
      </c>
      <c r="BS120">
        <v>0.12</v>
      </c>
      <c r="BT120">
        <v>0</v>
      </c>
      <c r="BU120">
        <v>7.24</v>
      </c>
      <c r="BV120">
        <v>6.18</v>
      </c>
      <c r="BW120">
        <v>0.34</v>
      </c>
      <c r="BX120">
        <v>0.72</v>
      </c>
      <c r="BY120">
        <v>0</v>
      </c>
      <c r="BZ120">
        <v>0.04</v>
      </c>
      <c r="CA120">
        <v>6.14</v>
      </c>
      <c r="CB120">
        <v>0</v>
      </c>
      <c r="CC120">
        <f t="shared" si="2"/>
        <v>2.75</v>
      </c>
      <c r="CD120">
        <v>3.96</v>
      </c>
      <c r="CE120">
        <v>0.34230769230769231</v>
      </c>
      <c r="CF120">
        <v>0.44500000000000001</v>
      </c>
      <c r="CG120">
        <v>0.1492537313432836</v>
      </c>
      <c r="CH120">
        <v>0.28111888111888123</v>
      </c>
      <c r="CI120">
        <v>0</v>
      </c>
      <c r="CJ120">
        <v>31804</v>
      </c>
      <c r="CK120" t="s">
        <v>141</v>
      </c>
      <c r="CL120" t="s">
        <v>792</v>
      </c>
      <c r="CM120" t="s">
        <v>143</v>
      </c>
      <c r="CN120">
        <v>8.6958551022500004</v>
      </c>
      <c r="CO120">
        <v>18.9961797246992</v>
      </c>
      <c r="CP120">
        <v>119</v>
      </c>
      <c r="CQ120" t="s">
        <v>637</v>
      </c>
      <c r="CR120">
        <v>96</v>
      </c>
      <c r="CS120" t="s">
        <v>638</v>
      </c>
      <c r="CT120" t="s">
        <v>639</v>
      </c>
      <c r="CU120" t="s">
        <v>640</v>
      </c>
      <c r="CV120" t="s">
        <v>641</v>
      </c>
      <c r="CW120" t="s">
        <v>642</v>
      </c>
      <c r="CX120" t="s">
        <v>643</v>
      </c>
      <c r="CY120" t="s">
        <v>644</v>
      </c>
      <c r="CZ120" t="s">
        <v>645</v>
      </c>
      <c r="DA120" t="s">
        <v>152</v>
      </c>
      <c r="DB120" t="s">
        <v>491</v>
      </c>
      <c r="DC120" t="s">
        <v>459</v>
      </c>
      <c r="DD120" t="s">
        <v>492</v>
      </c>
      <c r="DE120">
        <v>2610</v>
      </c>
      <c r="DF120">
        <v>-87.295199999999994</v>
      </c>
      <c r="DG120">
        <v>37.482399999999998</v>
      </c>
      <c r="DH120">
        <v>4670</v>
      </c>
      <c r="DI120">
        <v>500</v>
      </c>
      <c r="DL120">
        <v>6.5</v>
      </c>
      <c r="DM120">
        <v>4</v>
      </c>
      <c r="DN120">
        <v>11</v>
      </c>
      <c r="DO120">
        <v>90</v>
      </c>
      <c r="DP120">
        <v>10</v>
      </c>
      <c r="DQ120">
        <v>250</v>
      </c>
      <c r="DR120">
        <v>80000</v>
      </c>
      <c r="DS120">
        <v>60</v>
      </c>
      <c r="DT120">
        <v>1.2500000000000001E-2</v>
      </c>
      <c r="DU120">
        <v>1.2500000000000001E-2</v>
      </c>
      <c r="DV120">
        <v>0.32500000000000001</v>
      </c>
      <c r="DW120">
        <v>0.32500000000000001</v>
      </c>
      <c r="DX120">
        <v>0.32500000000000001</v>
      </c>
      <c r="DY120">
        <v>0</v>
      </c>
      <c r="DZ120" s="4">
        <v>3.5089999999999999</v>
      </c>
      <c r="EA120" s="4" t="s">
        <v>787</v>
      </c>
      <c r="EB120" s="4" t="s">
        <v>788</v>
      </c>
      <c r="EC120">
        <v>4.5670000000000002</v>
      </c>
      <c r="ED120">
        <v>760</v>
      </c>
      <c r="EE120" t="s">
        <v>791</v>
      </c>
      <c r="EF120">
        <v>0</v>
      </c>
      <c r="EH120">
        <f t="shared" si="3"/>
        <v>0.58000000000000007</v>
      </c>
      <c r="EI120">
        <v>3.38</v>
      </c>
      <c r="EJ120">
        <v>3.65</v>
      </c>
    </row>
    <row r="121" spans="1:140" x14ac:dyDescent="0.35">
      <c r="A121" s="1">
        <v>119</v>
      </c>
      <c r="B121">
        <v>-84.338159769657281</v>
      </c>
      <c r="C121">
        <v>36.11859387211377</v>
      </c>
      <c r="D121" t="s">
        <v>793</v>
      </c>
      <c r="E121">
        <v>0.1</v>
      </c>
      <c r="F121" t="s">
        <v>135</v>
      </c>
      <c r="G121">
        <v>3.7100000000000001E-2</v>
      </c>
      <c r="H121" t="s">
        <v>161</v>
      </c>
      <c r="I121">
        <v>-9388481</v>
      </c>
      <c r="J121">
        <v>4316952</v>
      </c>
      <c r="K121" t="s">
        <v>783</v>
      </c>
      <c r="L121" t="s">
        <v>663</v>
      </c>
      <c r="M121">
        <v>1</v>
      </c>
      <c r="N121">
        <v>3.4089999999999998</v>
      </c>
      <c r="O121">
        <v>3</v>
      </c>
      <c r="P121">
        <v>6</v>
      </c>
      <c r="Q121">
        <v>47</v>
      </c>
      <c r="R121">
        <v>1</v>
      </c>
      <c r="S121">
        <v>77136</v>
      </c>
      <c r="T121" t="s">
        <v>785</v>
      </c>
      <c r="U121">
        <v>6.1690367878486692</v>
      </c>
      <c r="V121" t="s">
        <v>783</v>
      </c>
      <c r="W121">
        <v>0.109</v>
      </c>
      <c r="X121">
        <v>10</v>
      </c>
      <c r="Y121">
        <v>8.9</v>
      </c>
      <c r="Z121">
        <v>8.9</v>
      </c>
      <c r="AA121">
        <v>20</v>
      </c>
      <c r="AB121">
        <v>26</v>
      </c>
      <c r="AC121">
        <v>0.80400000000000005</v>
      </c>
      <c r="AD121">
        <v>67</v>
      </c>
      <c r="AE121">
        <v>0.12778130959949141</v>
      </c>
      <c r="AF121">
        <v>2.86</v>
      </c>
      <c r="AG121" t="s">
        <v>785</v>
      </c>
      <c r="AH121" t="s">
        <v>783</v>
      </c>
      <c r="AI121">
        <v>43</v>
      </c>
      <c r="AJ121">
        <v>1.433333333333333E-2</v>
      </c>
      <c r="AK121">
        <v>14.33333333333333</v>
      </c>
      <c r="AL121" t="s">
        <v>794</v>
      </c>
      <c r="AM121">
        <v>0</v>
      </c>
      <c r="AN121">
        <v>1.32</v>
      </c>
      <c r="AO121">
        <v>0.09</v>
      </c>
      <c r="AP121">
        <v>0.19</v>
      </c>
      <c r="AQ121">
        <v>1.03</v>
      </c>
      <c r="AR121">
        <v>0.97</v>
      </c>
      <c r="AS121">
        <v>0.04</v>
      </c>
      <c r="AT121">
        <v>0.01</v>
      </c>
      <c r="AU121">
        <v>0.02</v>
      </c>
      <c r="AV121">
        <v>2.2799999999999998</v>
      </c>
      <c r="AW121">
        <v>1.28</v>
      </c>
      <c r="AX121">
        <v>0.21</v>
      </c>
      <c r="AY121">
        <v>0.53</v>
      </c>
      <c r="AZ121">
        <v>0</v>
      </c>
      <c r="BA121">
        <v>1.04</v>
      </c>
      <c r="BB121">
        <v>0.08</v>
      </c>
      <c r="BC121">
        <v>0.17</v>
      </c>
      <c r="BD121">
        <v>0.27</v>
      </c>
      <c r="BE121">
        <v>6.83</v>
      </c>
      <c r="BF121">
        <v>6.14</v>
      </c>
      <c r="BG121">
        <v>0.24</v>
      </c>
      <c r="BH121">
        <v>0.45</v>
      </c>
      <c r="BI121">
        <v>0</v>
      </c>
      <c r="BJ121">
        <v>0.04</v>
      </c>
      <c r="BK121">
        <v>6.1</v>
      </c>
      <c r="BL121">
        <v>0</v>
      </c>
      <c r="BM121">
        <v>1.81</v>
      </c>
      <c r="BN121">
        <v>0.21</v>
      </c>
      <c r="BO121">
        <v>0.46</v>
      </c>
      <c r="BP121">
        <v>1.1399999999999999</v>
      </c>
      <c r="BQ121">
        <v>0.96</v>
      </c>
      <c r="BR121">
        <v>0.06</v>
      </c>
      <c r="BS121">
        <v>0.12</v>
      </c>
      <c r="BT121">
        <v>0</v>
      </c>
      <c r="BU121">
        <v>7.24</v>
      </c>
      <c r="BV121">
        <v>6.18</v>
      </c>
      <c r="BW121">
        <v>0.34</v>
      </c>
      <c r="BX121">
        <v>0.72</v>
      </c>
      <c r="BY121">
        <v>0</v>
      </c>
      <c r="BZ121">
        <v>0.04</v>
      </c>
      <c r="CA121">
        <v>6.14</v>
      </c>
      <c r="CB121">
        <v>0</v>
      </c>
      <c r="CC121">
        <f t="shared" si="2"/>
        <v>2.75</v>
      </c>
      <c r="CD121">
        <v>3.96</v>
      </c>
      <c r="CE121">
        <v>0.34230769230769231</v>
      </c>
      <c r="CF121">
        <v>0.44500000000000001</v>
      </c>
      <c r="CG121">
        <v>0.1492537313432836</v>
      </c>
      <c r="CH121">
        <v>0.28111888111888123</v>
      </c>
      <c r="CI121">
        <v>0</v>
      </c>
      <c r="CJ121">
        <v>1570</v>
      </c>
      <c r="CK121" t="s">
        <v>141</v>
      </c>
      <c r="CL121" t="s">
        <v>661</v>
      </c>
      <c r="CM121" t="s">
        <v>143</v>
      </c>
      <c r="CN121">
        <v>0.114584451834</v>
      </c>
      <c r="CO121">
        <v>9.657706205435316</v>
      </c>
      <c r="CP121">
        <v>120</v>
      </c>
      <c r="CQ121" t="s">
        <v>649</v>
      </c>
      <c r="CR121">
        <v>144</v>
      </c>
      <c r="CS121" t="s">
        <v>650</v>
      </c>
      <c r="CT121" t="s">
        <v>651</v>
      </c>
      <c r="CU121" t="s">
        <v>640</v>
      </c>
      <c r="CV121" t="s">
        <v>652</v>
      </c>
      <c r="CW121" t="s">
        <v>653</v>
      </c>
      <c r="CX121" t="s">
        <v>654</v>
      </c>
      <c r="CY121" t="s">
        <v>655</v>
      </c>
      <c r="CZ121" t="s">
        <v>645</v>
      </c>
      <c r="DA121" t="s">
        <v>152</v>
      </c>
      <c r="DB121" t="s">
        <v>178</v>
      </c>
      <c r="DC121" t="s">
        <v>656</v>
      </c>
      <c r="DD121" t="s">
        <v>657</v>
      </c>
      <c r="DE121">
        <v>10350</v>
      </c>
      <c r="DF121">
        <v>-84.596498999999994</v>
      </c>
      <c r="DG121">
        <v>38.291331</v>
      </c>
      <c r="DH121">
        <v>4500</v>
      </c>
      <c r="DI121">
        <v>200</v>
      </c>
      <c r="DL121">
        <v>10</v>
      </c>
      <c r="DM121">
        <v>8</v>
      </c>
      <c r="DN121">
        <v>12</v>
      </c>
      <c r="DO121">
        <v>50</v>
      </c>
      <c r="DP121">
        <v>25</v>
      </c>
      <c r="DQ121">
        <v>100</v>
      </c>
      <c r="DS121" t="s">
        <v>658</v>
      </c>
      <c r="DT121">
        <v>1.2500000000000001E-2</v>
      </c>
      <c r="DU121">
        <v>1.2500000000000001E-2</v>
      </c>
      <c r="DV121">
        <v>0.32500000000000001</v>
      </c>
      <c r="DW121">
        <v>0.32500000000000001</v>
      </c>
      <c r="DX121">
        <v>0.32500000000000001</v>
      </c>
      <c r="DY121">
        <v>11.27987005428569</v>
      </c>
      <c r="DZ121" s="4">
        <v>3.5089999999999999</v>
      </c>
      <c r="EA121" s="4" t="s">
        <v>787</v>
      </c>
      <c r="EB121" s="4" t="s">
        <v>788</v>
      </c>
      <c r="EC121">
        <v>4.5670000000000002</v>
      </c>
      <c r="ED121">
        <v>39</v>
      </c>
      <c r="EE121" t="s">
        <v>794</v>
      </c>
      <c r="EF121">
        <v>0</v>
      </c>
      <c r="EH121">
        <f t="shared" si="3"/>
        <v>0.58000000000000007</v>
      </c>
      <c r="EI121">
        <v>3.38</v>
      </c>
      <c r="EJ121">
        <v>3.65</v>
      </c>
    </row>
    <row r="122" spans="1:140" x14ac:dyDescent="0.35">
      <c r="A122" s="1">
        <v>120</v>
      </c>
      <c r="B122">
        <v>-82.541529201418243</v>
      </c>
      <c r="C122">
        <v>36.11859387211377</v>
      </c>
      <c r="D122" t="s">
        <v>795</v>
      </c>
      <c r="E122">
        <v>0.1</v>
      </c>
      <c r="F122" t="s">
        <v>135</v>
      </c>
      <c r="G122">
        <v>3.7100000000000001E-2</v>
      </c>
      <c r="H122" t="s">
        <v>161</v>
      </c>
      <c r="I122">
        <v>-9188481</v>
      </c>
      <c r="J122">
        <v>4316952</v>
      </c>
      <c r="K122" t="s">
        <v>783</v>
      </c>
      <c r="L122" t="s">
        <v>796</v>
      </c>
      <c r="M122">
        <v>86</v>
      </c>
      <c r="N122">
        <v>3.512</v>
      </c>
      <c r="O122">
        <v>3</v>
      </c>
      <c r="P122">
        <v>6</v>
      </c>
      <c r="Q122">
        <v>47</v>
      </c>
      <c r="R122">
        <v>171</v>
      </c>
      <c r="S122">
        <v>17924</v>
      </c>
      <c r="T122" t="s">
        <v>785</v>
      </c>
      <c r="U122">
        <v>6.1690367878486692</v>
      </c>
      <c r="V122" t="s">
        <v>783</v>
      </c>
      <c r="W122">
        <v>0.109</v>
      </c>
      <c r="X122">
        <v>10</v>
      </c>
      <c r="Y122">
        <v>8.9</v>
      </c>
      <c r="Z122">
        <v>8.9</v>
      </c>
      <c r="AA122">
        <v>20</v>
      </c>
      <c r="AB122">
        <v>26</v>
      </c>
      <c r="AC122">
        <v>0.80400000000000005</v>
      </c>
      <c r="AD122">
        <v>67</v>
      </c>
      <c r="AE122">
        <v>0.12778130959949141</v>
      </c>
      <c r="AF122">
        <v>2.86</v>
      </c>
      <c r="AG122" t="s">
        <v>785</v>
      </c>
      <c r="AH122" t="s">
        <v>783</v>
      </c>
      <c r="AI122">
        <v>43</v>
      </c>
      <c r="AJ122">
        <v>1.433333333333333E-2</v>
      </c>
      <c r="AK122">
        <v>14.33333333333333</v>
      </c>
      <c r="AL122" t="s">
        <v>797</v>
      </c>
      <c r="AM122">
        <v>0</v>
      </c>
      <c r="AN122">
        <v>1.32</v>
      </c>
      <c r="AO122">
        <v>0.09</v>
      </c>
      <c r="AP122">
        <v>0.19</v>
      </c>
      <c r="AQ122">
        <v>1.03</v>
      </c>
      <c r="AR122">
        <v>0.97</v>
      </c>
      <c r="AS122">
        <v>0.04</v>
      </c>
      <c r="AT122">
        <v>0.01</v>
      </c>
      <c r="AU122">
        <v>0.02</v>
      </c>
      <c r="AV122">
        <v>2.2799999999999998</v>
      </c>
      <c r="AW122">
        <v>1.28</v>
      </c>
      <c r="AX122">
        <v>0.21</v>
      </c>
      <c r="AY122">
        <v>0.53</v>
      </c>
      <c r="AZ122">
        <v>0</v>
      </c>
      <c r="BA122">
        <v>1.04</v>
      </c>
      <c r="BB122">
        <v>0.08</v>
      </c>
      <c r="BC122">
        <v>0.17</v>
      </c>
      <c r="BD122">
        <v>0.27</v>
      </c>
      <c r="BE122">
        <v>6.83</v>
      </c>
      <c r="BF122">
        <v>6.14</v>
      </c>
      <c r="BG122">
        <v>0.24</v>
      </c>
      <c r="BH122">
        <v>0.45</v>
      </c>
      <c r="BI122">
        <v>0</v>
      </c>
      <c r="BJ122">
        <v>0.04</v>
      </c>
      <c r="BK122">
        <v>6.1</v>
      </c>
      <c r="BL122">
        <v>0</v>
      </c>
      <c r="BM122">
        <v>1.81</v>
      </c>
      <c r="BN122">
        <v>0.21</v>
      </c>
      <c r="BO122">
        <v>0.46</v>
      </c>
      <c r="BP122">
        <v>1.1399999999999999</v>
      </c>
      <c r="BQ122">
        <v>0.96</v>
      </c>
      <c r="BR122">
        <v>0.06</v>
      </c>
      <c r="BS122">
        <v>0.12</v>
      </c>
      <c r="BT122">
        <v>0</v>
      </c>
      <c r="BU122">
        <v>7.24</v>
      </c>
      <c r="BV122">
        <v>6.18</v>
      </c>
      <c r="BW122">
        <v>0.34</v>
      </c>
      <c r="BX122">
        <v>0.72</v>
      </c>
      <c r="BY122">
        <v>0</v>
      </c>
      <c r="BZ122">
        <v>0.04</v>
      </c>
      <c r="CA122">
        <v>6.14</v>
      </c>
      <c r="CB122">
        <v>0</v>
      </c>
      <c r="CC122">
        <f t="shared" si="2"/>
        <v>2.75</v>
      </c>
      <c r="CD122">
        <v>3.96</v>
      </c>
      <c r="CE122">
        <v>0.34230769230769231</v>
      </c>
      <c r="CF122">
        <v>0.44500000000000001</v>
      </c>
      <c r="CG122">
        <v>0.1492537313432836</v>
      </c>
      <c r="CH122">
        <v>0.28111888111888123</v>
      </c>
      <c r="CI122">
        <v>0</v>
      </c>
      <c r="CJ122">
        <v>1631</v>
      </c>
      <c r="CK122" t="s">
        <v>141</v>
      </c>
      <c r="CL122" t="s">
        <v>661</v>
      </c>
      <c r="CM122" t="s">
        <v>143</v>
      </c>
      <c r="CN122">
        <v>0.41905028002599998</v>
      </c>
      <c r="CO122">
        <v>15.074164118121359</v>
      </c>
      <c r="CP122">
        <v>121</v>
      </c>
      <c r="CQ122" t="s">
        <v>798</v>
      </c>
      <c r="CR122">
        <v>143</v>
      </c>
      <c r="CS122" t="s">
        <v>799</v>
      </c>
      <c r="CT122" t="s">
        <v>651</v>
      </c>
      <c r="CU122" t="s">
        <v>800</v>
      </c>
      <c r="CV122" t="s">
        <v>801</v>
      </c>
      <c r="CW122" t="s">
        <v>802</v>
      </c>
      <c r="CX122" t="s">
        <v>803</v>
      </c>
      <c r="CY122" t="s">
        <v>804</v>
      </c>
      <c r="CZ122" t="s">
        <v>645</v>
      </c>
      <c r="DA122" t="s">
        <v>152</v>
      </c>
      <c r="DB122" t="s">
        <v>178</v>
      </c>
      <c r="DC122" t="s">
        <v>656</v>
      </c>
      <c r="DD122" t="s">
        <v>657</v>
      </c>
      <c r="DE122">
        <v>21400</v>
      </c>
      <c r="DF122">
        <v>-83.760228999999995</v>
      </c>
      <c r="DG122">
        <v>40.092838999999998</v>
      </c>
      <c r="DH122">
        <v>3000</v>
      </c>
      <c r="DI122">
        <v>200</v>
      </c>
      <c r="DL122">
        <v>12</v>
      </c>
      <c r="DM122">
        <v>10</v>
      </c>
      <c r="DN122">
        <v>14</v>
      </c>
      <c r="DO122">
        <v>125</v>
      </c>
      <c r="DP122">
        <v>60</v>
      </c>
      <c r="DQ122">
        <v>250</v>
      </c>
      <c r="DS122" t="s">
        <v>658</v>
      </c>
      <c r="DT122">
        <v>1.2500000000000001E-2</v>
      </c>
      <c r="DU122">
        <v>1.2500000000000001E-2</v>
      </c>
      <c r="DV122">
        <v>0.32500000000000001</v>
      </c>
      <c r="DW122">
        <v>0.32500000000000001</v>
      </c>
      <c r="DX122">
        <v>0.32500000000000001</v>
      </c>
      <c r="DY122">
        <v>62.769283878588887</v>
      </c>
      <c r="DZ122" s="4">
        <v>3.5089999999999999</v>
      </c>
      <c r="EA122" s="4" t="s">
        <v>787</v>
      </c>
      <c r="EB122" s="4" t="s">
        <v>788</v>
      </c>
      <c r="EC122">
        <v>4.5670000000000002</v>
      </c>
      <c r="ED122">
        <v>133</v>
      </c>
      <c r="EE122" t="s">
        <v>797</v>
      </c>
      <c r="EF122">
        <v>0</v>
      </c>
      <c r="EH122">
        <f t="shared" si="3"/>
        <v>0.58000000000000007</v>
      </c>
      <c r="EI122">
        <v>3.38</v>
      </c>
      <c r="EJ122">
        <v>3.65</v>
      </c>
    </row>
    <row r="123" spans="1:140" x14ac:dyDescent="0.35">
      <c r="A123" s="1">
        <v>121</v>
      </c>
      <c r="B123">
        <v>-80.74489863317919</v>
      </c>
      <c r="C123">
        <v>36.11859387211377</v>
      </c>
      <c r="D123" t="s">
        <v>805</v>
      </c>
      <c r="E123">
        <v>0.1</v>
      </c>
      <c r="F123" t="s">
        <v>135</v>
      </c>
      <c r="G123">
        <v>3.7100000000000001E-2</v>
      </c>
      <c r="H123" t="s">
        <v>161</v>
      </c>
      <c r="I123">
        <v>-8988481</v>
      </c>
      <c r="J123">
        <v>4316952</v>
      </c>
      <c r="K123" t="s">
        <v>670</v>
      </c>
      <c r="L123" t="s">
        <v>806</v>
      </c>
      <c r="M123">
        <v>99</v>
      </c>
      <c r="N123">
        <v>3.5350000000000001</v>
      </c>
      <c r="O123">
        <v>3</v>
      </c>
      <c r="P123">
        <v>5</v>
      </c>
      <c r="Q123">
        <v>37</v>
      </c>
      <c r="R123">
        <v>197</v>
      </c>
      <c r="S123">
        <v>37211</v>
      </c>
      <c r="T123" t="s">
        <v>672</v>
      </c>
      <c r="U123">
        <v>7.081113256113257</v>
      </c>
      <c r="V123" t="s">
        <v>670</v>
      </c>
      <c r="W123">
        <v>0.11650000000000001</v>
      </c>
      <c r="X123">
        <v>10</v>
      </c>
      <c r="Y123">
        <v>8.9</v>
      </c>
      <c r="Z123">
        <v>8.9</v>
      </c>
      <c r="AA123">
        <v>20</v>
      </c>
      <c r="AB123">
        <v>26</v>
      </c>
      <c r="AC123">
        <v>0.67</v>
      </c>
      <c r="AD123">
        <v>67</v>
      </c>
      <c r="AE123">
        <v>0.1064844246662429</v>
      </c>
      <c r="AF123">
        <v>2.86</v>
      </c>
      <c r="AG123" t="s">
        <v>672</v>
      </c>
      <c r="AH123" t="s">
        <v>670</v>
      </c>
      <c r="AI123">
        <v>20</v>
      </c>
      <c r="AJ123">
        <v>6.6666666666666671E-3</v>
      </c>
      <c r="AK123">
        <v>6.666666666666667</v>
      </c>
      <c r="AL123" t="s">
        <v>807</v>
      </c>
      <c r="AM123">
        <v>0</v>
      </c>
      <c r="AN123">
        <v>1.47</v>
      </c>
      <c r="AO123">
        <v>0.09</v>
      </c>
      <c r="AP123">
        <v>0.19</v>
      </c>
      <c r="AQ123">
        <v>1.18</v>
      </c>
      <c r="AR123">
        <v>1.1200000000000001</v>
      </c>
      <c r="AS123">
        <v>0.04</v>
      </c>
      <c r="AT123">
        <v>0.02</v>
      </c>
      <c r="AU123">
        <v>0.02</v>
      </c>
      <c r="AV123">
        <v>2.4500000000000002</v>
      </c>
      <c r="AW123">
        <v>1.45</v>
      </c>
      <c r="AX123">
        <v>0.21</v>
      </c>
      <c r="AY123">
        <v>0.53</v>
      </c>
      <c r="AZ123">
        <v>0</v>
      </c>
      <c r="BA123">
        <v>1.19</v>
      </c>
      <c r="BB123">
        <v>0.08</v>
      </c>
      <c r="BC123">
        <v>0.18</v>
      </c>
      <c r="BD123">
        <v>0.27</v>
      </c>
      <c r="BE123">
        <v>7.39</v>
      </c>
      <c r="BF123">
        <v>6.7</v>
      </c>
      <c r="BG123">
        <v>0.24</v>
      </c>
      <c r="BH123">
        <v>0.45</v>
      </c>
      <c r="BI123">
        <v>0</v>
      </c>
      <c r="BJ123">
        <v>0.04</v>
      </c>
      <c r="BK123">
        <v>6.66</v>
      </c>
      <c r="BL123">
        <v>0</v>
      </c>
      <c r="BM123">
        <v>1.97</v>
      </c>
      <c r="BN123">
        <v>0.21</v>
      </c>
      <c r="BO123">
        <v>0.46</v>
      </c>
      <c r="BP123">
        <v>1.3</v>
      </c>
      <c r="BQ123">
        <v>1.1000000000000001</v>
      </c>
      <c r="BR123">
        <v>0.06</v>
      </c>
      <c r="BS123">
        <v>0.13</v>
      </c>
      <c r="BT123">
        <v>0</v>
      </c>
      <c r="BU123">
        <v>7.79</v>
      </c>
      <c r="BV123">
        <v>6.73</v>
      </c>
      <c r="BW123">
        <v>0.34</v>
      </c>
      <c r="BX123">
        <v>0.72</v>
      </c>
      <c r="BY123">
        <v>0</v>
      </c>
      <c r="BZ123">
        <v>0.04</v>
      </c>
      <c r="CA123">
        <v>6.7</v>
      </c>
      <c r="CB123">
        <v>0</v>
      </c>
      <c r="CC123">
        <f t="shared" si="2"/>
        <v>2.75</v>
      </c>
      <c r="CD123">
        <v>3.96</v>
      </c>
      <c r="CE123">
        <v>0.34230769230769231</v>
      </c>
      <c r="CF123">
        <v>0.44500000000000001</v>
      </c>
      <c r="CG123">
        <v>0.1492537313432836</v>
      </c>
      <c r="CH123">
        <v>0.2342657342657343</v>
      </c>
      <c r="CI123">
        <v>0</v>
      </c>
      <c r="CJ123">
        <v>20317</v>
      </c>
      <c r="CK123" t="s">
        <v>169</v>
      </c>
      <c r="CL123" t="s">
        <v>679</v>
      </c>
      <c r="CM123" t="s">
        <v>143</v>
      </c>
      <c r="CN123">
        <v>0.15360853309600001</v>
      </c>
      <c r="CO123">
        <v>28.17126461574118</v>
      </c>
      <c r="CP123">
        <v>122</v>
      </c>
      <c r="CQ123" t="s">
        <v>798</v>
      </c>
      <c r="CR123">
        <v>143</v>
      </c>
      <c r="CS123" t="s">
        <v>799</v>
      </c>
      <c r="CT123" t="s">
        <v>651</v>
      </c>
      <c r="CU123" t="s">
        <v>800</v>
      </c>
      <c r="CV123" t="s">
        <v>801</v>
      </c>
      <c r="CW123" t="s">
        <v>802</v>
      </c>
      <c r="CX123" t="s">
        <v>803</v>
      </c>
      <c r="CY123" t="s">
        <v>804</v>
      </c>
      <c r="CZ123" t="s">
        <v>645</v>
      </c>
      <c r="DA123" t="s">
        <v>152</v>
      </c>
      <c r="DB123" t="s">
        <v>178</v>
      </c>
      <c r="DC123" t="s">
        <v>656</v>
      </c>
      <c r="DD123" t="s">
        <v>657</v>
      </c>
      <c r="DE123">
        <v>21400</v>
      </c>
      <c r="DF123">
        <v>-83.760228999999995</v>
      </c>
      <c r="DG123">
        <v>40.092838999999998</v>
      </c>
      <c r="DH123">
        <v>3000</v>
      </c>
      <c r="DI123">
        <v>200</v>
      </c>
      <c r="DL123">
        <v>12</v>
      </c>
      <c r="DM123">
        <v>10</v>
      </c>
      <c r="DN123">
        <v>14</v>
      </c>
      <c r="DO123">
        <v>125</v>
      </c>
      <c r="DP123">
        <v>60</v>
      </c>
      <c r="DQ123">
        <v>250</v>
      </c>
      <c r="DS123" t="s">
        <v>658</v>
      </c>
      <c r="DT123">
        <v>1.2500000000000001E-2</v>
      </c>
      <c r="DU123">
        <v>1.2500000000000001E-2</v>
      </c>
      <c r="DV123">
        <v>0.32500000000000001</v>
      </c>
      <c r="DW123">
        <v>0.32500000000000001</v>
      </c>
      <c r="DX123">
        <v>0.32500000000000001</v>
      </c>
      <c r="DY123">
        <v>95.738402812572801</v>
      </c>
      <c r="DZ123" s="4">
        <v>3.6080000000000001</v>
      </c>
      <c r="EA123" s="4" t="s">
        <v>674</v>
      </c>
      <c r="EB123" s="4" t="s">
        <v>675</v>
      </c>
      <c r="EC123">
        <v>4.7039999999999997</v>
      </c>
      <c r="ED123">
        <v>272</v>
      </c>
      <c r="EE123" t="s">
        <v>807</v>
      </c>
      <c r="EF123">
        <v>0</v>
      </c>
      <c r="EH123">
        <f t="shared" si="3"/>
        <v>0.58000000000000007</v>
      </c>
      <c r="EI123">
        <v>3.38</v>
      </c>
      <c r="EJ123">
        <v>3.65</v>
      </c>
    </row>
    <row r="124" spans="1:140" x14ac:dyDescent="0.35">
      <c r="A124" s="1">
        <v>122</v>
      </c>
      <c r="B124">
        <v>-78.948268064940152</v>
      </c>
      <c r="C124">
        <v>36.11859387211377</v>
      </c>
      <c r="D124" t="s">
        <v>808</v>
      </c>
      <c r="E124">
        <v>0.1</v>
      </c>
      <c r="F124" t="s">
        <v>306</v>
      </c>
      <c r="G124">
        <v>3.7100000000000001E-2</v>
      </c>
      <c r="H124" t="s">
        <v>161</v>
      </c>
      <c r="I124">
        <v>-8788481</v>
      </c>
      <c r="J124">
        <v>4316952</v>
      </c>
      <c r="K124" t="s">
        <v>670</v>
      </c>
      <c r="L124" t="s">
        <v>809</v>
      </c>
      <c r="M124">
        <v>32</v>
      </c>
      <c r="N124">
        <v>3.6</v>
      </c>
      <c r="O124">
        <v>3</v>
      </c>
      <c r="P124">
        <v>5</v>
      </c>
      <c r="Q124">
        <v>37</v>
      </c>
      <c r="R124">
        <v>63</v>
      </c>
      <c r="S124">
        <v>324849</v>
      </c>
      <c r="T124" t="s">
        <v>672</v>
      </c>
      <c r="U124">
        <v>7.081113256113257</v>
      </c>
      <c r="V124" t="s">
        <v>670</v>
      </c>
      <c r="W124">
        <v>0.11650000000000001</v>
      </c>
      <c r="X124">
        <v>10</v>
      </c>
      <c r="Y124">
        <v>8.9</v>
      </c>
      <c r="Z124">
        <v>8.9</v>
      </c>
      <c r="AA124">
        <v>20</v>
      </c>
      <c r="AB124">
        <v>26</v>
      </c>
      <c r="AC124">
        <v>0.67</v>
      </c>
      <c r="AD124">
        <v>67</v>
      </c>
      <c r="AE124">
        <v>0.1064844246662429</v>
      </c>
      <c r="AF124">
        <v>2.86</v>
      </c>
      <c r="AG124" t="s">
        <v>672</v>
      </c>
      <c r="AH124" t="s">
        <v>670</v>
      </c>
      <c r="AI124">
        <v>20</v>
      </c>
      <c r="AJ124">
        <v>6.6666666666666671E-3</v>
      </c>
      <c r="AK124">
        <v>6.666666666666667</v>
      </c>
      <c r="AL124" t="s">
        <v>810</v>
      </c>
      <c r="AM124">
        <v>0</v>
      </c>
      <c r="AN124">
        <v>1.47</v>
      </c>
      <c r="AO124">
        <v>0.09</v>
      </c>
      <c r="AP124">
        <v>0.19</v>
      </c>
      <c r="AQ124">
        <v>1.18</v>
      </c>
      <c r="AR124">
        <v>1.1200000000000001</v>
      </c>
      <c r="AS124">
        <v>0.04</v>
      </c>
      <c r="AT124">
        <v>0.02</v>
      </c>
      <c r="AU124">
        <v>0.02</v>
      </c>
      <c r="AV124">
        <v>2.4500000000000002</v>
      </c>
      <c r="AW124">
        <v>1.45</v>
      </c>
      <c r="AX124">
        <v>0.21</v>
      </c>
      <c r="AY124">
        <v>0.53</v>
      </c>
      <c r="AZ124">
        <v>0</v>
      </c>
      <c r="BA124">
        <v>1.19</v>
      </c>
      <c r="BB124">
        <v>0.08</v>
      </c>
      <c r="BC124">
        <v>0.18</v>
      </c>
      <c r="BD124">
        <v>0.27</v>
      </c>
      <c r="BE124">
        <v>7.39</v>
      </c>
      <c r="BF124">
        <v>6.7</v>
      </c>
      <c r="BG124">
        <v>0.24</v>
      </c>
      <c r="BH124">
        <v>0.45</v>
      </c>
      <c r="BI124">
        <v>0</v>
      </c>
      <c r="BJ124">
        <v>0.04</v>
      </c>
      <c r="BK124">
        <v>6.66</v>
      </c>
      <c r="BL124">
        <v>0</v>
      </c>
      <c r="BM124">
        <v>1.97</v>
      </c>
      <c r="BN124">
        <v>0.21</v>
      </c>
      <c r="BO124">
        <v>0.46</v>
      </c>
      <c r="BP124">
        <v>1.3</v>
      </c>
      <c r="BQ124">
        <v>1.1000000000000001</v>
      </c>
      <c r="BR124">
        <v>0.06</v>
      </c>
      <c r="BS124">
        <v>0.13</v>
      </c>
      <c r="BT124">
        <v>0</v>
      </c>
      <c r="BU124">
        <v>7.79</v>
      </c>
      <c r="BV124">
        <v>6.73</v>
      </c>
      <c r="BW124">
        <v>0.34</v>
      </c>
      <c r="BX124">
        <v>0.72</v>
      </c>
      <c r="BY124">
        <v>0</v>
      </c>
      <c r="BZ124">
        <v>0.04</v>
      </c>
      <c r="CA124">
        <v>6.7</v>
      </c>
      <c r="CB124">
        <v>0</v>
      </c>
      <c r="CC124">
        <f t="shared" si="2"/>
        <v>2.75</v>
      </c>
      <c r="CD124">
        <v>3.96</v>
      </c>
      <c r="CE124">
        <v>0.34230769230769231</v>
      </c>
      <c r="CF124">
        <v>0.44500000000000001</v>
      </c>
      <c r="CG124">
        <v>0.1492537313432836</v>
      </c>
      <c r="CH124">
        <v>0.2342657342657343</v>
      </c>
      <c r="CI124">
        <v>0</v>
      </c>
      <c r="CJ124">
        <v>20307</v>
      </c>
      <c r="CK124" t="s">
        <v>169</v>
      </c>
      <c r="CL124" t="s">
        <v>679</v>
      </c>
      <c r="CM124" t="s">
        <v>143</v>
      </c>
      <c r="CN124">
        <v>0.195712376716</v>
      </c>
      <c r="CO124">
        <v>10.840639893979731</v>
      </c>
      <c r="CP124">
        <v>123</v>
      </c>
      <c r="CQ124" t="s">
        <v>798</v>
      </c>
      <c r="CR124">
        <v>143</v>
      </c>
      <c r="CS124" t="s">
        <v>799</v>
      </c>
      <c r="CT124" t="s">
        <v>651</v>
      </c>
      <c r="CU124" t="s">
        <v>800</v>
      </c>
      <c r="CV124" t="s">
        <v>801</v>
      </c>
      <c r="CW124" t="s">
        <v>802</v>
      </c>
      <c r="CX124" t="s">
        <v>803</v>
      </c>
      <c r="CY124" t="s">
        <v>804</v>
      </c>
      <c r="CZ124" t="s">
        <v>645</v>
      </c>
      <c r="DA124" t="s">
        <v>152</v>
      </c>
      <c r="DB124" t="s">
        <v>178</v>
      </c>
      <c r="DC124" t="s">
        <v>656</v>
      </c>
      <c r="DD124" t="s">
        <v>657</v>
      </c>
      <c r="DE124">
        <v>21400</v>
      </c>
      <c r="DF124">
        <v>-83.760228999999995</v>
      </c>
      <c r="DG124">
        <v>40.092838999999998</v>
      </c>
      <c r="DH124">
        <v>3000</v>
      </c>
      <c r="DI124">
        <v>200</v>
      </c>
      <c r="DL124">
        <v>12</v>
      </c>
      <c r="DM124">
        <v>10</v>
      </c>
      <c r="DN124">
        <v>14</v>
      </c>
      <c r="DO124">
        <v>125</v>
      </c>
      <c r="DP124">
        <v>60</v>
      </c>
      <c r="DQ124">
        <v>250</v>
      </c>
      <c r="DS124" t="s">
        <v>658</v>
      </c>
      <c r="DT124">
        <v>1.2500000000000001E-2</v>
      </c>
      <c r="DU124">
        <v>1.2500000000000001E-2</v>
      </c>
      <c r="DV124">
        <v>0.32500000000000001</v>
      </c>
      <c r="DW124">
        <v>0.32500000000000001</v>
      </c>
      <c r="DX124">
        <v>0.32500000000000001</v>
      </c>
      <c r="DY124">
        <v>145.26714415321371</v>
      </c>
      <c r="DZ124" s="4">
        <v>3.6080000000000001</v>
      </c>
      <c r="EA124" s="4" t="s">
        <v>674</v>
      </c>
      <c r="EB124" s="4" t="s">
        <v>675</v>
      </c>
      <c r="EC124">
        <v>4.7039999999999997</v>
      </c>
      <c r="ED124">
        <v>630</v>
      </c>
      <c r="EE124" t="s">
        <v>810</v>
      </c>
      <c r="EF124">
        <v>0</v>
      </c>
      <c r="EH124">
        <f t="shared" si="3"/>
        <v>0.58000000000000007</v>
      </c>
      <c r="EI124">
        <v>3.38</v>
      </c>
      <c r="EJ124">
        <v>3.65</v>
      </c>
    </row>
    <row r="125" spans="1:140" x14ac:dyDescent="0.35">
      <c r="A125" s="1">
        <v>123</v>
      </c>
      <c r="B125">
        <v>-77.151637496701113</v>
      </c>
      <c r="C125">
        <v>36.11859387211377</v>
      </c>
      <c r="D125" t="s">
        <v>811</v>
      </c>
      <c r="E125">
        <v>0.1</v>
      </c>
      <c r="F125" t="s">
        <v>135</v>
      </c>
      <c r="G125">
        <v>9.7899999999999987E-2</v>
      </c>
      <c r="H125" t="s">
        <v>161</v>
      </c>
      <c r="I125">
        <v>-8588481</v>
      </c>
      <c r="J125">
        <v>4316952</v>
      </c>
      <c r="K125" t="s">
        <v>670</v>
      </c>
      <c r="L125" t="s">
        <v>812</v>
      </c>
      <c r="M125">
        <v>8</v>
      </c>
      <c r="N125">
        <v>3.4950000000000001</v>
      </c>
      <c r="O125">
        <v>3</v>
      </c>
      <c r="P125">
        <v>5</v>
      </c>
      <c r="Q125">
        <v>37</v>
      </c>
      <c r="R125">
        <v>15</v>
      </c>
      <c r="S125">
        <v>17934</v>
      </c>
      <c r="T125" t="s">
        <v>672</v>
      </c>
      <c r="U125">
        <v>7.081113256113257</v>
      </c>
      <c r="V125" t="s">
        <v>670</v>
      </c>
      <c r="W125">
        <v>0.11650000000000001</v>
      </c>
      <c r="X125">
        <v>10</v>
      </c>
      <c r="Y125">
        <v>8.9</v>
      </c>
      <c r="Z125">
        <v>8.9</v>
      </c>
      <c r="AA125">
        <v>20</v>
      </c>
      <c r="AB125">
        <v>26</v>
      </c>
      <c r="AC125">
        <v>0.67</v>
      </c>
      <c r="AD125">
        <v>67</v>
      </c>
      <c r="AE125">
        <v>0.1064844246662429</v>
      </c>
      <c r="AF125">
        <v>2.86</v>
      </c>
      <c r="AG125" t="s">
        <v>672</v>
      </c>
      <c r="AH125" t="s">
        <v>670</v>
      </c>
      <c r="AI125">
        <v>20</v>
      </c>
      <c r="AJ125">
        <v>6.6666666666666671E-3</v>
      </c>
      <c r="AK125">
        <v>6.666666666666667</v>
      </c>
      <c r="AL125" t="s">
        <v>813</v>
      </c>
      <c r="AM125">
        <v>8890.8105908515481</v>
      </c>
      <c r="AN125">
        <v>1.47</v>
      </c>
      <c r="AO125">
        <v>0.09</v>
      </c>
      <c r="AP125">
        <v>0.19</v>
      </c>
      <c r="AQ125">
        <v>1.18</v>
      </c>
      <c r="AR125">
        <v>1.1200000000000001</v>
      </c>
      <c r="AS125">
        <v>0.04</v>
      </c>
      <c r="AT125">
        <v>0.02</v>
      </c>
      <c r="AU125">
        <v>0.02</v>
      </c>
      <c r="AV125">
        <v>2.4500000000000002</v>
      </c>
      <c r="AW125">
        <v>1.45</v>
      </c>
      <c r="AX125">
        <v>0.21</v>
      </c>
      <c r="AY125">
        <v>0.53</v>
      </c>
      <c r="AZ125">
        <v>0</v>
      </c>
      <c r="BA125">
        <v>1.19</v>
      </c>
      <c r="BB125">
        <v>0.08</v>
      </c>
      <c r="BC125">
        <v>0.18</v>
      </c>
      <c r="BD125">
        <v>0.27</v>
      </c>
      <c r="BE125">
        <v>7.39</v>
      </c>
      <c r="BF125">
        <v>6.7</v>
      </c>
      <c r="BG125">
        <v>0.24</v>
      </c>
      <c r="BH125">
        <v>0.45</v>
      </c>
      <c r="BI125">
        <v>0</v>
      </c>
      <c r="BJ125">
        <v>0.04</v>
      </c>
      <c r="BK125">
        <v>6.66</v>
      </c>
      <c r="BL125">
        <v>0</v>
      </c>
      <c r="BM125">
        <v>1.97</v>
      </c>
      <c r="BN125">
        <v>0.21</v>
      </c>
      <c r="BO125">
        <v>0.46</v>
      </c>
      <c r="BP125">
        <v>1.3</v>
      </c>
      <c r="BQ125">
        <v>1.1000000000000001</v>
      </c>
      <c r="BR125">
        <v>0.06</v>
      </c>
      <c r="BS125">
        <v>0.13</v>
      </c>
      <c r="BT125">
        <v>0</v>
      </c>
      <c r="BU125">
        <v>7.79</v>
      </c>
      <c r="BV125">
        <v>6.73</v>
      </c>
      <c r="BW125">
        <v>0.34</v>
      </c>
      <c r="BX125">
        <v>0.72</v>
      </c>
      <c r="BY125">
        <v>0</v>
      </c>
      <c r="BZ125">
        <v>0.04</v>
      </c>
      <c r="CA125">
        <v>6.7</v>
      </c>
      <c r="CB125">
        <v>0</v>
      </c>
      <c r="CC125">
        <f t="shared" si="2"/>
        <v>2.75</v>
      </c>
      <c r="CD125">
        <v>3.96</v>
      </c>
      <c r="CE125">
        <v>0.34230769230769231</v>
      </c>
      <c r="CF125">
        <v>0.44500000000000001</v>
      </c>
      <c r="CG125">
        <v>0.1492537313432836</v>
      </c>
      <c r="CH125">
        <v>0.2342657342657343</v>
      </c>
      <c r="CI125">
        <v>0</v>
      </c>
      <c r="CJ125">
        <v>28084</v>
      </c>
      <c r="CK125" t="s">
        <v>141</v>
      </c>
      <c r="CL125" t="s">
        <v>187</v>
      </c>
      <c r="CM125" t="s">
        <v>143</v>
      </c>
      <c r="CN125">
        <v>0.132818743032</v>
      </c>
      <c r="CO125">
        <v>16.699439542595609</v>
      </c>
      <c r="CP125">
        <v>124</v>
      </c>
      <c r="CQ125" t="s">
        <v>680</v>
      </c>
      <c r="CR125">
        <v>218</v>
      </c>
      <c r="CS125" t="s">
        <v>681</v>
      </c>
      <c r="CT125" t="s">
        <v>682</v>
      </c>
      <c r="CU125" t="s">
        <v>683</v>
      </c>
      <c r="CV125" t="s">
        <v>683</v>
      </c>
      <c r="CW125" t="s">
        <v>684</v>
      </c>
      <c r="CX125" t="s">
        <v>685</v>
      </c>
      <c r="CY125" t="s">
        <v>685</v>
      </c>
      <c r="CZ125" t="s">
        <v>686</v>
      </c>
      <c r="DA125" t="s">
        <v>152</v>
      </c>
      <c r="DB125" t="s">
        <v>178</v>
      </c>
      <c r="DC125" t="s">
        <v>365</v>
      </c>
      <c r="DD125" t="s">
        <v>155</v>
      </c>
      <c r="DE125">
        <v>904</v>
      </c>
      <c r="DF125">
        <v>-75.353050999999994</v>
      </c>
      <c r="DG125">
        <v>38.439326999999999</v>
      </c>
      <c r="DH125">
        <v>4500</v>
      </c>
      <c r="DI125">
        <v>800</v>
      </c>
      <c r="DL125">
        <v>10</v>
      </c>
      <c r="DM125">
        <v>9</v>
      </c>
      <c r="DN125">
        <v>27</v>
      </c>
      <c r="DO125">
        <v>80</v>
      </c>
      <c r="DP125">
        <v>16</v>
      </c>
      <c r="DQ125">
        <v>122</v>
      </c>
      <c r="DR125">
        <v>70000</v>
      </c>
      <c r="DS125" t="s">
        <v>687</v>
      </c>
      <c r="DT125">
        <v>1.2500000000000001E-2</v>
      </c>
      <c r="DU125">
        <v>1.2500000000000001E-2</v>
      </c>
      <c r="DV125">
        <v>0.32500000000000001</v>
      </c>
      <c r="DW125">
        <v>0.32500000000000001</v>
      </c>
      <c r="DX125">
        <v>0.32500000000000001</v>
      </c>
      <c r="DY125">
        <v>69.297065246748318</v>
      </c>
      <c r="DZ125" s="4">
        <v>3.6080000000000001</v>
      </c>
      <c r="EA125" s="4" t="s">
        <v>674</v>
      </c>
      <c r="EB125" s="4" t="s">
        <v>675</v>
      </c>
      <c r="EC125">
        <v>4.7039999999999997</v>
      </c>
      <c r="ED125">
        <v>399</v>
      </c>
      <c r="EE125" t="s">
        <v>813</v>
      </c>
      <c r="EF125">
        <v>7.9420063578864997E-2</v>
      </c>
      <c r="EH125">
        <f t="shared" si="3"/>
        <v>0.58000000000000007</v>
      </c>
      <c r="EI125">
        <v>3.38</v>
      </c>
      <c r="EJ125">
        <v>3.65</v>
      </c>
    </row>
    <row r="126" spans="1:140" x14ac:dyDescent="0.35">
      <c r="A126" s="1">
        <v>124</v>
      </c>
      <c r="B126">
        <v>-75.355006928462075</v>
      </c>
      <c r="C126">
        <v>36.11859387211377</v>
      </c>
      <c r="D126" t="s">
        <v>814</v>
      </c>
      <c r="E126">
        <v>0.1</v>
      </c>
      <c r="F126" t="s">
        <v>135</v>
      </c>
      <c r="G126">
        <v>9.7899999999999987E-2</v>
      </c>
      <c r="H126" t="s">
        <v>161</v>
      </c>
      <c r="I126">
        <v>-8388481</v>
      </c>
      <c r="J126">
        <v>4316952</v>
      </c>
      <c r="K126" t="s">
        <v>670</v>
      </c>
      <c r="L126" t="s">
        <v>689</v>
      </c>
      <c r="M126">
        <v>28</v>
      </c>
      <c r="N126">
        <v>3.6680000000000001</v>
      </c>
      <c r="O126">
        <v>3</v>
      </c>
      <c r="P126">
        <v>5</v>
      </c>
      <c r="Q126">
        <v>37</v>
      </c>
      <c r="R126">
        <v>55</v>
      </c>
      <c r="S126">
        <v>36910</v>
      </c>
      <c r="T126" t="s">
        <v>672</v>
      </c>
      <c r="U126">
        <v>7.081113256113257</v>
      </c>
      <c r="V126" t="s">
        <v>670</v>
      </c>
      <c r="W126">
        <v>0.11650000000000001</v>
      </c>
      <c r="X126">
        <v>10</v>
      </c>
      <c r="Y126">
        <v>8.9</v>
      </c>
      <c r="Z126">
        <v>8.9</v>
      </c>
      <c r="AA126">
        <v>20</v>
      </c>
      <c r="AB126">
        <v>26</v>
      </c>
      <c r="AC126">
        <v>0.67</v>
      </c>
      <c r="AD126">
        <v>67</v>
      </c>
      <c r="AE126">
        <v>0.1064844246662429</v>
      </c>
      <c r="AF126">
        <v>2.86</v>
      </c>
      <c r="AG126" t="s">
        <v>672</v>
      </c>
      <c r="AH126" t="s">
        <v>670</v>
      </c>
      <c r="AI126">
        <v>20</v>
      </c>
      <c r="AJ126">
        <v>6.6666666666666671E-3</v>
      </c>
      <c r="AK126">
        <v>6.666666666666667</v>
      </c>
      <c r="AL126" t="s">
        <v>690</v>
      </c>
      <c r="AM126">
        <v>36351.267194029853</v>
      </c>
      <c r="AN126">
        <v>1.47</v>
      </c>
      <c r="AO126">
        <v>0.09</v>
      </c>
      <c r="AP126">
        <v>0.19</v>
      </c>
      <c r="AQ126">
        <v>1.18</v>
      </c>
      <c r="AR126">
        <v>1.1200000000000001</v>
      </c>
      <c r="AS126">
        <v>0.04</v>
      </c>
      <c r="AT126">
        <v>0.02</v>
      </c>
      <c r="AU126">
        <v>0.02</v>
      </c>
      <c r="AV126">
        <v>2.4500000000000002</v>
      </c>
      <c r="AW126">
        <v>1.45</v>
      </c>
      <c r="AX126">
        <v>0.21</v>
      </c>
      <c r="AY126">
        <v>0.53</v>
      </c>
      <c r="AZ126">
        <v>0</v>
      </c>
      <c r="BA126">
        <v>1.19</v>
      </c>
      <c r="BB126">
        <v>0.08</v>
      </c>
      <c r="BC126">
        <v>0.18</v>
      </c>
      <c r="BD126">
        <v>0.27</v>
      </c>
      <c r="BE126">
        <v>7.39</v>
      </c>
      <c r="BF126">
        <v>6.7</v>
      </c>
      <c r="BG126">
        <v>0.24</v>
      </c>
      <c r="BH126">
        <v>0.45</v>
      </c>
      <c r="BI126">
        <v>0</v>
      </c>
      <c r="BJ126">
        <v>0.04</v>
      </c>
      <c r="BK126">
        <v>6.66</v>
      </c>
      <c r="BL126">
        <v>0</v>
      </c>
      <c r="BM126">
        <v>1.97</v>
      </c>
      <c r="BN126">
        <v>0.21</v>
      </c>
      <c r="BO126">
        <v>0.46</v>
      </c>
      <c r="BP126">
        <v>1.3</v>
      </c>
      <c r="BQ126">
        <v>1.1000000000000001</v>
      </c>
      <c r="BR126">
        <v>0.06</v>
      </c>
      <c r="BS126">
        <v>0.13</v>
      </c>
      <c r="BT126">
        <v>0</v>
      </c>
      <c r="BU126">
        <v>7.79</v>
      </c>
      <c r="BV126">
        <v>6.73</v>
      </c>
      <c r="BW126">
        <v>0.34</v>
      </c>
      <c r="BX126">
        <v>0.72</v>
      </c>
      <c r="BY126">
        <v>0</v>
      </c>
      <c r="BZ126">
        <v>0.04</v>
      </c>
      <c r="CA126">
        <v>6.7</v>
      </c>
      <c r="CB126">
        <v>0</v>
      </c>
      <c r="CC126">
        <f t="shared" si="2"/>
        <v>2.75</v>
      </c>
      <c r="CD126">
        <v>3.96</v>
      </c>
      <c r="CE126">
        <v>0.34230769230769231</v>
      </c>
      <c r="CF126">
        <v>0.44500000000000001</v>
      </c>
      <c r="CG126">
        <v>0.1492537313432836</v>
      </c>
      <c r="CH126">
        <v>0.2342657342657343</v>
      </c>
      <c r="CI126">
        <v>0</v>
      </c>
      <c r="CJ126">
        <v>29727</v>
      </c>
      <c r="CK126" t="s">
        <v>169</v>
      </c>
      <c r="CL126" t="s">
        <v>815</v>
      </c>
      <c r="CM126" t="s">
        <v>143</v>
      </c>
      <c r="CN126">
        <v>1.16242054352E-2</v>
      </c>
      <c r="CO126">
        <v>69.52342471428868</v>
      </c>
      <c r="CP126">
        <v>125</v>
      </c>
      <c r="CQ126" t="s">
        <v>680</v>
      </c>
      <c r="CR126">
        <v>218</v>
      </c>
      <c r="CS126" t="s">
        <v>681</v>
      </c>
      <c r="CT126" t="s">
        <v>682</v>
      </c>
      <c r="CU126" t="s">
        <v>683</v>
      </c>
      <c r="CV126" t="s">
        <v>683</v>
      </c>
      <c r="CW126" t="s">
        <v>684</v>
      </c>
      <c r="CX126" t="s">
        <v>685</v>
      </c>
      <c r="CY126" t="s">
        <v>685</v>
      </c>
      <c r="CZ126" t="s">
        <v>686</v>
      </c>
      <c r="DA126" t="s">
        <v>152</v>
      </c>
      <c r="DB126" t="s">
        <v>178</v>
      </c>
      <c r="DC126" t="s">
        <v>365</v>
      </c>
      <c r="DD126" t="s">
        <v>155</v>
      </c>
      <c r="DE126">
        <v>904</v>
      </c>
      <c r="DF126">
        <v>-75.353050999999994</v>
      </c>
      <c r="DG126">
        <v>38.439326999999999</v>
      </c>
      <c r="DH126">
        <v>4500</v>
      </c>
      <c r="DI126">
        <v>800</v>
      </c>
      <c r="DL126">
        <v>10</v>
      </c>
      <c r="DM126">
        <v>9</v>
      </c>
      <c r="DN126">
        <v>27</v>
      </c>
      <c r="DO126">
        <v>80</v>
      </c>
      <c r="DP126">
        <v>16</v>
      </c>
      <c r="DQ126">
        <v>122</v>
      </c>
      <c r="DR126">
        <v>70000</v>
      </c>
      <c r="DS126" t="s">
        <v>687</v>
      </c>
      <c r="DT126">
        <v>1.2500000000000001E-2</v>
      </c>
      <c r="DU126">
        <v>1.2500000000000001E-2</v>
      </c>
      <c r="DV126">
        <v>0.32500000000000001</v>
      </c>
      <c r="DW126">
        <v>0.32500000000000001</v>
      </c>
      <c r="DX126">
        <v>0.32500000000000001</v>
      </c>
      <c r="DY126">
        <v>17.21999234231037</v>
      </c>
      <c r="DZ126" s="4">
        <v>3.6080000000000001</v>
      </c>
      <c r="EA126" s="4" t="s">
        <v>674</v>
      </c>
      <c r="EB126" s="4" t="s">
        <v>675</v>
      </c>
      <c r="EC126">
        <v>4.7039999999999997</v>
      </c>
      <c r="ED126">
        <v>16</v>
      </c>
      <c r="EE126" t="s">
        <v>690</v>
      </c>
      <c r="EF126">
        <v>0.31256638230584638</v>
      </c>
      <c r="EH126">
        <f t="shared" si="3"/>
        <v>0.58000000000000007</v>
      </c>
      <c r="EI126">
        <v>3.38</v>
      </c>
      <c r="EJ126">
        <v>3.65</v>
      </c>
    </row>
    <row r="127" spans="1:140" x14ac:dyDescent="0.35">
      <c r="A127" s="1">
        <v>125</v>
      </c>
      <c r="B127">
        <v>-123.8640322709162</v>
      </c>
      <c r="C127">
        <v>37.55642735392783</v>
      </c>
      <c r="D127" t="s">
        <v>816</v>
      </c>
      <c r="E127">
        <v>0.1</v>
      </c>
      <c r="F127" t="s">
        <v>135</v>
      </c>
      <c r="G127">
        <v>7.3200000000000001E-2</v>
      </c>
      <c r="H127" t="s">
        <v>161</v>
      </c>
      <c r="I127">
        <v>-13788481</v>
      </c>
      <c r="J127">
        <v>4516952</v>
      </c>
      <c r="K127" t="s">
        <v>427</v>
      </c>
      <c r="L127" t="s">
        <v>817</v>
      </c>
      <c r="M127">
        <v>38</v>
      </c>
      <c r="N127">
        <v>5.577</v>
      </c>
      <c r="O127">
        <v>4</v>
      </c>
      <c r="P127">
        <v>9</v>
      </c>
      <c r="Q127">
        <v>6</v>
      </c>
      <c r="R127">
        <v>75</v>
      </c>
      <c r="S127">
        <v>873959</v>
      </c>
      <c r="T127" t="s">
        <v>315</v>
      </c>
      <c r="U127">
        <v>8.1439147775781446</v>
      </c>
      <c r="V127" t="s">
        <v>427</v>
      </c>
      <c r="W127">
        <v>0.27039999999999997</v>
      </c>
      <c r="X127">
        <v>10</v>
      </c>
      <c r="Y127">
        <v>8.9</v>
      </c>
      <c r="Z127">
        <v>8.9</v>
      </c>
      <c r="AA127">
        <v>20</v>
      </c>
      <c r="AB127">
        <v>26</v>
      </c>
      <c r="AC127">
        <v>0.40699999999999997</v>
      </c>
      <c r="AD127">
        <v>67</v>
      </c>
      <c r="AE127">
        <v>6.4685314685314674E-2</v>
      </c>
      <c r="AF127">
        <v>2.86</v>
      </c>
      <c r="AG127" t="s">
        <v>315</v>
      </c>
      <c r="AH127" t="s">
        <v>427</v>
      </c>
      <c r="AI127">
        <v>77</v>
      </c>
      <c r="AJ127">
        <v>2.5666666666666671E-2</v>
      </c>
      <c r="AK127">
        <v>25.666666666666671</v>
      </c>
      <c r="AL127" t="s">
        <v>818</v>
      </c>
      <c r="AM127">
        <v>96772.653871592614</v>
      </c>
      <c r="AN127">
        <v>1.74</v>
      </c>
      <c r="AO127">
        <v>0.09</v>
      </c>
      <c r="AP127">
        <v>0.19</v>
      </c>
      <c r="AQ127">
        <v>1.45</v>
      </c>
      <c r="AR127">
        <v>1.29</v>
      </c>
      <c r="AS127">
        <v>0.13</v>
      </c>
      <c r="AT127">
        <v>0.04</v>
      </c>
      <c r="AU127">
        <v>0.02</v>
      </c>
      <c r="AV127">
        <v>3.01</v>
      </c>
      <c r="AW127">
        <v>2.02</v>
      </c>
      <c r="AX127">
        <v>0.21</v>
      </c>
      <c r="AY127">
        <v>0.53</v>
      </c>
      <c r="AZ127">
        <v>0</v>
      </c>
      <c r="BA127">
        <v>1.37</v>
      </c>
      <c r="BB127">
        <v>0.24</v>
      </c>
      <c r="BC127">
        <v>0.41</v>
      </c>
      <c r="BD127">
        <v>0.27</v>
      </c>
      <c r="BE127">
        <v>15.79</v>
      </c>
      <c r="BF127">
        <v>15.1</v>
      </c>
      <c r="BG127">
        <v>0.24</v>
      </c>
      <c r="BH127">
        <v>0.45</v>
      </c>
      <c r="BI127">
        <v>0</v>
      </c>
      <c r="BJ127">
        <v>0.11</v>
      </c>
      <c r="BK127">
        <v>14.98</v>
      </c>
      <c r="BL127">
        <v>0</v>
      </c>
      <c r="BM127">
        <v>2.41</v>
      </c>
      <c r="BN127">
        <v>0.21</v>
      </c>
      <c r="BO127">
        <v>0.46</v>
      </c>
      <c r="BP127">
        <v>1.74</v>
      </c>
      <c r="BQ127">
        <v>1.27</v>
      </c>
      <c r="BR127">
        <v>0.17</v>
      </c>
      <c r="BS127">
        <v>0.3</v>
      </c>
      <c r="BT127">
        <v>0</v>
      </c>
      <c r="BU127">
        <v>16.239999999999998</v>
      </c>
      <c r="BV127">
        <v>15.18</v>
      </c>
      <c r="BW127">
        <v>0.34</v>
      </c>
      <c r="BX127">
        <v>0.72</v>
      </c>
      <c r="BY127">
        <v>0</v>
      </c>
      <c r="BZ127">
        <v>0.11</v>
      </c>
      <c r="CA127">
        <v>15.07</v>
      </c>
      <c r="CB127">
        <v>0</v>
      </c>
      <c r="CC127">
        <f t="shared" si="2"/>
        <v>2.75</v>
      </c>
      <c r="CD127">
        <v>3.96</v>
      </c>
      <c r="CE127">
        <v>0.34230769230769231</v>
      </c>
      <c r="CF127">
        <v>0.44500000000000001</v>
      </c>
      <c r="CG127">
        <v>0.1492537313432836</v>
      </c>
      <c r="CH127">
        <v>0.1423076923076923</v>
      </c>
      <c r="CI127">
        <v>0</v>
      </c>
      <c r="CJ127">
        <v>23562</v>
      </c>
      <c r="CK127" t="s">
        <v>169</v>
      </c>
      <c r="CL127" t="s">
        <v>697</v>
      </c>
      <c r="CM127" t="s">
        <v>143</v>
      </c>
      <c r="CN127">
        <v>2.4075954477400002E-2</v>
      </c>
      <c r="CO127">
        <v>95.028940745866606</v>
      </c>
      <c r="CP127">
        <v>126</v>
      </c>
      <c r="CQ127" t="s">
        <v>819</v>
      </c>
      <c r="CR127">
        <v>225</v>
      </c>
      <c r="CS127" t="s">
        <v>820</v>
      </c>
      <c r="CT127" t="s">
        <v>718</v>
      </c>
      <c r="CU127" t="s">
        <v>315</v>
      </c>
      <c r="CV127" t="s">
        <v>719</v>
      </c>
      <c r="CW127" t="s">
        <v>720</v>
      </c>
      <c r="CX127" t="s">
        <v>721</v>
      </c>
      <c r="CY127" t="s">
        <v>551</v>
      </c>
      <c r="CZ127" t="s">
        <v>319</v>
      </c>
      <c r="DA127" t="s">
        <v>152</v>
      </c>
      <c r="DB127" t="s">
        <v>178</v>
      </c>
      <c r="DC127" t="s">
        <v>207</v>
      </c>
      <c r="DD127" t="s">
        <v>155</v>
      </c>
      <c r="DE127">
        <v>2069</v>
      </c>
      <c r="DF127">
        <v>-121.36967300000001</v>
      </c>
      <c r="DG127">
        <v>38.049534000000001</v>
      </c>
      <c r="DH127">
        <v>9600</v>
      </c>
      <c r="DI127">
        <v>1000</v>
      </c>
      <c r="DL127">
        <v>14</v>
      </c>
      <c r="DM127">
        <v>15</v>
      </c>
      <c r="DN127">
        <v>30</v>
      </c>
      <c r="DO127">
        <v>5</v>
      </c>
      <c r="DP127">
        <v>10</v>
      </c>
      <c r="DQ127">
        <v>1700</v>
      </c>
      <c r="DS127" t="s">
        <v>322</v>
      </c>
      <c r="DT127">
        <v>1.2500000000000001E-2</v>
      </c>
      <c r="DU127">
        <v>1.2500000000000001E-2</v>
      </c>
      <c r="DV127">
        <v>0.32500000000000001</v>
      </c>
      <c r="DW127">
        <v>0.32500000000000001</v>
      </c>
      <c r="DX127">
        <v>0.32500000000000001</v>
      </c>
      <c r="DY127">
        <v>44.049778024881</v>
      </c>
      <c r="DZ127" s="4">
        <v>5.3979999999999997</v>
      </c>
      <c r="EA127" s="4" t="s">
        <v>432</v>
      </c>
      <c r="EB127" s="4" t="s">
        <v>433</v>
      </c>
      <c r="EC127">
        <v>6.4850000000000003</v>
      </c>
      <c r="ED127">
        <v>340</v>
      </c>
      <c r="EE127" t="s">
        <v>818</v>
      </c>
      <c r="EF127">
        <v>0.86221391857264507</v>
      </c>
      <c r="EH127">
        <f t="shared" si="3"/>
        <v>0.58000000000000007</v>
      </c>
      <c r="EI127">
        <v>3.38</v>
      </c>
      <c r="EJ127">
        <v>3.65</v>
      </c>
    </row>
    <row r="128" spans="1:140" x14ac:dyDescent="0.35">
      <c r="A128" s="1">
        <v>126</v>
      </c>
      <c r="B128">
        <v>-122.0674017026772</v>
      </c>
      <c r="C128">
        <v>37.55642735392783</v>
      </c>
      <c r="D128" t="s">
        <v>821</v>
      </c>
      <c r="E128">
        <v>0.1</v>
      </c>
      <c r="F128" t="s">
        <v>135</v>
      </c>
      <c r="G128">
        <v>7.3200000000000001E-2</v>
      </c>
      <c r="H128" t="s">
        <v>161</v>
      </c>
      <c r="I128">
        <v>-13588481</v>
      </c>
      <c r="J128">
        <v>4516952</v>
      </c>
      <c r="K128" t="s">
        <v>427</v>
      </c>
      <c r="L128" t="s">
        <v>822</v>
      </c>
      <c r="M128">
        <v>1</v>
      </c>
      <c r="N128">
        <v>5.4219999999999997</v>
      </c>
      <c r="O128">
        <v>4</v>
      </c>
      <c r="P128">
        <v>9</v>
      </c>
      <c r="Q128">
        <v>6</v>
      </c>
      <c r="R128">
        <v>1</v>
      </c>
      <c r="S128">
        <v>1682331</v>
      </c>
      <c r="T128" t="s">
        <v>315</v>
      </c>
      <c r="U128">
        <v>8.1439147775781446</v>
      </c>
      <c r="V128" t="s">
        <v>427</v>
      </c>
      <c r="W128">
        <v>0.27039999999999997</v>
      </c>
      <c r="X128">
        <v>10</v>
      </c>
      <c r="Y128">
        <v>8.9</v>
      </c>
      <c r="Z128">
        <v>8.9</v>
      </c>
      <c r="AA128">
        <v>20</v>
      </c>
      <c r="AB128">
        <v>26</v>
      </c>
      <c r="AC128">
        <v>0.40699999999999997</v>
      </c>
      <c r="AD128">
        <v>67</v>
      </c>
      <c r="AE128">
        <v>6.4685314685314674E-2</v>
      </c>
      <c r="AF128">
        <v>2.86</v>
      </c>
      <c r="AG128" t="s">
        <v>315</v>
      </c>
      <c r="AH128" t="s">
        <v>427</v>
      </c>
      <c r="AI128">
        <v>77</v>
      </c>
      <c r="AJ128">
        <v>2.5666666666666671E-2</v>
      </c>
      <c r="AK128">
        <v>25.666666666666671</v>
      </c>
      <c r="AL128" t="s">
        <v>818</v>
      </c>
      <c r="AM128">
        <v>0</v>
      </c>
      <c r="AN128">
        <v>1.74</v>
      </c>
      <c r="AO128">
        <v>0.09</v>
      </c>
      <c r="AP128">
        <v>0.19</v>
      </c>
      <c r="AQ128">
        <v>1.45</v>
      </c>
      <c r="AR128">
        <v>1.29</v>
      </c>
      <c r="AS128">
        <v>0.13</v>
      </c>
      <c r="AT128">
        <v>0.04</v>
      </c>
      <c r="AU128">
        <v>0.02</v>
      </c>
      <c r="AV128">
        <v>3.01</v>
      </c>
      <c r="AW128">
        <v>2.02</v>
      </c>
      <c r="AX128">
        <v>0.21</v>
      </c>
      <c r="AY128">
        <v>0.53</v>
      </c>
      <c r="AZ128">
        <v>0</v>
      </c>
      <c r="BA128">
        <v>1.37</v>
      </c>
      <c r="BB128">
        <v>0.24</v>
      </c>
      <c r="BC128">
        <v>0.41</v>
      </c>
      <c r="BD128">
        <v>0.27</v>
      </c>
      <c r="BE128">
        <v>15.79</v>
      </c>
      <c r="BF128">
        <v>15.1</v>
      </c>
      <c r="BG128">
        <v>0.24</v>
      </c>
      <c r="BH128">
        <v>0.45</v>
      </c>
      <c r="BI128">
        <v>0</v>
      </c>
      <c r="BJ128">
        <v>0.11</v>
      </c>
      <c r="BK128">
        <v>14.98</v>
      </c>
      <c r="BL128">
        <v>0</v>
      </c>
      <c r="BM128">
        <v>2.41</v>
      </c>
      <c r="BN128">
        <v>0.21</v>
      </c>
      <c r="BO128">
        <v>0.46</v>
      </c>
      <c r="BP128">
        <v>1.74</v>
      </c>
      <c r="BQ128">
        <v>1.27</v>
      </c>
      <c r="BR128">
        <v>0.17</v>
      </c>
      <c r="BS128">
        <v>0.3</v>
      </c>
      <c r="BT128">
        <v>0</v>
      </c>
      <c r="BU128">
        <v>16.239999999999998</v>
      </c>
      <c r="BV128">
        <v>15.18</v>
      </c>
      <c r="BW128">
        <v>0.34</v>
      </c>
      <c r="BX128">
        <v>0.72</v>
      </c>
      <c r="BY128">
        <v>0</v>
      </c>
      <c r="BZ128">
        <v>0.11</v>
      </c>
      <c r="CA128">
        <v>15.07</v>
      </c>
      <c r="CB128">
        <v>0</v>
      </c>
      <c r="CC128">
        <f t="shared" si="2"/>
        <v>2.75</v>
      </c>
      <c r="CD128">
        <v>3.96</v>
      </c>
      <c r="CE128">
        <v>0.34230769230769231</v>
      </c>
      <c r="CF128">
        <v>0.44500000000000001</v>
      </c>
      <c r="CG128">
        <v>0.1492537313432836</v>
      </c>
      <c r="CH128">
        <v>0.1423076923076923</v>
      </c>
      <c r="CI128">
        <v>0</v>
      </c>
      <c r="CJ128">
        <v>23438</v>
      </c>
      <c r="CK128" t="s">
        <v>169</v>
      </c>
      <c r="CL128" t="s">
        <v>697</v>
      </c>
      <c r="CM128" t="s">
        <v>143</v>
      </c>
      <c r="CN128">
        <v>0.165985927885</v>
      </c>
      <c r="CO128">
        <v>1.323513767100964</v>
      </c>
      <c r="CP128">
        <v>127</v>
      </c>
      <c r="CQ128" t="s">
        <v>823</v>
      </c>
      <c r="CR128">
        <v>225</v>
      </c>
      <c r="CS128" t="s">
        <v>820</v>
      </c>
      <c r="CT128" t="s">
        <v>718</v>
      </c>
      <c r="CU128" t="s">
        <v>315</v>
      </c>
      <c r="CV128" t="s">
        <v>719</v>
      </c>
      <c r="CW128" t="s">
        <v>720</v>
      </c>
      <c r="CX128" t="s">
        <v>721</v>
      </c>
      <c r="CY128" t="s">
        <v>551</v>
      </c>
      <c r="CZ128" t="s">
        <v>319</v>
      </c>
      <c r="DA128" t="s">
        <v>152</v>
      </c>
      <c r="DB128" t="s">
        <v>178</v>
      </c>
      <c r="DC128" t="s">
        <v>207</v>
      </c>
      <c r="DD128" t="s">
        <v>155</v>
      </c>
      <c r="DE128">
        <v>2069</v>
      </c>
      <c r="DF128">
        <v>-121.36967300000001</v>
      </c>
      <c r="DG128">
        <v>38.049534000000001</v>
      </c>
      <c r="DH128">
        <v>9600</v>
      </c>
      <c r="DI128">
        <v>1000</v>
      </c>
      <c r="DL128">
        <v>14</v>
      </c>
      <c r="DM128">
        <v>15</v>
      </c>
      <c r="DN128">
        <v>30</v>
      </c>
      <c r="DO128">
        <v>5</v>
      </c>
      <c r="DP128">
        <v>10</v>
      </c>
      <c r="DQ128">
        <v>1700</v>
      </c>
      <c r="DS128" t="s">
        <v>322</v>
      </c>
      <c r="DT128">
        <v>1.2500000000000001E-2</v>
      </c>
      <c r="DU128">
        <v>1.2500000000000001E-2</v>
      </c>
      <c r="DV128">
        <v>0.32500000000000001</v>
      </c>
      <c r="DW128">
        <v>0.32500000000000001</v>
      </c>
      <c r="DX128">
        <v>0.32500000000000001</v>
      </c>
      <c r="DY128">
        <v>5.0748682386048296</v>
      </c>
      <c r="DZ128" s="4">
        <v>5.3979999999999997</v>
      </c>
      <c r="EA128" s="4" t="s">
        <v>432</v>
      </c>
      <c r="EB128" s="4" t="s">
        <v>433</v>
      </c>
      <c r="EC128">
        <v>6.4850000000000003</v>
      </c>
      <c r="ED128">
        <v>340</v>
      </c>
      <c r="EE128" t="s">
        <v>818</v>
      </c>
      <c r="EF128">
        <v>0</v>
      </c>
      <c r="EH128">
        <f t="shared" si="3"/>
        <v>0.58000000000000007</v>
      </c>
      <c r="EI128">
        <v>3.38</v>
      </c>
      <c r="EJ128">
        <v>3.65</v>
      </c>
    </row>
    <row r="129" spans="1:140" x14ac:dyDescent="0.35">
      <c r="A129" s="1">
        <v>127</v>
      </c>
      <c r="B129">
        <v>-120.27077113443811</v>
      </c>
      <c r="C129">
        <v>37.55642735392783</v>
      </c>
      <c r="D129" t="s">
        <v>824</v>
      </c>
      <c r="E129">
        <v>0.1</v>
      </c>
      <c r="F129" t="s">
        <v>135</v>
      </c>
      <c r="G129">
        <v>0.16800000000000001</v>
      </c>
      <c r="H129" t="s">
        <v>161</v>
      </c>
      <c r="I129">
        <v>-13388481</v>
      </c>
      <c r="J129">
        <v>4516952</v>
      </c>
      <c r="K129" t="s">
        <v>427</v>
      </c>
      <c r="L129" t="s">
        <v>825</v>
      </c>
      <c r="M129">
        <v>22</v>
      </c>
      <c r="N129">
        <v>5.6740000000000004</v>
      </c>
      <c r="O129">
        <v>4</v>
      </c>
      <c r="P129">
        <v>9</v>
      </c>
      <c r="Q129">
        <v>6</v>
      </c>
      <c r="R129">
        <v>43</v>
      </c>
      <c r="S129">
        <v>17128</v>
      </c>
      <c r="T129" t="s">
        <v>315</v>
      </c>
      <c r="U129">
        <v>8.1439147775781446</v>
      </c>
      <c r="V129" t="s">
        <v>427</v>
      </c>
      <c r="W129">
        <v>0.27039999999999997</v>
      </c>
      <c r="X129">
        <v>10</v>
      </c>
      <c r="Y129">
        <v>8.9</v>
      </c>
      <c r="Z129">
        <v>8.9</v>
      </c>
      <c r="AA129">
        <v>20</v>
      </c>
      <c r="AB129">
        <v>26</v>
      </c>
      <c r="AC129">
        <v>0.40699999999999997</v>
      </c>
      <c r="AD129">
        <v>67</v>
      </c>
      <c r="AE129">
        <v>6.4685314685314674E-2</v>
      </c>
      <c r="AF129">
        <v>2.86</v>
      </c>
      <c r="AG129" t="s">
        <v>315</v>
      </c>
      <c r="AH129" t="s">
        <v>427</v>
      </c>
      <c r="AI129">
        <v>77</v>
      </c>
      <c r="AJ129">
        <v>2.5666666666666671E-2</v>
      </c>
      <c r="AK129">
        <v>25.666666666666671</v>
      </c>
      <c r="AL129" t="s">
        <v>826</v>
      </c>
      <c r="AM129">
        <v>7001.5043006147725</v>
      </c>
      <c r="AN129">
        <v>1.74</v>
      </c>
      <c r="AO129">
        <v>0.09</v>
      </c>
      <c r="AP129">
        <v>0.19</v>
      </c>
      <c r="AQ129">
        <v>1.45</v>
      </c>
      <c r="AR129">
        <v>1.29</v>
      </c>
      <c r="AS129">
        <v>0.13</v>
      </c>
      <c r="AT129">
        <v>0.04</v>
      </c>
      <c r="AU129">
        <v>0.02</v>
      </c>
      <c r="AV129">
        <v>3.01</v>
      </c>
      <c r="AW129">
        <v>2.02</v>
      </c>
      <c r="AX129">
        <v>0.21</v>
      </c>
      <c r="AY129">
        <v>0.53</v>
      </c>
      <c r="AZ129">
        <v>0</v>
      </c>
      <c r="BA129">
        <v>1.37</v>
      </c>
      <c r="BB129">
        <v>0.24</v>
      </c>
      <c r="BC129">
        <v>0.41</v>
      </c>
      <c r="BD129">
        <v>0.27</v>
      </c>
      <c r="BE129">
        <v>15.79</v>
      </c>
      <c r="BF129">
        <v>15.1</v>
      </c>
      <c r="BG129">
        <v>0.24</v>
      </c>
      <c r="BH129">
        <v>0.45</v>
      </c>
      <c r="BI129">
        <v>0</v>
      </c>
      <c r="BJ129">
        <v>0.11</v>
      </c>
      <c r="BK129">
        <v>14.98</v>
      </c>
      <c r="BL129">
        <v>0</v>
      </c>
      <c r="BM129">
        <v>2.41</v>
      </c>
      <c r="BN129">
        <v>0.21</v>
      </c>
      <c r="BO129">
        <v>0.46</v>
      </c>
      <c r="BP129">
        <v>1.74</v>
      </c>
      <c r="BQ129">
        <v>1.27</v>
      </c>
      <c r="BR129">
        <v>0.17</v>
      </c>
      <c r="BS129">
        <v>0.3</v>
      </c>
      <c r="BT129">
        <v>0</v>
      </c>
      <c r="BU129">
        <v>16.239999999999998</v>
      </c>
      <c r="BV129">
        <v>15.18</v>
      </c>
      <c r="BW129">
        <v>0.34</v>
      </c>
      <c r="BX129">
        <v>0.72</v>
      </c>
      <c r="BY129">
        <v>0</v>
      </c>
      <c r="BZ129">
        <v>0.11</v>
      </c>
      <c r="CA129">
        <v>15.07</v>
      </c>
      <c r="CB129">
        <v>0</v>
      </c>
      <c r="CC129">
        <f t="shared" si="2"/>
        <v>2.75</v>
      </c>
      <c r="CD129">
        <v>3.96</v>
      </c>
      <c r="CE129">
        <v>0.34230769230769231</v>
      </c>
      <c r="CF129">
        <v>0.44500000000000001</v>
      </c>
      <c r="CG129">
        <v>0.1492537313432836</v>
      </c>
      <c r="CH129">
        <v>0.1423076923076923</v>
      </c>
      <c r="CI129">
        <v>0</v>
      </c>
      <c r="CJ129">
        <v>23568</v>
      </c>
      <c r="CK129" t="s">
        <v>169</v>
      </c>
      <c r="CL129" t="s">
        <v>697</v>
      </c>
      <c r="CM129" t="s">
        <v>143</v>
      </c>
      <c r="CN129">
        <v>5.13999495719E-2</v>
      </c>
      <c r="CO129">
        <v>22.864569400393691</v>
      </c>
      <c r="CP129">
        <v>128</v>
      </c>
      <c r="CQ129" t="s">
        <v>702</v>
      </c>
      <c r="CR129">
        <v>204</v>
      </c>
      <c r="CS129" t="s">
        <v>546</v>
      </c>
      <c r="CT129" t="s">
        <v>547</v>
      </c>
      <c r="CU129" t="s">
        <v>315</v>
      </c>
      <c r="CV129" t="s">
        <v>548</v>
      </c>
      <c r="CW129" t="s">
        <v>549</v>
      </c>
      <c r="CX129" t="s">
        <v>550</v>
      </c>
      <c r="CY129" t="s">
        <v>551</v>
      </c>
      <c r="CZ129" t="s">
        <v>319</v>
      </c>
      <c r="DA129" t="s">
        <v>152</v>
      </c>
      <c r="DB129" t="s">
        <v>178</v>
      </c>
      <c r="DC129" t="s">
        <v>207</v>
      </c>
      <c r="DD129" t="s">
        <v>180</v>
      </c>
      <c r="DE129">
        <v>2393</v>
      </c>
      <c r="DF129">
        <v>-119.305311</v>
      </c>
      <c r="DG129">
        <v>35.410406000000002</v>
      </c>
      <c r="DH129">
        <v>7200</v>
      </c>
      <c r="DI129">
        <v>200</v>
      </c>
      <c r="DL129">
        <v>15</v>
      </c>
      <c r="DM129">
        <v>10</v>
      </c>
      <c r="DN129">
        <v>40</v>
      </c>
      <c r="DO129">
        <v>50</v>
      </c>
      <c r="DP129">
        <v>0.2</v>
      </c>
      <c r="DQ129">
        <v>10000</v>
      </c>
      <c r="DS129" t="s">
        <v>322</v>
      </c>
      <c r="DT129">
        <v>1.2500000000000001E-2</v>
      </c>
      <c r="DU129">
        <v>1.2500000000000001E-2</v>
      </c>
      <c r="DV129">
        <v>0.32500000000000001</v>
      </c>
      <c r="DW129">
        <v>0.32500000000000001</v>
      </c>
      <c r="DX129">
        <v>0.32500000000000001</v>
      </c>
      <c r="DY129">
        <v>7.5781939227403736</v>
      </c>
      <c r="DZ129" s="4">
        <v>5.3979999999999997</v>
      </c>
      <c r="EA129" s="4" t="s">
        <v>432</v>
      </c>
      <c r="EB129" s="4" t="s">
        <v>433</v>
      </c>
      <c r="EC129">
        <v>6.4850000000000003</v>
      </c>
      <c r="ED129">
        <v>327</v>
      </c>
      <c r="EE129" t="s">
        <v>826</v>
      </c>
      <c r="EF129">
        <v>5.9679429916663633E-2</v>
      </c>
      <c r="EH129">
        <f t="shared" si="3"/>
        <v>0.58000000000000007</v>
      </c>
      <c r="EI129">
        <v>3.38</v>
      </c>
      <c r="EJ129">
        <v>3.65</v>
      </c>
    </row>
    <row r="130" spans="1:140" x14ac:dyDescent="0.35">
      <c r="A130" s="1">
        <v>128</v>
      </c>
      <c r="B130">
        <v>-118.4741405661991</v>
      </c>
      <c r="C130">
        <v>37.55642735392783</v>
      </c>
      <c r="D130" t="s">
        <v>827</v>
      </c>
      <c r="E130">
        <v>0.1</v>
      </c>
      <c r="F130" t="s">
        <v>135</v>
      </c>
      <c r="G130">
        <v>0.16800000000000001</v>
      </c>
      <c r="H130" t="s">
        <v>136</v>
      </c>
      <c r="I130">
        <v>-13188481</v>
      </c>
      <c r="J130">
        <v>4516952</v>
      </c>
      <c r="K130" t="s">
        <v>427</v>
      </c>
      <c r="L130" t="s">
        <v>828</v>
      </c>
      <c r="M130">
        <v>26</v>
      </c>
      <c r="N130">
        <v>6.6660000000000004</v>
      </c>
      <c r="O130">
        <v>4</v>
      </c>
      <c r="P130">
        <v>9</v>
      </c>
      <c r="Q130">
        <v>6</v>
      </c>
      <c r="R130">
        <v>51</v>
      </c>
      <c r="S130">
        <v>13198</v>
      </c>
      <c r="T130" t="s">
        <v>315</v>
      </c>
      <c r="U130">
        <v>8.1439147775781446</v>
      </c>
      <c r="V130" t="s">
        <v>427</v>
      </c>
      <c r="W130">
        <v>0.27039999999999997</v>
      </c>
      <c r="X130">
        <v>10</v>
      </c>
      <c r="Y130">
        <v>8.9</v>
      </c>
      <c r="Z130">
        <v>8.9</v>
      </c>
      <c r="AA130">
        <v>20</v>
      </c>
      <c r="AB130">
        <v>26</v>
      </c>
      <c r="AC130">
        <v>0.40699999999999997</v>
      </c>
      <c r="AD130">
        <v>67</v>
      </c>
      <c r="AE130">
        <v>6.4685314685314674E-2</v>
      </c>
      <c r="AF130">
        <v>2.86</v>
      </c>
      <c r="AG130" t="s">
        <v>315</v>
      </c>
      <c r="AH130" t="s">
        <v>427</v>
      </c>
      <c r="AI130">
        <v>77</v>
      </c>
      <c r="AJ130">
        <v>2.5666666666666671E-2</v>
      </c>
      <c r="AK130">
        <v>25.666666666666671</v>
      </c>
      <c r="AL130" t="s">
        <v>701</v>
      </c>
      <c r="AM130">
        <v>35107.404981535947</v>
      </c>
      <c r="AN130">
        <v>1.74</v>
      </c>
      <c r="AO130">
        <v>0.09</v>
      </c>
      <c r="AP130">
        <v>0.19</v>
      </c>
      <c r="AQ130">
        <v>1.45</v>
      </c>
      <c r="AR130">
        <v>1.29</v>
      </c>
      <c r="AS130">
        <v>0.13</v>
      </c>
      <c r="AT130">
        <v>0.04</v>
      </c>
      <c r="AU130">
        <v>0.02</v>
      </c>
      <c r="AV130">
        <v>3.01</v>
      </c>
      <c r="AW130">
        <v>2.02</v>
      </c>
      <c r="AX130">
        <v>0.21</v>
      </c>
      <c r="AY130">
        <v>0.53</v>
      </c>
      <c r="AZ130">
        <v>0</v>
      </c>
      <c r="BA130">
        <v>1.37</v>
      </c>
      <c r="BB130">
        <v>0.24</v>
      </c>
      <c r="BC130">
        <v>0.41</v>
      </c>
      <c r="BD130">
        <v>0.27</v>
      </c>
      <c r="BE130">
        <v>15.79</v>
      </c>
      <c r="BF130">
        <v>15.1</v>
      </c>
      <c r="BG130">
        <v>0.24</v>
      </c>
      <c r="BH130">
        <v>0.45</v>
      </c>
      <c r="BI130">
        <v>0</v>
      </c>
      <c r="BJ130">
        <v>0.11</v>
      </c>
      <c r="BK130">
        <v>14.98</v>
      </c>
      <c r="BL130">
        <v>0</v>
      </c>
      <c r="BM130">
        <v>2.41</v>
      </c>
      <c r="BN130">
        <v>0.21</v>
      </c>
      <c r="BO130">
        <v>0.46</v>
      </c>
      <c r="BP130">
        <v>1.74</v>
      </c>
      <c r="BQ130">
        <v>1.27</v>
      </c>
      <c r="BR130">
        <v>0.17</v>
      </c>
      <c r="BS130">
        <v>0.3</v>
      </c>
      <c r="BT130">
        <v>0</v>
      </c>
      <c r="BU130">
        <v>16.239999999999998</v>
      </c>
      <c r="BV130">
        <v>15.18</v>
      </c>
      <c r="BW130">
        <v>0.34</v>
      </c>
      <c r="BX130">
        <v>0.72</v>
      </c>
      <c r="BY130">
        <v>0</v>
      </c>
      <c r="BZ130">
        <v>0.11</v>
      </c>
      <c r="CA130">
        <v>15.07</v>
      </c>
      <c r="CB130">
        <v>0</v>
      </c>
      <c r="CC130">
        <f t="shared" si="2"/>
        <v>2.75</v>
      </c>
      <c r="CD130">
        <v>3.96</v>
      </c>
      <c r="CE130">
        <v>0.34230769230769231</v>
      </c>
      <c r="CF130">
        <v>0.44500000000000001</v>
      </c>
      <c r="CG130">
        <v>0.1492537313432836</v>
      </c>
      <c r="CH130">
        <v>0.1423076923076923</v>
      </c>
      <c r="CI130">
        <v>0</v>
      </c>
      <c r="CJ130">
        <v>24011</v>
      </c>
      <c r="CK130" t="s">
        <v>169</v>
      </c>
      <c r="CL130" t="s">
        <v>697</v>
      </c>
      <c r="CM130" t="s">
        <v>143</v>
      </c>
      <c r="CN130">
        <v>0.46450651526100001</v>
      </c>
      <c r="CO130">
        <v>112.1250962839666</v>
      </c>
      <c r="CP130">
        <v>129</v>
      </c>
      <c r="CQ130" t="s">
        <v>706</v>
      </c>
      <c r="CR130">
        <v>204</v>
      </c>
      <c r="CS130" t="s">
        <v>546</v>
      </c>
      <c r="CT130" t="s">
        <v>547</v>
      </c>
      <c r="CU130" t="s">
        <v>315</v>
      </c>
      <c r="CV130" t="s">
        <v>548</v>
      </c>
      <c r="CW130" t="s">
        <v>549</v>
      </c>
      <c r="CX130" t="s">
        <v>550</v>
      </c>
      <c r="CY130" t="s">
        <v>551</v>
      </c>
      <c r="CZ130" t="s">
        <v>319</v>
      </c>
      <c r="DA130" t="s">
        <v>152</v>
      </c>
      <c r="DB130" t="s">
        <v>178</v>
      </c>
      <c r="DC130" t="s">
        <v>207</v>
      </c>
      <c r="DD130" t="s">
        <v>180</v>
      </c>
      <c r="DE130">
        <v>2393</v>
      </c>
      <c r="DF130">
        <v>-119.305311</v>
      </c>
      <c r="DG130">
        <v>35.410406000000002</v>
      </c>
      <c r="DH130">
        <v>7200</v>
      </c>
      <c r="DI130">
        <v>200</v>
      </c>
      <c r="DL130">
        <v>15</v>
      </c>
      <c r="DM130">
        <v>10</v>
      </c>
      <c r="DN130">
        <v>40</v>
      </c>
      <c r="DO130">
        <v>50</v>
      </c>
      <c r="DP130">
        <v>0.2</v>
      </c>
      <c r="DQ130">
        <v>10000</v>
      </c>
      <c r="DS130" t="s">
        <v>322</v>
      </c>
      <c r="DT130">
        <v>1.2500000000000001E-2</v>
      </c>
      <c r="DU130">
        <v>1.2500000000000001E-2</v>
      </c>
      <c r="DV130">
        <v>0.32500000000000001</v>
      </c>
      <c r="DW130">
        <v>0.32500000000000001</v>
      </c>
      <c r="DX130">
        <v>0.32500000000000001</v>
      </c>
      <c r="DY130">
        <v>5.8201842195265518</v>
      </c>
      <c r="DZ130" s="4">
        <v>5.3979999999999997</v>
      </c>
      <c r="EA130" s="4" t="s">
        <v>432</v>
      </c>
      <c r="EB130" s="4" t="s">
        <v>433</v>
      </c>
      <c r="EC130">
        <v>6.4850000000000003</v>
      </c>
      <c r="ED130">
        <v>261</v>
      </c>
      <c r="EE130" t="s">
        <v>701</v>
      </c>
      <c r="EF130">
        <v>0.30591460080812521</v>
      </c>
      <c r="EH130">
        <f t="shared" si="3"/>
        <v>0.58000000000000007</v>
      </c>
      <c r="EI130">
        <v>3.38</v>
      </c>
      <c r="EJ130">
        <v>3.65</v>
      </c>
    </row>
    <row r="131" spans="1:140" x14ac:dyDescent="0.35">
      <c r="A131" s="1">
        <v>129</v>
      </c>
      <c r="B131">
        <v>-116.6775099979601</v>
      </c>
      <c r="C131">
        <v>37.55642735392783</v>
      </c>
      <c r="D131" t="s">
        <v>829</v>
      </c>
      <c r="E131">
        <v>0.1</v>
      </c>
      <c r="F131" t="s">
        <v>135</v>
      </c>
      <c r="G131">
        <v>0.16800000000000001</v>
      </c>
      <c r="H131" t="s">
        <v>136</v>
      </c>
      <c r="I131">
        <v>-12988481</v>
      </c>
      <c r="J131">
        <v>4516952</v>
      </c>
      <c r="K131" t="s">
        <v>712</v>
      </c>
      <c r="L131" t="s">
        <v>830</v>
      </c>
      <c r="M131">
        <v>13</v>
      </c>
      <c r="N131">
        <v>4.1580000000000004</v>
      </c>
      <c r="O131">
        <v>4</v>
      </c>
      <c r="P131">
        <v>8</v>
      </c>
      <c r="Q131">
        <v>32</v>
      </c>
      <c r="R131">
        <v>23</v>
      </c>
      <c r="S131">
        <v>51590</v>
      </c>
      <c r="T131" t="s">
        <v>714</v>
      </c>
      <c r="U131">
        <v>8.0104643432458005</v>
      </c>
      <c r="V131" t="s">
        <v>712</v>
      </c>
      <c r="W131">
        <v>0.1147</v>
      </c>
      <c r="X131">
        <v>10</v>
      </c>
      <c r="Y131">
        <v>8.9</v>
      </c>
      <c r="Z131">
        <v>8.9</v>
      </c>
      <c r="AA131">
        <v>20</v>
      </c>
      <c r="AB131">
        <v>26</v>
      </c>
      <c r="AC131">
        <v>0.63100000000000001</v>
      </c>
      <c r="AD131">
        <v>67</v>
      </c>
      <c r="AE131">
        <v>0.1002860775588048</v>
      </c>
      <c r="AF131">
        <v>2.86</v>
      </c>
      <c r="AG131" t="s">
        <v>714</v>
      </c>
      <c r="AH131" t="s">
        <v>712</v>
      </c>
      <c r="AI131">
        <v>26</v>
      </c>
      <c r="AJ131">
        <v>8.6666666666666663E-3</v>
      </c>
      <c r="AK131">
        <v>8.6666666666666661</v>
      </c>
      <c r="AL131" t="s">
        <v>831</v>
      </c>
      <c r="AM131">
        <v>0</v>
      </c>
      <c r="AN131">
        <v>1.61</v>
      </c>
      <c r="AO131">
        <v>0.09</v>
      </c>
      <c r="AP131">
        <v>0.19</v>
      </c>
      <c r="AQ131">
        <v>1.32</v>
      </c>
      <c r="AR131">
        <v>1.27</v>
      </c>
      <c r="AS131">
        <v>0.04</v>
      </c>
      <c r="AT131">
        <v>0.01</v>
      </c>
      <c r="AU131">
        <v>0.02</v>
      </c>
      <c r="AV131">
        <v>2.59</v>
      </c>
      <c r="AW131">
        <v>1.59</v>
      </c>
      <c r="AX131">
        <v>0.21</v>
      </c>
      <c r="AY131">
        <v>0.53</v>
      </c>
      <c r="AZ131">
        <v>0</v>
      </c>
      <c r="BA131">
        <v>1.35</v>
      </c>
      <c r="BB131">
        <v>0.08</v>
      </c>
      <c r="BC131">
        <v>0.17</v>
      </c>
      <c r="BD131">
        <v>0.27</v>
      </c>
      <c r="BE131">
        <v>6.83</v>
      </c>
      <c r="BF131">
        <v>6.14</v>
      </c>
      <c r="BG131">
        <v>0.24</v>
      </c>
      <c r="BH131">
        <v>0.45</v>
      </c>
      <c r="BI131">
        <v>0</v>
      </c>
      <c r="BJ131">
        <v>0.04</v>
      </c>
      <c r="BK131">
        <v>6.1</v>
      </c>
      <c r="BL131">
        <v>0</v>
      </c>
      <c r="BM131">
        <v>2.1</v>
      </c>
      <c r="BN131">
        <v>0.21</v>
      </c>
      <c r="BO131">
        <v>0.46</v>
      </c>
      <c r="BP131">
        <v>1.43</v>
      </c>
      <c r="BQ131">
        <v>1.25</v>
      </c>
      <c r="BR131">
        <v>0.06</v>
      </c>
      <c r="BS131">
        <v>0.12</v>
      </c>
      <c r="BT131">
        <v>0</v>
      </c>
      <c r="BU131">
        <v>7.24</v>
      </c>
      <c r="BV131">
        <v>6.18</v>
      </c>
      <c r="BW131">
        <v>0.34</v>
      </c>
      <c r="BX131">
        <v>0.72</v>
      </c>
      <c r="BY131">
        <v>0</v>
      </c>
      <c r="BZ131">
        <v>0.04</v>
      </c>
      <c r="CA131">
        <v>6.14</v>
      </c>
      <c r="CB131">
        <v>0</v>
      </c>
      <c r="CC131">
        <f t="shared" ref="CC131:CC194" si="4">6.71-CD131</f>
        <v>2.75</v>
      </c>
      <c r="CD131">
        <v>3.96</v>
      </c>
      <c r="CE131">
        <v>0.34230769230769231</v>
      </c>
      <c r="CF131">
        <v>0.44500000000000001</v>
      </c>
      <c r="CG131">
        <v>0.1492537313432836</v>
      </c>
      <c r="CH131">
        <v>0.2206293706293706</v>
      </c>
      <c r="CI131">
        <v>0</v>
      </c>
      <c r="CJ131">
        <v>12192</v>
      </c>
      <c r="CK131" t="s">
        <v>141</v>
      </c>
      <c r="CL131" t="s">
        <v>709</v>
      </c>
      <c r="CM131" t="s">
        <v>143</v>
      </c>
      <c r="CN131">
        <v>0.531947584907</v>
      </c>
      <c r="CO131">
        <v>146.2045219958967</v>
      </c>
      <c r="CP131">
        <v>130</v>
      </c>
      <c r="CQ131" t="s">
        <v>710</v>
      </c>
      <c r="CR131">
        <v>204</v>
      </c>
      <c r="CS131" t="s">
        <v>546</v>
      </c>
      <c r="CT131" t="s">
        <v>547</v>
      </c>
      <c r="CU131" t="s">
        <v>315</v>
      </c>
      <c r="CV131" t="s">
        <v>548</v>
      </c>
      <c r="CW131" t="s">
        <v>549</v>
      </c>
      <c r="CX131" t="s">
        <v>550</v>
      </c>
      <c r="CY131" t="s">
        <v>551</v>
      </c>
      <c r="CZ131" t="s">
        <v>319</v>
      </c>
      <c r="DA131" t="s">
        <v>152</v>
      </c>
      <c r="DB131" t="s">
        <v>178</v>
      </c>
      <c r="DC131" t="s">
        <v>207</v>
      </c>
      <c r="DD131" t="s">
        <v>180</v>
      </c>
      <c r="DE131">
        <v>2393</v>
      </c>
      <c r="DF131">
        <v>-119.305311</v>
      </c>
      <c r="DG131">
        <v>35.410406000000002</v>
      </c>
      <c r="DH131">
        <v>7200</v>
      </c>
      <c r="DI131">
        <v>200</v>
      </c>
      <c r="DL131">
        <v>15</v>
      </c>
      <c r="DM131">
        <v>10</v>
      </c>
      <c r="DN131">
        <v>40</v>
      </c>
      <c r="DO131">
        <v>50</v>
      </c>
      <c r="DP131">
        <v>0.2</v>
      </c>
      <c r="DQ131">
        <v>10000</v>
      </c>
      <c r="DS131" t="s">
        <v>322</v>
      </c>
      <c r="DT131">
        <v>1.2500000000000001E-2</v>
      </c>
      <c r="DU131">
        <v>1.2500000000000001E-2</v>
      </c>
      <c r="DV131">
        <v>0.32500000000000001</v>
      </c>
      <c r="DW131">
        <v>0.32500000000000001</v>
      </c>
      <c r="DX131">
        <v>0.32500000000000001</v>
      </c>
      <c r="DY131">
        <v>62.355938580479297</v>
      </c>
      <c r="DZ131" s="4">
        <v>4.5750000000000002</v>
      </c>
      <c r="EA131" s="4" t="s">
        <v>722</v>
      </c>
      <c r="EB131" s="4" t="s">
        <v>723</v>
      </c>
      <c r="EC131">
        <v>5.3360000000000003</v>
      </c>
      <c r="ED131">
        <v>708</v>
      </c>
      <c r="EE131" t="s">
        <v>831</v>
      </c>
      <c r="EF131">
        <v>0</v>
      </c>
      <c r="EH131">
        <f t="shared" ref="EH131:EH194" si="5">0.39+0.19</f>
        <v>0.58000000000000007</v>
      </c>
      <c r="EI131">
        <v>3.38</v>
      </c>
      <c r="EJ131">
        <v>3.65</v>
      </c>
    </row>
    <row r="132" spans="1:140" x14ac:dyDescent="0.35">
      <c r="A132" s="1">
        <v>130</v>
      </c>
      <c r="B132">
        <v>-114.88087942972101</v>
      </c>
      <c r="C132">
        <v>37.55642735392783</v>
      </c>
      <c r="D132" t="s">
        <v>832</v>
      </c>
      <c r="E132">
        <v>0.1</v>
      </c>
      <c r="F132" t="s">
        <v>135</v>
      </c>
      <c r="G132">
        <v>0.16109999999999999</v>
      </c>
      <c r="H132" t="s">
        <v>161</v>
      </c>
      <c r="I132">
        <v>-12788481</v>
      </c>
      <c r="J132">
        <v>4516952</v>
      </c>
      <c r="K132" t="s">
        <v>712</v>
      </c>
      <c r="L132" t="s">
        <v>833</v>
      </c>
      <c r="M132">
        <v>10</v>
      </c>
      <c r="N132">
        <v>4.4489999999999998</v>
      </c>
      <c r="O132">
        <v>4</v>
      </c>
      <c r="P132">
        <v>8</v>
      </c>
      <c r="Q132">
        <v>32</v>
      </c>
      <c r="R132">
        <v>17</v>
      </c>
      <c r="S132">
        <v>4505</v>
      </c>
      <c r="T132" t="s">
        <v>714</v>
      </c>
      <c r="U132">
        <v>8.0104643432458005</v>
      </c>
      <c r="V132" t="s">
        <v>712</v>
      </c>
      <c r="W132">
        <v>0.1147</v>
      </c>
      <c r="X132">
        <v>10</v>
      </c>
      <c r="Y132">
        <v>8.9</v>
      </c>
      <c r="Z132">
        <v>8.9</v>
      </c>
      <c r="AA132">
        <v>20</v>
      </c>
      <c r="AB132">
        <v>26</v>
      </c>
      <c r="AC132">
        <v>0.63100000000000001</v>
      </c>
      <c r="AD132">
        <v>67</v>
      </c>
      <c r="AE132">
        <v>0.1002860775588048</v>
      </c>
      <c r="AF132">
        <v>2.86</v>
      </c>
      <c r="AG132" t="s">
        <v>714</v>
      </c>
      <c r="AH132" t="s">
        <v>712</v>
      </c>
      <c r="AI132">
        <v>26</v>
      </c>
      <c r="AJ132">
        <v>8.6666666666666663E-3</v>
      </c>
      <c r="AK132">
        <v>8.6666666666666661</v>
      </c>
      <c r="AL132" t="s">
        <v>831</v>
      </c>
      <c r="AM132">
        <v>70915.36408308697</v>
      </c>
      <c r="AN132">
        <v>1.61</v>
      </c>
      <c r="AO132">
        <v>0.09</v>
      </c>
      <c r="AP132">
        <v>0.19</v>
      </c>
      <c r="AQ132">
        <v>1.32</v>
      </c>
      <c r="AR132">
        <v>1.27</v>
      </c>
      <c r="AS132">
        <v>0.04</v>
      </c>
      <c r="AT132">
        <v>0.01</v>
      </c>
      <c r="AU132">
        <v>0.02</v>
      </c>
      <c r="AV132">
        <v>2.59</v>
      </c>
      <c r="AW132">
        <v>1.59</v>
      </c>
      <c r="AX132">
        <v>0.21</v>
      </c>
      <c r="AY132">
        <v>0.53</v>
      </c>
      <c r="AZ132">
        <v>0</v>
      </c>
      <c r="BA132">
        <v>1.35</v>
      </c>
      <c r="BB132">
        <v>0.08</v>
      </c>
      <c r="BC132">
        <v>0.17</v>
      </c>
      <c r="BD132">
        <v>0.27</v>
      </c>
      <c r="BE132">
        <v>6.83</v>
      </c>
      <c r="BF132">
        <v>6.14</v>
      </c>
      <c r="BG132">
        <v>0.24</v>
      </c>
      <c r="BH132">
        <v>0.45</v>
      </c>
      <c r="BI132">
        <v>0</v>
      </c>
      <c r="BJ132">
        <v>0.04</v>
      </c>
      <c r="BK132">
        <v>6.1</v>
      </c>
      <c r="BL132">
        <v>0</v>
      </c>
      <c r="BM132">
        <v>2.1</v>
      </c>
      <c r="BN132">
        <v>0.21</v>
      </c>
      <c r="BO132">
        <v>0.46</v>
      </c>
      <c r="BP132">
        <v>1.43</v>
      </c>
      <c r="BQ132">
        <v>1.25</v>
      </c>
      <c r="BR132">
        <v>0.06</v>
      </c>
      <c r="BS132">
        <v>0.12</v>
      </c>
      <c r="BT132">
        <v>0</v>
      </c>
      <c r="BU132">
        <v>7.24</v>
      </c>
      <c r="BV132">
        <v>6.18</v>
      </c>
      <c r="BW132">
        <v>0.34</v>
      </c>
      <c r="BX132">
        <v>0.72</v>
      </c>
      <c r="BY132">
        <v>0</v>
      </c>
      <c r="BZ132">
        <v>0.04</v>
      </c>
      <c r="CA132">
        <v>6.14</v>
      </c>
      <c r="CB132">
        <v>0</v>
      </c>
      <c r="CC132">
        <f t="shared" si="4"/>
        <v>2.75</v>
      </c>
      <c r="CD132">
        <v>3.96</v>
      </c>
      <c r="CE132">
        <v>0.34230769230769231</v>
      </c>
      <c r="CF132">
        <v>0.44500000000000001</v>
      </c>
      <c r="CG132">
        <v>0.1492537313432836</v>
      </c>
      <c r="CH132">
        <v>0.2206293706293706</v>
      </c>
      <c r="CI132">
        <v>0</v>
      </c>
      <c r="CJ132">
        <v>10099</v>
      </c>
      <c r="CK132" t="s">
        <v>141</v>
      </c>
      <c r="CL132" t="s">
        <v>709</v>
      </c>
      <c r="CM132" t="s">
        <v>143</v>
      </c>
      <c r="CN132">
        <v>0.56986567939300004</v>
      </c>
      <c r="CO132">
        <v>71.054926084073642</v>
      </c>
      <c r="CP132">
        <v>131</v>
      </c>
      <c r="CQ132" t="s">
        <v>307</v>
      </c>
      <c r="CR132">
        <v>91</v>
      </c>
      <c r="CS132" t="s">
        <v>452</v>
      </c>
      <c r="CT132" t="s">
        <v>453</v>
      </c>
      <c r="CU132" t="s">
        <v>454</v>
      </c>
      <c r="CV132" t="s">
        <v>455</v>
      </c>
      <c r="CW132" t="s">
        <v>456</v>
      </c>
      <c r="CX132" t="s">
        <v>457</v>
      </c>
      <c r="CY132" t="s">
        <v>458</v>
      </c>
      <c r="CZ132" t="s">
        <v>206</v>
      </c>
      <c r="DA132" t="s">
        <v>152</v>
      </c>
      <c r="DB132" t="s">
        <v>153</v>
      </c>
      <c r="DC132" t="s">
        <v>459</v>
      </c>
      <c r="DD132" t="s">
        <v>208</v>
      </c>
      <c r="DE132">
        <v>1466</v>
      </c>
      <c r="DF132">
        <v>-108.330134</v>
      </c>
      <c r="DG132">
        <v>37.163961999999998</v>
      </c>
      <c r="DH132">
        <v>8275</v>
      </c>
      <c r="DI132">
        <v>1000</v>
      </c>
      <c r="DJ132">
        <v>3475</v>
      </c>
      <c r="DK132">
        <v>178</v>
      </c>
      <c r="DL132">
        <v>7.5</v>
      </c>
      <c r="DO132">
        <v>9</v>
      </c>
      <c r="DR132">
        <v>112500</v>
      </c>
      <c r="DS132">
        <v>42</v>
      </c>
      <c r="DT132">
        <v>1.2500000000000001E-2</v>
      </c>
      <c r="DU132">
        <v>1.2500000000000001E-2</v>
      </c>
      <c r="DV132">
        <v>0.32500000000000001</v>
      </c>
      <c r="DW132">
        <v>0.32500000000000001</v>
      </c>
      <c r="DX132">
        <v>0.32500000000000001</v>
      </c>
      <c r="DY132">
        <v>89.42875925040947</v>
      </c>
      <c r="DZ132" s="4">
        <v>4.5750000000000002</v>
      </c>
      <c r="EA132" s="4" t="s">
        <v>722</v>
      </c>
      <c r="EB132" s="4" t="s">
        <v>723</v>
      </c>
      <c r="EC132">
        <v>5.3360000000000003</v>
      </c>
      <c r="ED132">
        <v>708</v>
      </c>
      <c r="EE132" t="s">
        <v>831</v>
      </c>
      <c r="EF132">
        <v>0.5086784612801466</v>
      </c>
      <c r="EH132">
        <f t="shared" si="5"/>
        <v>0.58000000000000007</v>
      </c>
      <c r="EI132">
        <v>3.38</v>
      </c>
      <c r="EJ132">
        <v>3.65</v>
      </c>
    </row>
    <row r="133" spans="1:140" x14ac:dyDescent="0.35">
      <c r="A133" s="1">
        <v>131</v>
      </c>
      <c r="B133">
        <v>-113.084248861482</v>
      </c>
      <c r="C133">
        <v>37.55642735392783</v>
      </c>
      <c r="D133" t="s">
        <v>834</v>
      </c>
      <c r="E133">
        <v>0.1</v>
      </c>
      <c r="F133" t="s">
        <v>135</v>
      </c>
      <c r="G133">
        <v>0.16109999999999999</v>
      </c>
      <c r="H133" t="s">
        <v>161</v>
      </c>
      <c r="I133">
        <v>-12588481</v>
      </c>
      <c r="J133">
        <v>4516952</v>
      </c>
      <c r="K133" t="s">
        <v>835</v>
      </c>
      <c r="L133" t="s">
        <v>836</v>
      </c>
      <c r="M133">
        <v>11</v>
      </c>
      <c r="N133">
        <v>4.0640000000000001</v>
      </c>
      <c r="O133">
        <v>4</v>
      </c>
      <c r="P133">
        <v>8</v>
      </c>
      <c r="Q133">
        <v>49</v>
      </c>
      <c r="R133">
        <v>21</v>
      </c>
      <c r="S133">
        <v>57285</v>
      </c>
      <c r="T133" t="s">
        <v>837</v>
      </c>
      <c r="U133">
        <v>5.801348811217232</v>
      </c>
      <c r="V133" t="s">
        <v>835</v>
      </c>
      <c r="W133">
        <v>9.9700000000000011E-2</v>
      </c>
      <c r="X133">
        <v>10</v>
      </c>
      <c r="Y133">
        <v>8.9</v>
      </c>
      <c r="Z133">
        <v>8.9</v>
      </c>
      <c r="AA133">
        <v>20</v>
      </c>
      <c r="AB133">
        <v>26</v>
      </c>
      <c r="AC133">
        <v>1.3220000000000001</v>
      </c>
      <c r="AD133">
        <v>67</v>
      </c>
      <c r="AE133">
        <v>0.21010807374443741</v>
      </c>
      <c r="AF133">
        <v>2.86</v>
      </c>
      <c r="AG133" t="s">
        <v>837</v>
      </c>
      <c r="AH133" t="s">
        <v>835</v>
      </c>
      <c r="AI133">
        <v>38</v>
      </c>
      <c r="AJ133">
        <v>1.266666666666667E-2</v>
      </c>
      <c r="AK133">
        <v>12.66666666666667</v>
      </c>
      <c r="AL133" t="s">
        <v>838</v>
      </c>
      <c r="AM133">
        <v>0</v>
      </c>
      <c r="AN133">
        <v>1.26</v>
      </c>
      <c r="AO133">
        <v>0.09</v>
      </c>
      <c r="AP133">
        <v>0.19</v>
      </c>
      <c r="AQ133">
        <v>0.97</v>
      </c>
      <c r="AR133">
        <v>0.92</v>
      </c>
      <c r="AS133">
        <v>0.04</v>
      </c>
      <c r="AT133">
        <v>0.01</v>
      </c>
      <c r="AU133">
        <v>0.02</v>
      </c>
      <c r="AV133">
        <v>2.2000000000000002</v>
      </c>
      <c r="AW133">
        <v>1.21</v>
      </c>
      <c r="AX133">
        <v>0.21</v>
      </c>
      <c r="AY133">
        <v>0.53</v>
      </c>
      <c r="AZ133">
        <v>0</v>
      </c>
      <c r="BA133">
        <v>0.97</v>
      </c>
      <c r="BB133">
        <v>0.08</v>
      </c>
      <c r="BC133">
        <v>0.15</v>
      </c>
      <c r="BD133">
        <v>0.27</v>
      </c>
      <c r="BE133">
        <v>6.28</v>
      </c>
      <c r="BF133">
        <v>5.59</v>
      </c>
      <c r="BG133">
        <v>0.24</v>
      </c>
      <c r="BH133">
        <v>0.45</v>
      </c>
      <c r="BI133">
        <v>0</v>
      </c>
      <c r="BJ133">
        <v>0.04</v>
      </c>
      <c r="BK133">
        <v>5.55</v>
      </c>
      <c r="BL133">
        <v>0</v>
      </c>
      <c r="BM133">
        <v>1.74</v>
      </c>
      <c r="BN133">
        <v>0.21</v>
      </c>
      <c r="BO133">
        <v>0.46</v>
      </c>
      <c r="BP133">
        <v>1.07</v>
      </c>
      <c r="BQ133">
        <v>0.9</v>
      </c>
      <c r="BR133">
        <v>0.06</v>
      </c>
      <c r="BS133">
        <v>0.11</v>
      </c>
      <c r="BT133">
        <v>0</v>
      </c>
      <c r="BU133">
        <v>6.68</v>
      </c>
      <c r="BV133">
        <v>5.62</v>
      </c>
      <c r="BW133">
        <v>0.34</v>
      </c>
      <c r="BX133">
        <v>0.72</v>
      </c>
      <c r="BY133">
        <v>0</v>
      </c>
      <c r="BZ133">
        <v>0.04</v>
      </c>
      <c r="CA133">
        <v>5.58</v>
      </c>
      <c r="CB133">
        <v>0</v>
      </c>
      <c r="CC133">
        <f t="shared" si="4"/>
        <v>2.75</v>
      </c>
      <c r="CD133">
        <v>3.96</v>
      </c>
      <c r="CE133">
        <v>0.34230769230769231</v>
      </c>
      <c r="CF133">
        <v>0.44500000000000001</v>
      </c>
      <c r="CG133">
        <v>0.1492537313432836</v>
      </c>
      <c r="CH133">
        <v>0.46223776223776231</v>
      </c>
      <c r="CI133">
        <v>0</v>
      </c>
      <c r="CJ133">
        <v>12207</v>
      </c>
      <c r="CK133" t="s">
        <v>141</v>
      </c>
      <c r="CL133" t="s">
        <v>709</v>
      </c>
      <c r="CM133" t="s">
        <v>143</v>
      </c>
      <c r="CN133">
        <v>1.8238005977</v>
      </c>
      <c r="CO133">
        <v>34.715489048203082</v>
      </c>
      <c r="CP133">
        <v>132</v>
      </c>
      <c r="CQ133" t="s">
        <v>307</v>
      </c>
      <c r="CR133">
        <v>91</v>
      </c>
      <c r="CS133" t="s">
        <v>452</v>
      </c>
      <c r="CT133" t="s">
        <v>453</v>
      </c>
      <c r="CU133" t="s">
        <v>454</v>
      </c>
      <c r="CV133" t="s">
        <v>455</v>
      </c>
      <c r="CW133" t="s">
        <v>456</v>
      </c>
      <c r="CX133" t="s">
        <v>457</v>
      </c>
      <c r="CY133" t="s">
        <v>458</v>
      </c>
      <c r="CZ133" t="s">
        <v>206</v>
      </c>
      <c r="DA133" t="s">
        <v>152</v>
      </c>
      <c r="DB133" t="s">
        <v>153</v>
      </c>
      <c r="DC133" t="s">
        <v>459</v>
      </c>
      <c r="DD133" t="s">
        <v>208</v>
      </c>
      <c r="DE133">
        <v>1466</v>
      </c>
      <c r="DF133">
        <v>-108.330134</v>
      </c>
      <c r="DG133">
        <v>37.163961999999998</v>
      </c>
      <c r="DH133">
        <v>8275</v>
      </c>
      <c r="DI133">
        <v>1000</v>
      </c>
      <c r="DJ133">
        <v>3475</v>
      </c>
      <c r="DK133">
        <v>178</v>
      </c>
      <c r="DL133">
        <v>7.5</v>
      </c>
      <c r="DO133">
        <v>9</v>
      </c>
      <c r="DR133">
        <v>112500</v>
      </c>
      <c r="DS133">
        <v>42</v>
      </c>
      <c r="DT133">
        <v>1.2500000000000001E-2</v>
      </c>
      <c r="DU133">
        <v>1.2500000000000001E-2</v>
      </c>
      <c r="DV133">
        <v>0.32500000000000001</v>
      </c>
      <c r="DW133">
        <v>0.32500000000000001</v>
      </c>
      <c r="DX133">
        <v>0.32500000000000001</v>
      </c>
      <c r="DY133">
        <v>48.665441637718942</v>
      </c>
      <c r="DZ133" s="4">
        <v>3.9889999999999999</v>
      </c>
      <c r="EA133" s="4" t="s">
        <v>839</v>
      </c>
      <c r="EB133" s="4" t="s">
        <v>840</v>
      </c>
      <c r="EC133">
        <v>4.7309999999999999</v>
      </c>
      <c r="ED133">
        <v>527</v>
      </c>
      <c r="EE133" t="s">
        <v>838</v>
      </c>
      <c r="EF133">
        <v>0</v>
      </c>
      <c r="EH133">
        <f t="shared" si="5"/>
        <v>0.58000000000000007</v>
      </c>
      <c r="EI133">
        <v>3.38</v>
      </c>
      <c r="EJ133">
        <v>3.65</v>
      </c>
    </row>
    <row r="134" spans="1:140" x14ac:dyDescent="0.35">
      <c r="A134" s="1">
        <v>132</v>
      </c>
      <c r="B134">
        <v>-111.2876182932429</v>
      </c>
      <c r="C134">
        <v>37.55642735392783</v>
      </c>
      <c r="D134" t="s">
        <v>841</v>
      </c>
      <c r="E134">
        <v>0.1</v>
      </c>
      <c r="F134" t="s">
        <v>135</v>
      </c>
      <c r="G134">
        <v>0.16109999999999999</v>
      </c>
      <c r="H134" t="s">
        <v>161</v>
      </c>
      <c r="I134">
        <v>-12388481</v>
      </c>
      <c r="J134">
        <v>4516952</v>
      </c>
      <c r="K134" t="s">
        <v>835</v>
      </c>
      <c r="L134" t="s">
        <v>842</v>
      </c>
      <c r="M134">
        <v>9</v>
      </c>
      <c r="N134">
        <v>4.1139999999999999</v>
      </c>
      <c r="O134">
        <v>4</v>
      </c>
      <c r="P134">
        <v>8</v>
      </c>
      <c r="Q134">
        <v>49</v>
      </c>
      <c r="R134">
        <v>17</v>
      </c>
      <c r="S134">
        <v>5092</v>
      </c>
      <c r="T134" t="s">
        <v>837</v>
      </c>
      <c r="U134">
        <v>5.801348811217232</v>
      </c>
      <c r="V134" t="s">
        <v>835</v>
      </c>
      <c r="W134">
        <v>9.9700000000000011E-2</v>
      </c>
      <c r="X134">
        <v>10</v>
      </c>
      <c r="Y134">
        <v>8.9</v>
      </c>
      <c r="Z134">
        <v>8.9</v>
      </c>
      <c r="AA134">
        <v>20</v>
      </c>
      <c r="AB134">
        <v>26</v>
      </c>
      <c r="AC134">
        <v>1.3220000000000001</v>
      </c>
      <c r="AD134">
        <v>67</v>
      </c>
      <c r="AE134">
        <v>0.21010807374443741</v>
      </c>
      <c r="AF134">
        <v>2.86</v>
      </c>
      <c r="AG134" t="s">
        <v>837</v>
      </c>
      <c r="AH134" t="s">
        <v>835</v>
      </c>
      <c r="AI134">
        <v>38</v>
      </c>
      <c r="AJ134">
        <v>1.266666666666667E-2</v>
      </c>
      <c r="AK134">
        <v>12.66666666666667</v>
      </c>
      <c r="AL134" t="s">
        <v>568</v>
      </c>
      <c r="AM134">
        <v>77765.835582190863</v>
      </c>
      <c r="AN134">
        <v>1.26</v>
      </c>
      <c r="AO134">
        <v>0.09</v>
      </c>
      <c r="AP134">
        <v>0.19</v>
      </c>
      <c r="AQ134">
        <v>0.97</v>
      </c>
      <c r="AR134">
        <v>0.92</v>
      </c>
      <c r="AS134">
        <v>0.04</v>
      </c>
      <c r="AT134">
        <v>0.01</v>
      </c>
      <c r="AU134">
        <v>0.02</v>
      </c>
      <c r="AV134">
        <v>2.2000000000000002</v>
      </c>
      <c r="AW134">
        <v>1.21</v>
      </c>
      <c r="AX134">
        <v>0.21</v>
      </c>
      <c r="AY134">
        <v>0.53</v>
      </c>
      <c r="AZ134">
        <v>0</v>
      </c>
      <c r="BA134">
        <v>0.97</v>
      </c>
      <c r="BB134">
        <v>0.08</v>
      </c>
      <c r="BC134">
        <v>0.15</v>
      </c>
      <c r="BD134">
        <v>0.27</v>
      </c>
      <c r="BE134">
        <v>6.28</v>
      </c>
      <c r="BF134">
        <v>5.59</v>
      </c>
      <c r="BG134">
        <v>0.24</v>
      </c>
      <c r="BH134">
        <v>0.45</v>
      </c>
      <c r="BI134">
        <v>0</v>
      </c>
      <c r="BJ134">
        <v>0.04</v>
      </c>
      <c r="BK134">
        <v>5.55</v>
      </c>
      <c r="BL134">
        <v>0</v>
      </c>
      <c r="BM134">
        <v>1.74</v>
      </c>
      <c r="BN134">
        <v>0.21</v>
      </c>
      <c r="BO134">
        <v>0.46</v>
      </c>
      <c r="BP134">
        <v>1.07</v>
      </c>
      <c r="BQ134">
        <v>0.9</v>
      </c>
      <c r="BR134">
        <v>0.06</v>
      </c>
      <c r="BS134">
        <v>0.11</v>
      </c>
      <c r="BT134">
        <v>0</v>
      </c>
      <c r="BU134">
        <v>6.68</v>
      </c>
      <c r="BV134">
        <v>5.62</v>
      </c>
      <c r="BW134">
        <v>0.34</v>
      </c>
      <c r="BX134">
        <v>0.72</v>
      </c>
      <c r="BY134">
        <v>0</v>
      </c>
      <c r="BZ134">
        <v>0.04</v>
      </c>
      <c r="CA134">
        <v>5.58</v>
      </c>
      <c r="CB134">
        <v>0</v>
      </c>
      <c r="CC134">
        <f t="shared" si="4"/>
        <v>2.75</v>
      </c>
      <c r="CD134">
        <v>3.96</v>
      </c>
      <c r="CE134">
        <v>0.34230769230769231</v>
      </c>
      <c r="CF134">
        <v>0.44500000000000001</v>
      </c>
      <c r="CG134">
        <v>0.1492537313432836</v>
      </c>
      <c r="CH134">
        <v>0.46223776223776231</v>
      </c>
      <c r="CI134">
        <v>0</v>
      </c>
      <c r="CJ134">
        <v>31066</v>
      </c>
      <c r="CK134" t="s">
        <v>141</v>
      </c>
      <c r="CL134" t="s">
        <v>726</v>
      </c>
      <c r="CM134" t="s">
        <v>143</v>
      </c>
      <c r="CN134">
        <v>1.4361163692800001</v>
      </c>
      <c r="CO134">
        <v>97.867017421071495</v>
      </c>
      <c r="CP134">
        <v>133</v>
      </c>
      <c r="CQ134" t="s">
        <v>843</v>
      </c>
      <c r="CR134">
        <v>91</v>
      </c>
      <c r="CS134" t="s">
        <v>452</v>
      </c>
      <c r="CT134" t="s">
        <v>453</v>
      </c>
      <c r="CU134" t="s">
        <v>454</v>
      </c>
      <c r="CV134" t="s">
        <v>455</v>
      </c>
      <c r="CW134" t="s">
        <v>456</v>
      </c>
      <c r="CX134" t="s">
        <v>457</v>
      </c>
      <c r="CY134" t="s">
        <v>458</v>
      </c>
      <c r="CZ134" t="s">
        <v>206</v>
      </c>
      <c r="DA134" t="s">
        <v>152</v>
      </c>
      <c r="DB134" t="s">
        <v>153</v>
      </c>
      <c r="DC134" t="s">
        <v>459</v>
      </c>
      <c r="DD134" t="s">
        <v>208</v>
      </c>
      <c r="DE134">
        <v>1466</v>
      </c>
      <c r="DF134">
        <v>-108.330134</v>
      </c>
      <c r="DG134">
        <v>37.163961999999998</v>
      </c>
      <c r="DH134">
        <v>8275</v>
      </c>
      <c r="DI134">
        <v>1000</v>
      </c>
      <c r="DJ134">
        <v>3475</v>
      </c>
      <c r="DK134">
        <v>178</v>
      </c>
      <c r="DL134">
        <v>7.5</v>
      </c>
      <c r="DO134">
        <v>9</v>
      </c>
      <c r="DR134">
        <v>112500</v>
      </c>
      <c r="DS134">
        <v>42</v>
      </c>
      <c r="DT134">
        <v>1.2500000000000001E-2</v>
      </c>
      <c r="DU134">
        <v>1.2500000000000001E-2</v>
      </c>
      <c r="DV134">
        <v>0.32500000000000001</v>
      </c>
      <c r="DW134">
        <v>0.32500000000000001</v>
      </c>
      <c r="DX134">
        <v>0.32500000000000001</v>
      </c>
      <c r="DY134">
        <v>35.084899006612517</v>
      </c>
      <c r="DZ134" s="4">
        <v>3.9889999999999999</v>
      </c>
      <c r="EA134" s="4" t="s">
        <v>839</v>
      </c>
      <c r="EB134" s="4" t="s">
        <v>840</v>
      </c>
      <c r="EC134">
        <v>4.7309999999999999</v>
      </c>
      <c r="ED134">
        <v>95</v>
      </c>
      <c r="EE134" t="s">
        <v>568</v>
      </c>
      <c r="EF134">
        <v>0.55586837198075589</v>
      </c>
      <c r="EH134">
        <f t="shared" si="5"/>
        <v>0.58000000000000007</v>
      </c>
      <c r="EI134">
        <v>3.38</v>
      </c>
      <c r="EJ134">
        <v>3.65</v>
      </c>
    </row>
    <row r="135" spans="1:140" x14ac:dyDescent="0.35">
      <c r="A135" s="1">
        <v>133</v>
      </c>
      <c r="B135">
        <v>-109.4909877250039</v>
      </c>
      <c r="C135">
        <v>37.55642735392783</v>
      </c>
      <c r="D135" t="s">
        <v>844</v>
      </c>
      <c r="E135">
        <v>0.02</v>
      </c>
      <c r="F135" t="s">
        <v>160</v>
      </c>
      <c r="G135">
        <v>0.16109999999999999</v>
      </c>
      <c r="H135" t="s">
        <v>161</v>
      </c>
      <c r="I135">
        <v>-12188481</v>
      </c>
      <c r="J135">
        <v>4516952</v>
      </c>
      <c r="K135" t="s">
        <v>835</v>
      </c>
      <c r="L135" t="s">
        <v>579</v>
      </c>
      <c r="M135">
        <v>19</v>
      </c>
      <c r="N135">
        <v>4.2969999999999997</v>
      </c>
      <c r="O135">
        <v>4</v>
      </c>
      <c r="P135">
        <v>8</v>
      </c>
      <c r="Q135">
        <v>49</v>
      </c>
      <c r="R135">
        <v>37</v>
      </c>
      <c r="S135">
        <v>14510</v>
      </c>
      <c r="T135" t="s">
        <v>837</v>
      </c>
      <c r="U135">
        <v>5.801348811217232</v>
      </c>
      <c r="V135" t="s">
        <v>835</v>
      </c>
      <c r="W135">
        <v>9.9700000000000011E-2</v>
      </c>
      <c r="X135">
        <v>10</v>
      </c>
      <c r="Y135">
        <v>8.9</v>
      </c>
      <c r="Z135">
        <v>8.9</v>
      </c>
      <c r="AA135">
        <v>20</v>
      </c>
      <c r="AB135">
        <v>26</v>
      </c>
      <c r="AC135">
        <v>1.3220000000000001</v>
      </c>
      <c r="AD135">
        <v>67</v>
      </c>
      <c r="AE135">
        <v>0.21010807374443741</v>
      </c>
      <c r="AF135">
        <v>2.86</v>
      </c>
      <c r="AG135" t="s">
        <v>837</v>
      </c>
      <c r="AH135" t="s">
        <v>835</v>
      </c>
      <c r="AI135">
        <v>38</v>
      </c>
      <c r="AJ135">
        <v>1.266666666666667E-2</v>
      </c>
      <c r="AK135">
        <v>12.66666666666667</v>
      </c>
      <c r="AL135" t="s">
        <v>728</v>
      </c>
      <c r="AM135">
        <v>92423.722816061636</v>
      </c>
      <c r="AN135">
        <v>1.26</v>
      </c>
      <c r="AO135">
        <v>0.09</v>
      </c>
      <c r="AP135">
        <v>0.19</v>
      </c>
      <c r="AQ135">
        <v>0.97</v>
      </c>
      <c r="AR135">
        <v>0.92</v>
      </c>
      <c r="AS135">
        <v>0.04</v>
      </c>
      <c r="AT135">
        <v>0.01</v>
      </c>
      <c r="AU135">
        <v>0.02</v>
      </c>
      <c r="AV135">
        <v>2.2000000000000002</v>
      </c>
      <c r="AW135">
        <v>1.21</v>
      </c>
      <c r="AX135">
        <v>0.21</v>
      </c>
      <c r="AY135">
        <v>0.53</v>
      </c>
      <c r="AZ135">
        <v>0</v>
      </c>
      <c r="BA135">
        <v>0.97</v>
      </c>
      <c r="BB135">
        <v>0.08</v>
      </c>
      <c r="BC135">
        <v>0.15</v>
      </c>
      <c r="BD135">
        <v>0.27</v>
      </c>
      <c r="BE135">
        <v>6.28</v>
      </c>
      <c r="BF135">
        <v>5.59</v>
      </c>
      <c r="BG135">
        <v>0.24</v>
      </c>
      <c r="BH135">
        <v>0.45</v>
      </c>
      <c r="BI135">
        <v>0</v>
      </c>
      <c r="BJ135">
        <v>0.04</v>
      </c>
      <c r="BK135">
        <v>5.55</v>
      </c>
      <c r="BL135">
        <v>0</v>
      </c>
      <c r="BM135">
        <v>1.74</v>
      </c>
      <c r="BN135">
        <v>0.21</v>
      </c>
      <c r="BO135">
        <v>0.46</v>
      </c>
      <c r="BP135">
        <v>1.07</v>
      </c>
      <c r="BQ135">
        <v>0.9</v>
      </c>
      <c r="BR135">
        <v>0.06</v>
      </c>
      <c r="BS135">
        <v>0.11</v>
      </c>
      <c r="BT135">
        <v>0</v>
      </c>
      <c r="BU135">
        <v>6.68</v>
      </c>
      <c r="BV135">
        <v>5.62</v>
      </c>
      <c r="BW135">
        <v>0.34</v>
      </c>
      <c r="BX135">
        <v>0.72</v>
      </c>
      <c r="BY135">
        <v>0</v>
      </c>
      <c r="BZ135">
        <v>0.04</v>
      </c>
      <c r="CA135">
        <v>5.58</v>
      </c>
      <c r="CB135">
        <v>0</v>
      </c>
      <c r="CC135">
        <f t="shared" si="4"/>
        <v>2.75</v>
      </c>
      <c r="CD135">
        <v>3.96</v>
      </c>
      <c r="CE135">
        <v>0.34230769230769231</v>
      </c>
      <c r="CF135">
        <v>0.44500000000000001</v>
      </c>
      <c r="CG135">
        <v>0.1492537313432836</v>
      </c>
      <c r="CH135">
        <v>0.46223776223776231</v>
      </c>
      <c r="CI135">
        <v>0</v>
      </c>
      <c r="CJ135">
        <v>16236</v>
      </c>
      <c r="CK135" t="s">
        <v>141</v>
      </c>
      <c r="CL135" t="s">
        <v>845</v>
      </c>
      <c r="CM135" t="s">
        <v>143</v>
      </c>
      <c r="CN135">
        <v>1.3058057672500001</v>
      </c>
      <c r="CO135">
        <v>44.259221607852837</v>
      </c>
      <c r="CP135">
        <v>134</v>
      </c>
      <c r="CQ135" t="s">
        <v>843</v>
      </c>
      <c r="CR135">
        <v>91</v>
      </c>
      <c r="CS135" t="s">
        <v>452</v>
      </c>
      <c r="CT135" t="s">
        <v>453</v>
      </c>
      <c r="CU135" t="s">
        <v>454</v>
      </c>
      <c r="CV135" t="s">
        <v>455</v>
      </c>
      <c r="CW135" t="s">
        <v>456</v>
      </c>
      <c r="CX135" t="s">
        <v>457</v>
      </c>
      <c r="CY135" t="s">
        <v>458</v>
      </c>
      <c r="CZ135" t="s">
        <v>206</v>
      </c>
      <c r="DA135" t="s">
        <v>152</v>
      </c>
      <c r="DB135" t="s">
        <v>153</v>
      </c>
      <c r="DC135" t="s">
        <v>459</v>
      </c>
      <c r="DD135" t="s">
        <v>208</v>
      </c>
      <c r="DE135">
        <v>1466</v>
      </c>
      <c r="DF135">
        <v>-108.330134</v>
      </c>
      <c r="DG135">
        <v>37.163961999999998</v>
      </c>
      <c r="DH135">
        <v>8275</v>
      </c>
      <c r="DI135">
        <v>1000</v>
      </c>
      <c r="DJ135">
        <v>3475</v>
      </c>
      <c r="DK135">
        <v>178</v>
      </c>
      <c r="DL135">
        <v>7.5</v>
      </c>
      <c r="DO135">
        <v>9</v>
      </c>
      <c r="DR135">
        <v>112500</v>
      </c>
      <c r="DS135">
        <v>42</v>
      </c>
      <c r="DT135">
        <v>1.2500000000000001E-2</v>
      </c>
      <c r="DU135">
        <v>1.2500000000000001E-2</v>
      </c>
      <c r="DV135">
        <v>0.32500000000000001</v>
      </c>
      <c r="DW135">
        <v>0.32500000000000001</v>
      </c>
      <c r="DX135">
        <v>0.32500000000000001</v>
      </c>
      <c r="DY135">
        <v>0</v>
      </c>
      <c r="DZ135" s="4">
        <v>3.9889999999999999</v>
      </c>
      <c r="EA135" s="4" t="s">
        <v>839</v>
      </c>
      <c r="EB135" s="4" t="s">
        <v>840</v>
      </c>
      <c r="EC135">
        <v>4.7309999999999999</v>
      </c>
      <c r="ED135">
        <v>194</v>
      </c>
      <c r="EE135" t="s">
        <v>728</v>
      </c>
      <c r="EF135">
        <v>0.71367906248210422</v>
      </c>
      <c r="EH135">
        <f t="shared" si="5"/>
        <v>0.58000000000000007</v>
      </c>
      <c r="EI135">
        <v>3.38</v>
      </c>
      <c r="EJ135">
        <v>3.65</v>
      </c>
    </row>
    <row r="136" spans="1:140" x14ac:dyDescent="0.35">
      <c r="A136" s="1">
        <v>134</v>
      </c>
      <c r="B136">
        <v>-107.6943571567648</v>
      </c>
      <c r="C136">
        <v>37.55642735392783</v>
      </c>
      <c r="D136" t="s">
        <v>846</v>
      </c>
      <c r="E136">
        <v>0.1</v>
      </c>
      <c r="F136" t="s">
        <v>135</v>
      </c>
      <c r="G136">
        <v>4.6100000000000002E-2</v>
      </c>
      <c r="H136" t="s">
        <v>161</v>
      </c>
      <c r="I136">
        <v>-11988481</v>
      </c>
      <c r="J136">
        <v>4516952</v>
      </c>
      <c r="K136" t="s">
        <v>847</v>
      </c>
      <c r="L136" t="s">
        <v>848</v>
      </c>
      <c r="M136">
        <v>34</v>
      </c>
      <c r="N136">
        <v>4.3869999999999996</v>
      </c>
      <c r="O136">
        <v>4</v>
      </c>
      <c r="P136">
        <v>8</v>
      </c>
      <c r="Q136">
        <v>8</v>
      </c>
      <c r="R136">
        <v>67</v>
      </c>
      <c r="S136">
        <v>55639</v>
      </c>
      <c r="T136" t="s">
        <v>454</v>
      </c>
      <c r="U136">
        <v>6.9386621113594797</v>
      </c>
      <c r="V136" t="s">
        <v>847</v>
      </c>
      <c r="W136">
        <v>0.1207</v>
      </c>
      <c r="X136">
        <v>10</v>
      </c>
      <c r="Y136">
        <v>8.9</v>
      </c>
      <c r="Z136">
        <v>8.9</v>
      </c>
      <c r="AA136">
        <v>20</v>
      </c>
      <c r="AB136">
        <v>26</v>
      </c>
      <c r="AC136">
        <v>0.95799999999999996</v>
      </c>
      <c r="AD136">
        <v>67</v>
      </c>
      <c r="AE136">
        <v>0.15225683407501589</v>
      </c>
      <c r="AF136">
        <v>2.86</v>
      </c>
      <c r="AG136" t="s">
        <v>454</v>
      </c>
      <c r="AH136" t="s">
        <v>847</v>
      </c>
      <c r="AI136">
        <v>39</v>
      </c>
      <c r="AJ136">
        <v>1.2999999999999999E-2</v>
      </c>
      <c r="AK136">
        <v>13</v>
      </c>
      <c r="AL136" t="s">
        <v>849</v>
      </c>
      <c r="AM136">
        <v>0</v>
      </c>
      <c r="AN136">
        <v>1.44</v>
      </c>
      <c r="AO136">
        <v>0.09</v>
      </c>
      <c r="AP136">
        <v>0.19</v>
      </c>
      <c r="AQ136">
        <v>1.1599999999999999</v>
      </c>
      <c r="AR136">
        <v>1.1000000000000001</v>
      </c>
      <c r="AS136">
        <v>0.04</v>
      </c>
      <c r="AT136">
        <v>0.02</v>
      </c>
      <c r="AU136">
        <v>0.02</v>
      </c>
      <c r="AV136">
        <v>2.42</v>
      </c>
      <c r="AW136">
        <v>1.43</v>
      </c>
      <c r="AX136">
        <v>0.21</v>
      </c>
      <c r="AY136">
        <v>0.53</v>
      </c>
      <c r="AZ136">
        <v>0</v>
      </c>
      <c r="BA136">
        <v>1.17</v>
      </c>
      <c r="BB136">
        <v>0.08</v>
      </c>
      <c r="BC136">
        <v>0.18</v>
      </c>
      <c r="BD136">
        <v>0.27</v>
      </c>
      <c r="BE136">
        <v>7.39</v>
      </c>
      <c r="BF136">
        <v>6.7</v>
      </c>
      <c r="BG136">
        <v>0.24</v>
      </c>
      <c r="BH136">
        <v>0.45</v>
      </c>
      <c r="BI136">
        <v>0</v>
      </c>
      <c r="BJ136">
        <v>0.04</v>
      </c>
      <c r="BK136">
        <v>6.66</v>
      </c>
      <c r="BL136">
        <v>0</v>
      </c>
      <c r="BM136">
        <v>1.94</v>
      </c>
      <c r="BN136">
        <v>0.21</v>
      </c>
      <c r="BO136">
        <v>0.46</v>
      </c>
      <c r="BP136">
        <v>1.27</v>
      </c>
      <c r="BQ136">
        <v>1.08</v>
      </c>
      <c r="BR136">
        <v>0.06</v>
      </c>
      <c r="BS136">
        <v>0.13</v>
      </c>
      <c r="BT136">
        <v>0</v>
      </c>
      <c r="BU136">
        <v>7.79</v>
      </c>
      <c r="BV136">
        <v>6.73</v>
      </c>
      <c r="BW136">
        <v>0.34</v>
      </c>
      <c r="BX136">
        <v>0.72</v>
      </c>
      <c r="BY136">
        <v>0</v>
      </c>
      <c r="BZ136">
        <v>0.04</v>
      </c>
      <c r="CA136">
        <v>6.7</v>
      </c>
      <c r="CB136">
        <v>0</v>
      </c>
      <c r="CC136">
        <f t="shared" si="4"/>
        <v>2.75</v>
      </c>
      <c r="CD136">
        <v>3.96</v>
      </c>
      <c r="CE136">
        <v>0.34230769230769231</v>
      </c>
      <c r="CF136">
        <v>0.44500000000000001</v>
      </c>
      <c r="CG136">
        <v>0.1492537313432836</v>
      </c>
      <c r="CH136">
        <v>0.33496503496503499</v>
      </c>
      <c r="CI136">
        <v>0</v>
      </c>
      <c r="CJ136">
        <v>16159</v>
      </c>
      <c r="CK136" t="s">
        <v>141</v>
      </c>
      <c r="CL136" t="s">
        <v>845</v>
      </c>
      <c r="CM136" t="s">
        <v>143</v>
      </c>
      <c r="CN136">
        <v>0.11407393236500001</v>
      </c>
      <c r="CO136">
        <v>30.608073947164041</v>
      </c>
      <c r="CP136">
        <v>135</v>
      </c>
      <c r="CQ136" t="s">
        <v>850</v>
      </c>
      <c r="CR136">
        <v>126</v>
      </c>
      <c r="CS136" t="s">
        <v>576</v>
      </c>
      <c r="CT136" t="s">
        <v>577</v>
      </c>
      <c r="CU136" t="s">
        <v>333</v>
      </c>
      <c r="CV136" t="s">
        <v>578</v>
      </c>
      <c r="CW136" t="s">
        <v>579</v>
      </c>
      <c r="CX136" t="s">
        <v>580</v>
      </c>
      <c r="CY136" t="s">
        <v>581</v>
      </c>
      <c r="CZ136" t="s">
        <v>206</v>
      </c>
      <c r="DA136" t="s">
        <v>152</v>
      </c>
      <c r="DB136" t="s">
        <v>178</v>
      </c>
      <c r="DC136" t="s">
        <v>365</v>
      </c>
      <c r="DD136" t="s">
        <v>582</v>
      </c>
      <c r="DE136">
        <v>8520</v>
      </c>
      <c r="DF136">
        <v>-107.652666</v>
      </c>
      <c r="DG136">
        <v>36.368147</v>
      </c>
      <c r="DH136">
        <v>5511</v>
      </c>
      <c r="DI136">
        <v>883</v>
      </c>
      <c r="DJ136">
        <v>2388</v>
      </c>
      <c r="DK136">
        <v>123</v>
      </c>
      <c r="DL136">
        <v>13</v>
      </c>
      <c r="DO136">
        <v>15</v>
      </c>
      <c r="DR136">
        <v>20000</v>
      </c>
      <c r="DS136" t="s">
        <v>583</v>
      </c>
      <c r="DT136">
        <v>1.2500000000000001E-2</v>
      </c>
      <c r="DU136">
        <v>1.2500000000000001E-2</v>
      </c>
      <c r="DV136">
        <v>0.32500000000000001</v>
      </c>
      <c r="DW136">
        <v>0.32500000000000001</v>
      </c>
      <c r="DX136">
        <v>0.32500000000000001</v>
      </c>
      <c r="DY136">
        <v>10.40979717108578</v>
      </c>
      <c r="DZ136" s="4">
        <v>3.86</v>
      </c>
      <c r="EA136" s="4" t="s">
        <v>851</v>
      </c>
      <c r="EB136" s="4" t="s">
        <v>852</v>
      </c>
      <c r="EC136">
        <v>4.4279999999999999</v>
      </c>
      <c r="ED136">
        <v>759</v>
      </c>
      <c r="EE136" t="s">
        <v>849</v>
      </c>
      <c r="EF136">
        <v>0</v>
      </c>
      <c r="EH136">
        <f t="shared" si="5"/>
        <v>0.58000000000000007</v>
      </c>
      <c r="EI136">
        <v>3.38</v>
      </c>
      <c r="EJ136">
        <v>3.65</v>
      </c>
    </row>
    <row r="137" spans="1:140" x14ac:dyDescent="0.35">
      <c r="A137" s="1">
        <v>135</v>
      </c>
      <c r="B137">
        <v>-105.8977265885258</v>
      </c>
      <c r="C137">
        <v>37.55642735392783</v>
      </c>
      <c r="D137" t="s">
        <v>853</v>
      </c>
      <c r="E137">
        <v>0.1</v>
      </c>
      <c r="F137" t="s">
        <v>135</v>
      </c>
      <c r="G137">
        <v>4.6100000000000002E-2</v>
      </c>
      <c r="H137" t="s">
        <v>161</v>
      </c>
      <c r="I137">
        <v>-11788481</v>
      </c>
      <c r="J137">
        <v>4516952</v>
      </c>
      <c r="K137" t="s">
        <v>847</v>
      </c>
      <c r="L137" t="s">
        <v>854</v>
      </c>
      <c r="M137">
        <v>2</v>
      </c>
      <c r="N137">
        <v>3.7050000000000001</v>
      </c>
      <c r="O137">
        <v>4</v>
      </c>
      <c r="P137">
        <v>8</v>
      </c>
      <c r="Q137">
        <v>8</v>
      </c>
      <c r="R137">
        <v>3</v>
      </c>
      <c r="S137">
        <v>16381</v>
      </c>
      <c r="T137" t="s">
        <v>454</v>
      </c>
      <c r="U137">
        <v>6.9386621113594797</v>
      </c>
      <c r="V137" t="s">
        <v>847</v>
      </c>
      <c r="W137">
        <v>0.1207</v>
      </c>
      <c r="X137">
        <v>10</v>
      </c>
      <c r="Y137">
        <v>8.9</v>
      </c>
      <c r="Z137">
        <v>8.9</v>
      </c>
      <c r="AA137">
        <v>20</v>
      </c>
      <c r="AB137">
        <v>26</v>
      </c>
      <c r="AC137">
        <v>0.95799999999999996</v>
      </c>
      <c r="AD137">
        <v>67</v>
      </c>
      <c r="AE137">
        <v>0.15225683407501589</v>
      </c>
      <c r="AF137">
        <v>2.86</v>
      </c>
      <c r="AG137" t="s">
        <v>454</v>
      </c>
      <c r="AH137" t="s">
        <v>847</v>
      </c>
      <c r="AI137">
        <v>39</v>
      </c>
      <c r="AJ137">
        <v>1.2999999999999999E-2</v>
      </c>
      <c r="AK137">
        <v>13</v>
      </c>
      <c r="AL137" t="s">
        <v>855</v>
      </c>
      <c r="AM137">
        <v>78462.577504019719</v>
      </c>
      <c r="AN137">
        <v>1.44</v>
      </c>
      <c r="AO137">
        <v>0.09</v>
      </c>
      <c r="AP137">
        <v>0.19</v>
      </c>
      <c r="AQ137">
        <v>1.1599999999999999</v>
      </c>
      <c r="AR137">
        <v>1.1000000000000001</v>
      </c>
      <c r="AS137">
        <v>0.04</v>
      </c>
      <c r="AT137">
        <v>0.02</v>
      </c>
      <c r="AU137">
        <v>0.02</v>
      </c>
      <c r="AV137">
        <v>2.42</v>
      </c>
      <c r="AW137">
        <v>1.43</v>
      </c>
      <c r="AX137">
        <v>0.21</v>
      </c>
      <c r="AY137">
        <v>0.53</v>
      </c>
      <c r="AZ137">
        <v>0</v>
      </c>
      <c r="BA137">
        <v>1.17</v>
      </c>
      <c r="BB137">
        <v>0.08</v>
      </c>
      <c r="BC137">
        <v>0.18</v>
      </c>
      <c r="BD137">
        <v>0.27</v>
      </c>
      <c r="BE137">
        <v>7.39</v>
      </c>
      <c r="BF137">
        <v>6.7</v>
      </c>
      <c r="BG137">
        <v>0.24</v>
      </c>
      <c r="BH137">
        <v>0.45</v>
      </c>
      <c r="BI137">
        <v>0</v>
      </c>
      <c r="BJ137">
        <v>0.04</v>
      </c>
      <c r="BK137">
        <v>6.66</v>
      </c>
      <c r="BL137">
        <v>0</v>
      </c>
      <c r="BM137">
        <v>1.94</v>
      </c>
      <c r="BN137">
        <v>0.21</v>
      </c>
      <c r="BO137">
        <v>0.46</v>
      </c>
      <c r="BP137">
        <v>1.27</v>
      </c>
      <c r="BQ137">
        <v>1.08</v>
      </c>
      <c r="BR137">
        <v>0.06</v>
      </c>
      <c r="BS137">
        <v>0.13</v>
      </c>
      <c r="BT137">
        <v>0</v>
      </c>
      <c r="BU137">
        <v>7.79</v>
      </c>
      <c r="BV137">
        <v>6.73</v>
      </c>
      <c r="BW137">
        <v>0.34</v>
      </c>
      <c r="BX137">
        <v>0.72</v>
      </c>
      <c r="BY137">
        <v>0</v>
      </c>
      <c r="BZ137">
        <v>0.04</v>
      </c>
      <c r="CA137">
        <v>6.7</v>
      </c>
      <c r="CB137">
        <v>0</v>
      </c>
      <c r="CC137">
        <f t="shared" si="4"/>
        <v>2.75</v>
      </c>
      <c r="CD137">
        <v>3.96</v>
      </c>
      <c r="CE137">
        <v>0.34230769230769231</v>
      </c>
      <c r="CF137">
        <v>0.44500000000000001</v>
      </c>
      <c r="CG137">
        <v>0.1492537313432836</v>
      </c>
      <c r="CH137">
        <v>0.33496503496503499</v>
      </c>
      <c r="CI137">
        <v>0</v>
      </c>
      <c r="CJ137">
        <v>3559</v>
      </c>
      <c r="CK137" t="s">
        <v>141</v>
      </c>
      <c r="CL137" t="s">
        <v>738</v>
      </c>
      <c r="CM137" t="s">
        <v>143</v>
      </c>
      <c r="CN137">
        <v>3.4105488605199998E-2</v>
      </c>
      <c r="CO137">
        <v>62.611007581023749</v>
      </c>
      <c r="CP137">
        <v>136</v>
      </c>
      <c r="CQ137" t="s">
        <v>575</v>
      </c>
      <c r="CR137">
        <v>126</v>
      </c>
      <c r="CS137" t="s">
        <v>576</v>
      </c>
      <c r="CT137" t="s">
        <v>577</v>
      </c>
      <c r="CU137" t="s">
        <v>333</v>
      </c>
      <c r="CV137" t="s">
        <v>578</v>
      </c>
      <c r="CW137" t="s">
        <v>579</v>
      </c>
      <c r="CX137" t="s">
        <v>580</v>
      </c>
      <c r="CY137" t="s">
        <v>581</v>
      </c>
      <c r="CZ137" t="s">
        <v>206</v>
      </c>
      <c r="DA137" t="s">
        <v>152</v>
      </c>
      <c r="DB137" t="s">
        <v>178</v>
      </c>
      <c r="DC137" t="s">
        <v>365</v>
      </c>
      <c r="DD137" t="s">
        <v>582</v>
      </c>
      <c r="DE137">
        <v>8520</v>
      </c>
      <c r="DF137">
        <v>-107.652666</v>
      </c>
      <c r="DG137">
        <v>36.368147</v>
      </c>
      <c r="DH137">
        <v>5511</v>
      </c>
      <c r="DI137">
        <v>883</v>
      </c>
      <c r="DJ137">
        <v>2388</v>
      </c>
      <c r="DK137">
        <v>123</v>
      </c>
      <c r="DL137">
        <v>13</v>
      </c>
      <c r="DO137">
        <v>15</v>
      </c>
      <c r="DR137">
        <v>20000</v>
      </c>
      <c r="DS137" t="s">
        <v>583</v>
      </c>
      <c r="DT137">
        <v>1.2500000000000001E-2</v>
      </c>
      <c r="DU137">
        <v>1.2500000000000001E-2</v>
      </c>
      <c r="DV137">
        <v>0.32500000000000001</v>
      </c>
      <c r="DW137">
        <v>0.32500000000000001</v>
      </c>
      <c r="DX137">
        <v>0.32500000000000001</v>
      </c>
      <c r="DY137">
        <v>34.956798335603352</v>
      </c>
      <c r="DZ137" s="4">
        <v>3.86</v>
      </c>
      <c r="EA137" s="4" t="s">
        <v>851</v>
      </c>
      <c r="EB137" s="4" t="s">
        <v>852</v>
      </c>
      <c r="EC137">
        <v>4.4279999999999999</v>
      </c>
      <c r="ED137">
        <v>346</v>
      </c>
      <c r="EE137" t="s">
        <v>855</v>
      </c>
      <c r="EF137">
        <v>0.5608570033727267</v>
      </c>
      <c r="EH137">
        <f t="shared" si="5"/>
        <v>0.58000000000000007</v>
      </c>
      <c r="EI137">
        <v>3.38</v>
      </c>
      <c r="EJ137">
        <v>3.65</v>
      </c>
    </row>
    <row r="138" spans="1:140" x14ac:dyDescent="0.35">
      <c r="A138" s="1">
        <v>136</v>
      </c>
      <c r="B138">
        <v>-104.1010960202868</v>
      </c>
      <c r="C138">
        <v>37.55642735392783</v>
      </c>
      <c r="D138" t="s">
        <v>856</v>
      </c>
      <c r="E138">
        <v>0.1</v>
      </c>
      <c r="F138" t="s">
        <v>135</v>
      </c>
      <c r="G138">
        <v>4.8399999999999999E-2</v>
      </c>
      <c r="H138" t="s">
        <v>161</v>
      </c>
      <c r="I138">
        <v>-11588481</v>
      </c>
      <c r="J138">
        <v>4516952</v>
      </c>
      <c r="K138" t="s">
        <v>847</v>
      </c>
      <c r="L138" t="s">
        <v>857</v>
      </c>
      <c r="M138">
        <v>37</v>
      </c>
      <c r="N138">
        <v>4.069</v>
      </c>
      <c r="O138">
        <v>4</v>
      </c>
      <c r="P138">
        <v>8</v>
      </c>
      <c r="Q138">
        <v>8</v>
      </c>
      <c r="R138">
        <v>71</v>
      </c>
      <c r="S138">
        <v>14557</v>
      </c>
      <c r="T138" t="s">
        <v>454</v>
      </c>
      <c r="U138">
        <v>6.9386621113594797</v>
      </c>
      <c r="V138" t="s">
        <v>847</v>
      </c>
      <c r="W138">
        <v>0.1207</v>
      </c>
      <c r="X138">
        <v>10</v>
      </c>
      <c r="Y138">
        <v>8.9</v>
      </c>
      <c r="Z138">
        <v>8.9</v>
      </c>
      <c r="AA138">
        <v>20</v>
      </c>
      <c r="AB138">
        <v>26</v>
      </c>
      <c r="AC138">
        <v>0.95799999999999996</v>
      </c>
      <c r="AD138">
        <v>67</v>
      </c>
      <c r="AE138">
        <v>0.15225683407501589</v>
      </c>
      <c r="AF138">
        <v>2.86</v>
      </c>
      <c r="AG138" t="s">
        <v>454</v>
      </c>
      <c r="AH138" t="s">
        <v>847</v>
      </c>
      <c r="AI138">
        <v>39</v>
      </c>
      <c r="AJ138">
        <v>1.2999999999999999E-2</v>
      </c>
      <c r="AK138">
        <v>13</v>
      </c>
      <c r="AL138" t="s">
        <v>858</v>
      </c>
      <c r="AM138">
        <v>25455.63942980022</v>
      </c>
      <c r="AN138">
        <v>1.44</v>
      </c>
      <c r="AO138">
        <v>0.09</v>
      </c>
      <c r="AP138">
        <v>0.19</v>
      </c>
      <c r="AQ138">
        <v>1.1599999999999999</v>
      </c>
      <c r="AR138">
        <v>1.1000000000000001</v>
      </c>
      <c r="AS138">
        <v>0.04</v>
      </c>
      <c r="AT138">
        <v>0.02</v>
      </c>
      <c r="AU138">
        <v>0.02</v>
      </c>
      <c r="AV138">
        <v>2.42</v>
      </c>
      <c r="AW138">
        <v>1.43</v>
      </c>
      <c r="AX138">
        <v>0.21</v>
      </c>
      <c r="AY138">
        <v>0.53</v>
      </c>
      <c r="AZ138">
        <v>0</v>
      </c>
      <c r="BA138">
        <v>1.17</v>
      </c>
      <c r="BB138">
        <v>0.08</v>
      </c>
      <c r="BC138">
        <v>0.18</v>
      </c>
      <c r="BD138">
        <v>0.27</v>
      </c>
      <c r="BE138">
        <v>7.39</v>
      </c>
      <c r="BF138">
        <v>6.7</v>
      </c>
      <c r="BG138">
        <v>0.24</v>
      </c>
      <c r="BH138">
        <v>0.45</v>
      </c>
      <c r="BI138">
        <v>0</v>
      </c>
      <c r="BJ138">
        <v>0.04</v>
      </c>
      <c r="BK138">
        <v>6.66</v>
      </c>
      <c r="BL138">
        <v>0</v>
      </c>
      <c r="BM138">
        <v>1.94</v>
      </c>
      <c r="BN138">
        <v>0.21</v>
      </c>
      <c r="BO138">
        <v>0.46</v>
      </c>
      <c r="BP138">
        <v>1.27</v>
      </c>
      <c r="BQ138">
        <v>1.08</v>
      </c>
      <c r="BR138">
        <v>0.06</v>
      </c>
      <c r="BS138">
        <v>0.13</v>
      </c>
      <c r="BT138">
        <v>0</v>
      </c>
      <c r="BU138">
        <v>7.79</v>
      </c>
      <c r="BV138">
        <v>6.73</v>
      </c>
      <c r="BW138">
        <v>0.34</v>
      </c>
      <c r="BX138">
        <v>0.72</v>
      </c>
      <c r="BY138">
        <v>0</v>
      </c>
      <c r="BZ138">
        <v>0.04</v>
      </c>
      <c r="CA138">
        <v>6.7</v>
      </c>
      <c r="CB138">
        <v>0</v>
      </c>
      <c r="CC138">
        <f t="shared" si="4"/>
        <v>2.75</v>
      </c>
      <c r="CD138">
        <v>3.96</v>
      </c>
      <c r="CE138">
        <v>0.34230769230769231</v>
      </c>
      <c r="CF138">
        <v>0.44500000000000001</v>
      </c>
      <c r="CG138">
        <v>0.1492537313432836</v>
      </c>
      <c r="CH138">
        <v>0.33496503496503499</v>
      </c>
      <c r="CI138">
        <v>0</v>
      </c>
      <c r="CJ138">
        <v>3441</v>
      </c>
      <c r="CK138" t="s">
        <v>141</v>
      </c>
      <c r="CL138" t="s">
        <v>738</v>
      </c>
      <c r="CM138" t="s">
        <v>143</v>
      </c>
      <c r="CN138">
        <v>0.23465346677999999</v>
      </c>
      <c r="CO138">
        <v>6.8402551840419932</v>
      </c>
      <c r="CP138">
        <v>137</v>
      </c>
      <c r="CQ138" t="s">
        <v>859</v>
      </c>
      <c r="CR138">
        <v>4</v>
      </c>
      <c r="CS138" t="s">
        <v>860</v>
      </c>
      <c r="CT138" t="s">
        <v>486</v>
      </c>
      <c r="CU138" t="s">
        <v>861</v>
      </c>
      <c r="CV138" t="s">
        <v>862</v>
      </c>
      <c r="CW138" t="s">
        <v>863</v>
      </c>
      <c r="CX138" t="s">
        <v>864</v>
      </c>
      <c r="CY138" t="s">
        <v>865</v>
      </c>
      <c r="CZ138" t="s">
        <v>206</v>
      </c>
      <c r="DA138" t="s">
        <v>152</v>
      </c>
      <c r="DB138" t="s">
        <v>491</v>
      </c>
      <c r="DC138" t="s">
        <v>459</v>
      </c>
      <c r="DD138" t="s">
        <v>492</v>
      </c>
      <c r="DE138">
        <v>32460</v>
      </c>
      <c r="DF138">
        <v>-99.205699999999993</v>
      </c>
      <c r="DG138">
        <v>37.695</v>
      </c>
      <c r="DH138">
        <v>5365</v>
      </c>
      <c r="DI138">
        <v>720</v>
      </c>
      <c r="DJ138">
        <v>2333</v>
      </c>
      <c r="DK138">
        <v>114</v>
      </c>
      <c r="DL138">
        <v>10</v>
      </c>
      <c r="DO138">
        <v>50</v>
      </c>
      <c r="DP138">
        <v>0.1</v>
      </c>
      <c r="DQ138">
        <v>1500</v>
      </c>
      <c r="DR138" t="s">
        <v>866</v>
      </c>
      <c r="DS138" t="s">
        <v>867</v>
      </c>
      <c r="DT138">
        <v>1.2500000000000001E-2</v>
      </c>
      <c r="DU138">
        <v>1.2500000000000001E-2</v>
      </c>
      <c r="DV138">
        <v>0.32500000000000001</v>
      </c>
      <c r="DW138">
        <v>0.32500000000000001</v>
      </c>
      <c r="DX138">
        <v>0.32500000000000001</v>
      </c>
      <c r="DY138">
        <v>13.97704227339303</v>
      </c>
      <c r="DZ138" s="4">
        <v>3.86</v>
      </c>
      <c r="EA138" s="4" t="s">
        <v>851</v>
      </c>
      <c r="EB138" s="4" t="s">
        <v>852</v>
      </c>
      <c r="EC138">
        <v>4.4279999999999999</v>
      </c>
      <c r="ED138">
        <v>535</v>
      </c>
      <c r="EE138" t="s">
        <v>858</v>
      </c>
      <c r="EF138">
        <v>0.1827010822415156</v>
      </c>
      <c r="EH138">
        <f t="shared" si="5"/>
        <v>0.58000000000000007</v>
      </c>
      <c r="EI138">
        <v>3.38</v>
      </c>
      <c r="EJ138">
        <v>3.65</v>
      </c>
    </row>
    <row r="139" spans="1:140" x14ac:dyDescent="0.35">
      <c r="A139" s="1">
        <v>137</v>
      </c>
      <c r="B139">
        <v>-102.30446545204769</v>
      </c>
      <c r="C139">
        <v>37.55642735392783</v>
      </c>
      <c r="D139" t="s">
        <v>868</v>
      </c>
      <c r="E139">
        <v>0.1</v>
      </c>
      <c r="F139" t="s">
        <v>135</v>
      </c>
      <c r="G139">
        <v>4.8399999999999999E-2</v>
      </c>
      <c r="H139" t="s">
        <v>161</v>
      </c>
      <c r="I139">
        <v>-11388481</v>
      </c>
      <c r="J139">
        <v>4516952</v>
      </c>
      <c r="K139" t="s">
        <v>847</v>
      </c>
      <c r="L139" t="s">
        <v>869</v>
      </c>
      <c r="M139">
        <v>5</v>
      </c>
      <c r="N139">
        <v>3.819</v>
      </c>
      <c r="O139">
        <v>4</v>
      </c>
      <c r="P139">
        <v>8</v>
      </c>
      <c r="Q139">
        <v>8</v>
      </c>
      <c r="R139">
        <v>9</v>
      </c>
      <c r="S139">
        <v>3510</v>
      </c>
      <c r="T139" t="s">
        <v>454</v>
      </c>
      <c r="U139">
        <v>6.9386621113594797</v>
      </c>
      <c r="V139" t="s">
        <v>847</v>
      </c>
      <c r="W139">
        <v>0.1207</v>
      </c>
      <c r="X139">
        <v>10</v>
      </c>
      <c r="Y139">
        <v>8.9</v>
      </c>
      <c r="Z139">
        <v>8.9</v>
      </c>
      <c r="AA139">
        <v>20</v>
      </c>
      <c r="AB139">
        <v>26</v>
      </c>
      <c r="AC139">
        <v>0.95799999999999996</v>
      </c>
      <c r="AD139">
        <v>67</v>
      </c>
      <c r="AE139">
        <v>0.15225683407501589</v>
      </c>
      <c r="AF139">
        <v>2.86</v>
      </c>
      <c r="AG139" t="s">
        <v>454</v>
      </c>
      <c r="AH139" t="s">
        <v>847</v>
      </c>
      <c r="AI139">
        <v>39</v>
      </c>
      <c r="AJ139">
        <v>1.2999999999999999E-2</v>
      </c>
      <c r="AK139">
        <v>13</v>
      </c>
      <c r="AL139" t="s">
        <v>870</v>
      </c>
      <c r="AM139">
        <v>84591.539693757033</v>
      </c>
      <c r="AN139">
        <v>1.44</v>
      </c>
      <c r="AO139">
        <v>0.09</v>
      </c>
      <c r="AP139">
        <v>0.19</v>
      </c>
      <c r="AQ139">
        <v>1.1599999999999999</v>
      </c>
      <c r="AR139">
        <v>1.1000000000000001</v>
      </c>
      <c r="AS139">
        <v>0.04</v>
      </c>
      <c r="AT139">
        <v>0.02</v>
      </c>
      <c r="AU139">
        <v>0.02</v>
      </c>
      <c r="AV139">
        <v>2.42</v>
      </c>
      <c r="AW139">
        <v>1.43</v>
      </c>
      <c r="AX139">
        <v>0.21</v>
      </c>
      <c r="AY139">
        <v>0.53</v>
      </c>
      <c r="AZ139">
        <v>0</v>
      </c>
      <c r="BA139">
        <v>1.17</v>
      </c>
      <c r="BB139">
        <v>0.08</v>
      </c>
      <c r="BC139">
        <v>0.18</v>
      </c>
      <c r="BD139">
        <v>0.27</v>
      </c>
      <c r="BE139">
        <v>7.39</v>
      </c>
      <c r="BF139">
        <v>6.7</v>
      </c>
      <c r="BG139">
        <v>0.24</v>
      </c>
      <c r="BH139">
        <v>0.45</v>
      </c>
      <c r="BI139">
        <v>0</v>
      </c>
      <c r="BJ139">
        <v>0.04</v>
      </c>
      <c r="BK139">
        <v>6.66</v>
      </c>
      <c r="BL139">
        <v>0</v>
      </c>
      <c r="BM139">
        <v>1.94</v>
      </c>
      <c r="BN139">
        <v>0.21</v>
      </c>
      <c r="BO139">
        <v>0.46</v>
      </c>
      <c r="BP139">
        <v>1.27</v>
      </c>
      <c r="BQ139">
        <v>1.08</v>
      </c>
      <c r="BR139">
        <v>0.06</v>
      </c>
      <c r="BS139">
        <v>0.13</v>
      </c>
      <c r="BT139">
        <v>0</v>
      </c>
      <c r="BU139">
        <v>7.79</v>
      </c>
      <c r="BV139">
        <v>6.73</v>
      </c>
      <c r="BW139">
        <v>0.34</v>
      </c>
      <c r="BX139">
        <v>0.72</v>
      </c>
      <c r="BY139">
        <v>0</v>
      </c>
      <c r="BZ139">
        <v>0.04</v>
      </c>
      <c r="CA139">
        <v>6.7</v>
      </c>
      <c r="CB139">
        <v>0</v>
      </c>
      <c r="CC139">
        <f t="shared" si="4"/>
        <v>2.75</v>
      </c>
      <c r="CD139">
        <v>3.96</v>
      </c>
      <c r="CE139">
        <v>0.34230769230769231</v>
      </c>
      <c r="CF139">
        <v>0.44500000000000001</v>
      </c>
      <c r="CG139">
        <v>0.1492537313432836</v>
      </c>
      <c r="CH139">
        <v>0.33496503496503499</v>
      </c>
      <c r="CI139">
        <v>0</v>
      </c>
      <c r="CJ139">
        <v>3477</v>
      </c>
      <c r="CK139" t="s">
        <v>141</v>
      </c>
      <c r="CL139" t="s">
        <v>738</v>
      </c>
      <c r="CM139" t="s">
        <v>143</v>
      </c>
      <c r="CN139">
        <v>0.20032336354999999</v>
      </c>
      <c r="CO139">
        <v>16.957405444914901</v>
      </c>
      <c r="CP139">
        <v>138</v>
      </c>
      <c r="CQ139" t="s">
        <v>486</v>
      </c>
      <c r="CR139">
        <v>4</v>
      </c>
      <c r="CS139" t="s">
        <v>860</v>
      </c>
      <c r="CT139" t="s">
        <v>486</v>
      </c>
      <c r="CU139" t="s">
        <v>861</v>
      </c>
      <c r="CV139" t="s">
        <v>862</v>
      </c>
      <c r="CW139" t="s">
        <v>863</v>
      </c>
      <c r="CX139" t="s">
        <v>864</v>
      </c>
      <c r="CY139" t="s">
        <v>865</v>
      </c>
      <c r="CZ139" t="s">
        <v>206</v>
      </c>
      <c r="DA139" t="s">
        <v>152</v>
      </c>
      <c r="DB139" t="s">
        <v>491</v>
      </c>
      <c r="DC139" t="s">
        <v>459</v>
      </c>
      <c r="DD139" t="s">
        <v>492</v>
      </c>
      <c r="DE139">
        <v>32460</v>
      </c>
      <c r="DF139">
        <v>-99.205699999999993</v>
      </c>
      <c r="DG139">
        <v>37.695</v>
      </c>
      <c r="DH139">
        <v>5365</v>
      </c>
      <c r="DI139">
        <v>720</v>
      </c>
      <c r="DJ139">
        <v>2333</v>
      </c>
      <c r="DK139">
        <v>114</v>
      </c>
      <c r="DL139">
        <v>10</v>
      </c>
      <c r="DO139">
        <v>50</v>
      </c>
      <c r="DP139">
        <v>0.1</v>
      </c>
      <c r="DQ139">
        <v>1500</v>
      </c>
      <c r="DR139" t="s">
        <v>866</v>
      </c>
      <c r="DS139" t="s">
        <v>867</v>
      </c>
      <c r="DT139">
        <v>1.2500000000000001E-2</v>
      </c>
      <c r="DU139">
        <v>1.2500000000000001E-2</v>
      </c>
      <c r="DV139">
        <v>0.32500000000000001</v>
      </c>
      <c r="DW139">
        <v>0.32500000000000001</v>
      </c>
      <c r="DX139">
        <v>0.32500000000000001</v>
      </c>
      <c r="DY139">
        <v>18.159337867800101</v>
      </c>
      <c r="DZ139" s="4">
        <v>3.86</v>
      </c>
      <c r="EA139" s="4" t="s">
        <v>851</v>
      </c>
      <c r="EB139" s="4" t="s">
        <v>852</v>
      </c>
      <c r="EC139">
        <v>4.4279999999999999</v>
      </c>
      <c r="ED139">
        <v>871</v>
      </c>
      <c r="EE139" t="s">
        <v>870</v>
      </c>
      <c r="EF139">
        <v>0.62739801901857672</v>
      </c>
      <c r="EH139">
        <f t="shared" si="5"/>
        <v>0.58000000000000007</v>
      </c>
      <c r="EI139">
        <v>3.38</v>
      </c>
      <c r="EJ139">
        <v>3.65</v>
      </c>
    </row>
    <row r="140" spans="1:140" x14ac:dyDescent="0.35">
      <c r="A140" s="1">
        <v>138</v>
      </c>
      <c r="B140">
        <v>-100.5078348838087</v>
      </c>
      <c r="C140">
        <v>37.55642735392783</v>
      </c>
      <c r="D140" t="s">
        <v>871</v>
      </c>
      <c r="E140">
        <v>0.02</v>
      </c>
      <c r="F140" t="s">
        <v>160</v>
      </c>
      <c r="G140">
        <v>4.8399999999999999E-2</v>
      </c>
      <c r="H140" t="s">
        <v>161</v>
      </c>
      <c r="I140">
        <v>-11188481</v>
      </c>
      <c r="J140">
        <v>4516952</v>
      </c>
      <c r="K140" t="s">
        <v>872</v>
      </c>
      <c r="L140" t="s">
        <v>873</v>
      </c>
      <c r="M140">
        <v>35</v>
      </c>
      <c r="N140">
        <v>3.5449999999999999</v>
      </c>
      <c r="O140">
        <v>2</v>
      </c>
      <c r="P140">
        <v>4</v>
      </c>
      <c r="Q140">
        <v>20</v>
      </c>
      <c r="R140">
        <v>69</v>
      </c>
      <c r="S140">
        <v>5654</v>
      </c>
      <c r="T140" t="s">
        <v>861</v>
      </c>
      <c r="U140">
        <v>5.7660025051329402</v>
      </c>
      <c r="V140" t="s">
        <v>872</v>
      </c>
      <c r="W140">
        <v>0.11210000000000001</v>
      </c>
      <c r="X140">
        <v>10</v>
      </c>
      <c r="Y140">
        <v>8.9</v>
      </c>
      <c r="Z140">
        <v>8.9</v>
      </c>
      <c r="AA140">
        <v>20</v>
      </c>
      <c r="AB140">
        <v>26</v>
      </c>
      <c r="AC140">
        <v>0.68</v>
      </c>
      <c r="AD140">
        <v>67</v>
      </c>
      <c r="AE140">
        <v>0.1080737444373808</v>
      </c>
      <c r="AF140">
        <v>2.86</v>
      </c>
      <c r="AG140" t="s">
        <v>861</v>
      </c>
      <c r="AH140" t="s">
        <v>872</v>
      </c>
      <c r="AI140">
        <v>27</v>
      </c>
      <c r="AJ140">
        <v>8.9999999999999993E-3</v>
      </c>
      <c r="AK140">
        <v>9</v>
      </c>
      <c r="AL140" t="s">
        <v>874</v>
      </c>
      <c r="AM140">
        <v>27525.030889408419</v>
      </c>
      <c r="AN140">
        <v>1.26</v>
      </c>
      <c r="AO140">
        <v>0.09</v>
      </c>
      <c r="AP140">
        <v>0.19</v>
      </c>
      <c r="AQ140">
        <v>0.97</v>
      </c>
      <c r="AR140">
        <v>0.91</v>
      </c>
      <c r="AS140">
        <v>0.04</v>
      </c>
      <c r="AT140">
        <v>0.01</v>
      </c>
      <c r="AU140">
        <v>0.02</v>
      </c>
      <c r="AV140">
        <v>2.21</v>
      </c>
      <c r="AW140">
        <v>1.22</v>
      </c>
      <c r="AX140">
        <v>0.21</v>
      </c>
      <c r="AY140">
        <v>0.53</v>
      </c>
      <c r="AZ140">
        <v>0</v>
      </c>
      <c r="BA140">
        <v>0.97</v>
      </c>
      <c r="BB140">
        <v>0.08</v>
      </c>
      <c r="BC140">
        <v>0.17</v>
      </c>
      <c r="BD140">
        <v>0.27</v>
      </c>
      <c r="BE140">
        <v>6.83</v>
      </c>
      <c r="BF140">
        <v>6.14</v>
      </c>
      <c r="BG140">
        <v>0.24</v>
      </c>
      <c r="BH140">
        <v>0.45</v>
      </c>
      <c r="BI140">
        <v>0</v>
      </c>
      <c r="BJ140">
        <v>0.04</v>
      </c>
      <c r="BK140">
        <v>6.1</v>
      </c>
      <c r="BL140">
        <v>0</v>
      </c>
      <c r="BM140">
        <v>1.75</v>
      </c>
      <c r="BN140">
        <v>0.21</v>
      </c>
      <c r="BO140">
        <v>0.46</v>
      </c>
      <c r="BP140">
        <v>1.08</v>
      </c>
      <c r="BQ140">
        <v>0.9</v>
      </c>
      <c r="BR140">
        <v>0.06</v>
      </c>
      <c r="BS140">
        <v>0.12</v>
      </c>
      <c r="BT140">
        <v>0</v>
      </c>
      <c r="BU140">
        <v>7.24</v>
      </c>
      <c r="BV140">
        <v>6.18</v>
      </c>
      <c r="BW140">
        <v>0.34</v>
      </c>
      <c r="BX140">
        <v>0.72</v>
      </c>
      <c r="BY140">
        <v>0</v>
      </c>
      <c r="BZ140">
        <v>0.04</v>
      </c>
      <c r="CA140">
        <v>6.14</v>
      </c>
      <c r="CB140">
        <v>0</v>
      </c>
      <c r="CC140">
        <f t="shared" si="4"/>
        <v>2.75</v>
      </c>
      <c r="CD140">
        <v>3.96</v>
      </c>
      <c r="CE140">
        <v>0.34230769230769231</v>
      </c>
      <c r="CF140">
        <v>0.44500000000000001</v>
      </c>
      <c r="CG140">
        <v>0.1492537313432836</v>
      </c>
      <c r="CH140">
        <v>0.23776223776223779</v>
      </c>
      <c r="CI140">
        <v>0</v>
      </c>
      <c r="CJ140">
        <v>19480</v>
      </c>
      <c r="CK140" t="s">
        <v>141</v>
      </c>
      <c r="CL140" t="s">
        <v>475</v>
      </c>
      <c r="CM140" t="s">
        <v>143</v>
      </c>
      <c r="CN140">
        <v>0.13041943806</v>
      </c>
      <c r="CO140">
        <v>0.61620415917139992</v>
      </c>
      <c r="CP140">
        <v>139</v>
      </c>
      <c r="CQ140" t="s">
        <v>486</v>
      </c>
      <c r="CR140">
        <v>4</v>
      </c>
      <c r="CS140" t="s">
        <v>860</v>
      </c>
      <c r="CT140" t="s">
        <v>486</v>
      </c>
      <c r="CU140" t="s">
        <v>861</v>
      </c>
      <c r="CV140" t="s">
        <v>862</v>
      </c>
      <c r="CW140" t="s">
        <v>863</v>
      </c>
      <c r="CX140" t="s">
        <v>864</v>
      </c>
      <c r="CY140" t="s">
        <v>865</v>
      </c>
      <c r="CZ140" t="s">
        <v>206</v>
      </c>
      <c r="DA140" t="s">
        <v>152</v>
      </c>
      <c r="DB140" t="s">
        <v>491</v>
      </c>
      <c r="DC140" t="s">
        <v>459</v>
      </c>
      <c r="DD140" t="s">
        <v>492</v>
      </c>
      <c r="DE140">
        <v>32460</v>
      </c>
      <c r="DF140">
        <v>-99.205699999999993</v>
      </c>
      <c r="DG140">
        <v>37.695</v>
      </c>
      <c r="DH140">
        <v>5365</v>
      </c>
      <c r="DI140">
        <v>720</v>
      </c>
      <c r="DJ140">
        <v>2333</v>
      </c>
      <c r="DK140">
        <v>114</v>
      </c>
      <c r="DL140">
        <v>10</v>
      </c>
      <c r="DO140">
        <v>50</v>
      </c>
      <c r="DP140">
        <v>0.1</v>
      </c>
      <c r="DQ140">
        <v>1500</v>
      </c>
      <c r="DR140" t="s">
        <v>866</v>
      </c>
      <c r="DS140" t="s">
        <v>867</v>
      </c>
      <c r="DT140">
        <v>1.2500000000000001E-2</v>
      </c>
      <c r="DU140">
        <v>1.2500000000000001E-2</v>
      </c>
      <c r="DV140">
        <v>0.32500000000000001</v>
      </c>
      <c r="DW140">
        <v>0.32500000000000001</v>
      </c>
      <c r="DX140">
        <v>0.32500000000000001</v>
      </c>
      <c r="DY140">
        <v>0</v>
      </c>
      <c r="DZ140" s="4">
        <v>3.4860000000000002</v>
      </c>
      <c r="EA140" s="4" t="s">
        <v>875</v>
      </c>
      <c r="EB140" s="4" t="s">
        <v>876</v>
      </c>
      <c r="EC140">
        <v>4.3070000000000004</v>
      </c>
      <c r="ED140">
        <v>844</v>
      </c>
      <c r="EE140" t="s">
        <v>874</v>
      </c>
      <c r="EF140">
        <v>0.2106785782106308</v>
      </c>
      <c r="EH140">
        <f t="shared" si="5"/>
        <v>0.58000000000000007</v>
      </c>
      <c r="EI140">
        <v>3.38</v>
      </c>
      <c r="EJ140">
        <v>3.65</v>
      </c>
    </row>
    <row r="141" spans="1:140" x14ac:dyDescent="0.35">
      <c r="A141" s="1">
        <v>139</v>
      </c>
      <c r="B141">
        <v>-98.711204315569631</v>
      </c>
      <c r="C141">
        <v>37.55642735392783</v>
      </c>
      <c r="D141" t="s">
        <v>877</v>
      </c>
      <c r="E141">
        <v>0.02</v>
      </c>
      <c r="F141" t="s">
        <v>160</v>
      </c>
      <c r="G141">
        <v>4.8399999999999999E-2</v>
      </c>
      <c r="H141" t="s">
        <v>161</v>
      </c>
      <c r="I141">
        <v>-10988481</v>
      </c>
      <c r="J141">
        <v>4516952</v>
      </c>
      <c r="K141" t="s">
        <v>872</v>
      </c>
      <c r="L141" t="s">
        <v>878</v>
      </c>
      <c r="M141">
        <v>76</v>
      </c>
      <c r="N141">
        <v>3.496</v>
      </c>
      <c r="O141">
        <v>2</v>
      </c>
      <c r="P141">
        <v>4</v>
      </c>
      <c r="Q141">
        <v>20</v>
      </c>
      <c r="R141">
        <v>151</v>
      </c>
      <c r="S141">
        <v>9159</v>
      </c>
      <c r="T141" t="s">
        <v>861</v>
      </c>
      <c r="U141">
        <v>5.7660025051329402</v>
      </c>
      <c r="V141" t="s">
        <v>872</v>
      </c>
      <c r="W141">
        <v>0.11210000000000001</v>
      </c>
      <c r="X141">
        <v>10</v>
      </c>
      <c r="Y141">
        <v>8.9</v>
      </c>
      <c r="Z141">
        <v>8.9</v>
      </c>
      <c r="AA141">
        <v>20</v>
      </c>
      <c r="AB141">
        <v>26</v>
      </c>
      <c r="AC141">
        <v>0.68</v>
      </c>
      <c r="AD141">
        <v>67</v>
      </c>
      <c r="AE141">
        <v>0.1080737444373808</v>
      </c>
      <c r="AF141">
        <v>2.86</v>
      </c>
      <c r="AG141" t="s">
        <v>861</v>
      </c>
      <c r="AH141" t="s">
        <v>872</v>
      </c>
      <c r="AI141">
        <v>27</v>
      </c>
      <c r="AJ141">
        <v>8.9999999999999993E-3</v>
      </c>
      <c r="AK141">
        <v>9</v>
      </c>
      <c r="AL141" t="s">
        <v>879</v>
      </c>
      <c r="AM141">
        <v>27429.770820802802</v>
      </c>
      <c r="AN141">
        <v>1.26</v>
      </c>
      <c r="AO141">
        <v>0.09</v>
      </c>
      <c r="AP141">
        <v>0.19</v>
      </c>
      <c r="AQ141">
        <v>0.97</v>
      </c>
      <c r="AR141">
        <v>0.91</v>
      </c>
      <c r="AS141">
        <v>0.04</v>
      </c>
      <c r="AT141">
        <v>0.01</v>
      </c>
      <c r="AU141">
        <v>0.02</v>
      </c>
      <c r="AV141">
        <v>2.21</v>
      </c>
      <c r="AW141">
        <v>1.22</v>
      </c>
      <c r="AX141">
        <v>0.21</v>
      </c>
      <c r="AY141">
        <v>0.53</v>
      </c>
      <c r="AZ141">
        <v>0</v>
      </c>
      <c r="BA141">
        <v>0.97</v>
      </c>
      <c r="BB141">
        <v>0.08</v>
      </c>
      <c r="BC141">
        <v>0.17</v>
      </c>
      <c r="BD141">
        <v>0.27</v>
      </c>
      <c r="BE141">
        <v>6.83</v>
      </c>
      <c r="BF141">
        <v>6.14</v>
      </c>
      <c r="BG141">
        <v>0.24</v>
      </c>
      <c r="BH141">
        <v>0.45</v>
      </c>
      <c r="BI141">
        <v>0</v>
      </c>
      <c r="BJ141">
        <v>0.04</v>
      </c>
      <c r="BK141">
        <v>6.1</v>
      </c>
      <c r="BL141">
        <v>0</v>
      </c>
      <c r="BM141">
        <v>1.75</v>
      </c>
      <c r="BN141">
        <v>0.21</v>
      </c>
      <c r="BO141">
        <v>0.46</v>
      </c>
      <c r="BP141">
        <v>1.08</v>
      </c>
      <c r="BQ141">
        <v>0.9</v>
      </c>
      <c r="BR141">
        <v>0.06</v>
      </c>
      <c r="BS141">
        <v>0.12</v>
      </c>
      <c r="BT141">
        <v>0</v>
      </c>
      <c r="BU141">
        <v>7.24</v>
      </c>
      <c r="BV141">
        <v>6.18</v>
      </c>
      <c r="BW141">
        <v>0.34</v>
      </c>
      <c r="BX141">
        <v>0.72</v>
      </c>
      <c r="BY141">
        <v>0</v>
      </c>
      <c r="BZ141">
        <v>0.04</v>
      </c>
      <c r="CA141">
        <v>6.14</v>
      </c>
      <c r="CB141">
        <v>0</v>
      </c>
      <c r="CC141">
        <f t="shared" si="4"/>
        <v>2.75</v>
      </c>
      <c r="CD141">
        <v>3.96</v>
      </c>
      <c r="CE141">
        <v>0.34230769230769231</v>
      </c>
      <c r="CF141">
        <v>0.44500000000000001</v>
      </c>
      <c r="CG141">
        <v>0.1492537313432836</v>
      </c>
      <c r="CH141">
        <v>0.23776223776223779</v>
      </c>
      <c r="CI141">
        <v>0</v>
      </c>
      <c r="CJ141">
        <v>26407</v>
      </c>
      <c r="CK141" t="s">
        <v>141</v>
      </c>
      <c r="CL141" t="s">
        <v>880</v>
      </c>
      <c r="CM141" t="s">
        <v>143</v>
      </c>
      <c r="CN141">
        <v>8.0524615863699994E-2</v>
      </c>
      <c r="CO141">
        <v>13.35091895522409</v>
      </c>
      <c r="CP141">
        <v>140</v>
      </c>
      <c r="CQ141" t="s">
        <v>486</v>
      </c>
      <c r="CR141">
        <v>4</v>
      </c>
      <c r="CS141" t="s">
        <v>860</v>
      </c>
      <c r="CT141" t="s">
        <v>486</v>
      </c>
      <c r="CU141" t="s">
        <v>861</v>
      </c>
      <c r="CV141" t="s">
        <v>862</v>
      </c>
      <c r="CW141" t="s">
        <v>863</v>
      </c>
      <c r="CX141" t="s">
        <v>864</v>
      </c>
      <c r="CY141" t="s">
        <v>865</v>
      </c>
      <c r="CZ141" t="s">
        <v>206</v>
      </c>
      <c r="DA141" t="s">
        <v>152</v>
      </c>
      <c r="DB141" t="s">
        <v>491</v>
      </c>
      <c r="DC141" t="s">
        <v>459</v>
      </c>
      <c r="DD141" t="s">
        <v>492</v>
      </c>
      <c r="DE141">
        <v>32460</v>
      </c>
      <c r="DF141">
        <v>-99.205699999999993</v>
      </c>
      <c r="DG141">
        <v>37.695</v>
      </c>
      <c r="DH141">
        <v>5365</v>
      </c>
      <c r="DI141">
        <v>720</v>
      </c>
      <c r="DJ141">
        <v>2333</v>
      </c>
      <c r="DK141">
        <v>114</v>
      </c>
      <c r="DL141">
        <v>10</v>
      </c>
      <c r="DO141">
        <v>50</v>
      </c>
      <c r="DP141">
        <v>0.1</v>
      </c>
      <c r="DQ141">
        <v>1500</v>
      </c>
      <c r="DR141" t="s">
        <v>866</v>
      </c>
      <c r="DS141" t="s">
        <v>867</v>
      </c>
      <c r="DT141">
        <v>1.2500000000000001E-2</v>
      </c>
      <c r="DU141">
        <v>1.2500000000000001E-2</v>
      </c>
      <c r="DV141">
        <v>0.32500000000000001</v>
      </c>
      <c r="DW141">
        <v>0.32500000000000001</v>
      </c>
      <c r="DX141">
        <v>0.32500000000000001</v>
      </c>
      <c r="DY141">
        <v>0</v>
      </c>
      <c r="DZ141" s="4">
        <v>3.4860000000000002</v>
      </c>
      <c r="EA141" s="4" t="s">
        <v>875</v>
      </c>
      <c r="EB141" s="4" t="s">
        <v>876</v>
      </c>
      <c r="EC141">
        <v>4.3070000000000004</v>
      </c>
      <c r="ED141">
        <v>87</v>
      </c>
      <c r="EE141" t="s">
        <v>879</v>
      </c>
      <c r="EF141">
        <v>0.24640566987484011</v>
      </c>
      <c r="EH141">
        <f t="shared" si="5"/>
        <v>0.58000000000000007</v>
      </c>
      <c r="EI141">
        <v>3.38</v>
      </c>
      <c r="EJ141">
        <v>3.65</v>
      </c>
    </row>
    <row r="142" spans="1:140" x14ac:dyDescent="0.35">
      <c r="A142" s="1">
        <v>140</v>
      </c>
      <c r="B142">
        <v>-96.914573747330593</v>
      </c>
      <c r="C142">
        <v>37.55642735392783</v>
      </c>
      <c r="D142" t="s">
        <v>881</v>
      </c>
      <c r="E142">
        <v>0.02</v>
      </c>
      <c r="F142" t="s">
        <v>160</v>
      </c>
      <c r="G142">
        <v>4.8399999999999999E-2</v>
      </c>
      <c r="H142" t="s">
        <v>161</v>
      </c>
      <c r="I142">
        <v>-10788481</v>
      </c>
      <c r="J142">
        <v>4516952</v>
      </c>
      <c r="K142" t="s">
        <v>872</v>
      </c>
      <c r="L142" t="s">
        <v>882</v>
      </c>
      <c r="M142">
        <v>8</v>
      </c>
      <c r="N142">
        <v>3.5710000000000002</v>
      </c>
      <c r="O142">
        <v>2</v>
      </c>
      <c r="P142">
        <v>4</v>
      </c>
      <c r="Q142">
        <v>20</v>
      </c>
      <c r="R142">
        <v>15</v>
      </c>
      <c r="S142">
        <v>67383</v>
      </c>
      <c r="T142" t="s">
        <v>861</v>
      </c>
      <c r="U142">
        <v>5.7660025051329402</v>
      </c>
      <c r="V142" t="s">
        <v>872</v>
      </c>
      <c r="W142">
        <v>0.11210000000000001</v>
      </c>
      <c r="X142">
        <v>10</v>
      </c>
      <c r="Y142">
        <v>8.9</v>
      </c>
      <c r="Z142">
        <v>8.9</v>
      </c>
      <c r="AA142">
        <v>20</v>
      </c>
      <c r="AB142">
        <v>26</v>
      </c>
      <c r="AC142">
        <v>0.68</v>
      </c>
      <c r="AD142">
        <v>67</v>
      </c>
      <c r="AE142">
        <v>0.1080737444373808</v>
      </c>
      <c r="AF142">
        <v>2.86</v>
      </c>
      <c r="AG142" t="s">
        <v>861</v>
      </c>
      <c r="AH142" t="s">
        <v>872</v>
      </c>
      <c r="AI142">
        <v>27</v>
      </c>
      <c r="AJ142">
        <v>8.9999999999999993E-3</v>
      </c>
      <c r="AK142">
        <v>9</v>
      </c>
      <c r="AL142" t="s">
        <v>879</v>
      </c>
      <c r="AM142">
        <v>0</v>
      </c>
      <c r="AN142">
        <v>1.26</v>
      </c>
      <c r="AO142">
        <v>0.09</v>
      </c>
      <c r="AP142">
        <v>0.19</v>
      </c>
      <c r="AQ142">
        <v>0.97</v>
      </c>
      <c r="AR142">
        <v>0.91</v>
      </c>
      <c r="AS142">
        <v>0.04</v>
      </c>
      <c r="AT142">
        <v>0.01</v>
      </c>
      <c r="AU142">
        <v>0.02</v>
      </c>
      <c r="AV142">
        <v>2.21</v>
      </c>
      <c r="AW142">
        <v>1.22</v>
      </c>
      <c r="AX142">
        <v>0.21</v>
      </c>
      <c r="AY142">
        <v>0.53</v>
      </c>
      <c r="AZ142">
        <v>0</v>
      </c>
      <c r="BA142">
        <v>0.97</v>
      </c>
      <c r="BB142">
        <v>0.08</v>
      </c>
      <c r="BC142">
        <v>0.17</v>
      </c>
      <c r="BD142">
        <v>0.27</v>
      </c>
      <c r="BE142">
        <v>6.83</v>
      </c>
      <c r="BF142">
        <v>6.14</v>
      </c>
      <c r="BG142">
        <v>0.24</v>
      </c>
      <c r="BH142">
        <v>0.45</v>
      </c>
      <c r="BI142">
        <v>0</v>
      </c>
      <c r="BJ142">
        <v>0.04</v>
      </c>
      <c r="BK142">
        <v>6.1</v>
      </c>
      <c r="BL142">
        <v>0</v>
      </c>
      <c r="BM142">
        <v>1.75</v>
      </c>
      <c r="BN142">
        <v>0.21</v>
      </c>
      <c r="BO142">
        <v>0.46</v>
      </c>
      <c r="BP142">
        <v>1.08</v>
      </c>
      <c r="BQ142">
        <v>0.9</v>
      </c>
      <c r="BR142">
        <v>0.06</v>
      </c>
      <c r="BS142">
        <v>0.12</v>
      </c>
      <c r="BT142">
        <v>0</v>
      </c>
      <c r="BU142">
        <v>7.24</v>
      </c>
      <c r="BV142">
        <v>6.18</v>
      </c>
      <c r="BW142">
        <v>0.34</v>
      </c>
      <c r="BX142">
        <v>0.72</v>
      </c>
      <c r="BY142">
        <v>0</v>
      </c>
      <c r="BZ142">
        <v>0.04</v>
      </c>
      <c r="CA142">
        <v>6.14</v>
      </c>
      <c r="CB142">
        <v>0</v>
      </c>
      <c r="CC142">
        <f t="shared" si="4"/>
        <v>2.75</v>
      </c>
      <c r="CD142">
        <v>3.96</v>
      </c>
      <c r="CE142">
        <v>0.34230769230769231</v>
      </c>
      <c r="CF142">
        <v>0.44500000000000001</v>
      </c>
      <c r="CG142">
        <v>0.1492537313432836</v>
      </c>
      <c r="CH142">
        <v>0.23776223776223779</v>
      </c>
      <c r="CI142">
        <v>0</v>
      </c>
      <c r="CJ142">
        <v>26213</v>
      </c>
      <c r="CK142" t="s">
        <v>141</v>
      </c>
      <c r="CL142" t="s">
        <v>880</v>
      </c>
      <c r="CM142" t="s">
        <v>143</v>
      </c>
      <c r="CN142">
        <v>6.6976511950100001E-2</v>
      </c>
      <c r="CO142">
        <v>6.5735144381420616</v>
      </c>
      <c r="CP142">
        <v>141</v>
      </c>
      <c r="CQ142" t="s">
        <v>486</v>
      </c>
      <c r="CR142">
        <v>4</v>
      </c>
      <c r="CS142" t="s">
        <v>860</v>
      </c>
      <c r="CT142" t="s">
        <v>486</v>
      </c>
      <c r="CU142" t="s">
        <v>861</v>
      </c>
      <c r="CV142" t="s">
        <v>862</v>
      </c>
      <c r="CW142" t="s">
        <v>863</v>
      </c>
      <c r="CX142" t="s">
        <v>864</v>
      </c>
      <c r="CY142" t="s">
        <v>865</v>
      </c>
      <c r="CZ142" t="s">
        <v>206</v>
      </c>
      <c r="DA142" t="s">
        <v>152</v>
      </c>
      <c r="DB142" t="s">
        <v>491</v>
      </c>
      <c r="DC142" t="s">
        <v>459</v>
      </c>
      <c r="DD142" t="s">
        <v>492</v>
      </c>
      <c r="DE142">
        <v>32460</v>
      </c>
      <c r="DF142">
        <v>-99.205699999999993</v>
      </c>
      <c r="DG142">
        <v>37.695</v>
      </c>
      <c r="DH142">
        <v>5365</v>
      </c>
      <c r="DI142">
        <v>720</v>
      </c>
      <c r="DJ142">
        <v>2333</v>
      </c>
      <c r="DK142">
        <v>114</v>
      </c>
      <c r="DL142">
        <v>10</v>
      </c>
      <c r="DO142">
        <v>50</v>
      </c>
      <c r="DP142">
        <v>0.1</v>
      </c>
      <c r="DQ142">
        <v>1500</v>
      </c>
      <c r="DR142" t="s">
        <v>866</v>
      </c>
      <c r="DS142" t="s">
        <v>867</v>
      </c>
      <c r="DT142">
        <v>1.2500000000000001E-2</v>
      </c>
      <c r="DU142">
        <v>1.2500000000000001E-2</v>
      </c>
      <c r="DV142">
        <v>0.32500000000000001</v>
      </c>
      <c r="DW142">
        <v>0.32500000000000001</v>
      </c>
      <c r="DX142">
        <v>0.32500000000000001</v>
      </c>
      <c r="DY142">
        <v>0</v>
      </c>
      <c r="DZ142" s="4">
        <v>3.4860000000000002</v>
      </c>
      <c r="EA142" s="4" t="s">
        <v>875</v>
      </c>
      <c r="EB142" s="4" t="s">
        <v>876</v>
      </c>
      <c r="EC142">
        <v>4.3070000000000004</v>
      </c>
      <c r="ED142">
        <v>87</v>
      </c>
      <c r="EE142" t="s">
        <v>879</v>
      </c>
      <c r="EF142">
        <v>0</v>
      </c>
      <c r="EH142">
        <f t="shared" si="5"/>
        <v>0.58000000000000007</v>
      </c>
      <c r="EI142">
        <v>3.38</v>
      </c>
      <c r="EJ142">
        <v>3.65</v>
      </c>
    </row>
    <row r="143" spans="1:140" x14ac:dyDescent="0.35">
      <c r="A143" s="1">
        <v>141</v>
      </c>
      <c r="B143">
        <v>-95.11794317909154</v>
      </c>
      <c r="C143">
        <v>37.55642735392783</v>
      </c>
      <c r="D143" t="s">
        <v>883</v>
      </c>
      <c r="E143">
        <v>0.1</v>
      </c>
      <c r="F143" t="s">
        <v>135</v>
      </c>
      <c r="G143">
        <v>4.8399999999999999E-2</v>
      </c>
      <c r="H143" t="s">
        <v>161</v>
      </c>
      <c r="I143">
        <v>-10588481</v>
      </c>
      <c r="J143">
        <v>4516952</v>
      </c>
      <c r="K143" t="s">
        <v>872</v>
      </c>
      <c r="L143" t="s">
        <v>884</v>
      </c>
      <c r="M143">
        <v>67</v>
      </c>
      <c r="N143">
        <v>3.601</v>
      </c>
      <c r="O143">
        <v>2</v>
      </c>
      <c r="P143">
        <v>4</v>
      </c>
      <c r="Q143">
        <v>20</v>
      </c>
      <c r="R143">
        <v>133</v>
      </c>
      <c r="S143">
        <v>15902</v>
      </c>
      <c r="T143" t="s">
        <v>861</v>
      </c>
      <c r="U143">
        <v>5.7660025051329402</v>
      </c>
      <c r="V143" t="s">
        <v>872</v>
      </c>
      <c r="W143">
        <v>0.11210000000000001</v>
      </c>
      <c r="X143">
        <v>10</v>
      </c>
      <c r="Y143">
        <v>8.9</v>
      </c>
      <c r="Z143">
        <v>8.9</v>
      </c>
      <c r="AA143">
        <v>20</v>
      </c>
      <c r="AB143">
        <v>26</v>
      </c>
      <c r="AC143">
        <v>0.68</v>
      </c>
      <c r="AD143">
        <v>67</v>
      </c>
      <c r="AE143">
        <v>0.1080737444373808</v>
      </c>
      <c r="AF143">
        <v>2.86</v>
      </c>
      <c r="AG143" t="s">
        <v>861</v>
      </c>
      <c r="AH143" t="s">
        <v>872</v>
      </c>
      <c r="AI143">
        <v>27</v>
      </c>
      <c r="AJ143">
        <v>8.9999999999999993E-3</v>
      </c>
      <c r="AK143">
        <v>9</v>
      </c>
      <c r="AL143" t="s">
        <v>885</v>
      </c>
      <c r="AM143">
        <v>3279.5797289533998</v>
      </c>
      <c r="AN143">
        <v>1.26</v>
      </c>
      <c r="AO143">
        <v>0.09</v>
      </c>
      <c r="AP143">
        <v>0.19</v>
      </c>
      <c r="AQ143">
        <v>0.97</v>
      </c>
      <c r="AR143">
        <v>0.91</v>
      </c>
      <c r="AS143">
        <v>0.04</v>
      </c>
      <c r="AT143">
        <v>0.01</v>
      </c>
      <c r="AU143">
        <v>0.02</v>
      </c>
      <c r="AV143">
        <v>2.21</v>
      </c>
      <c r="AW143">
        <v>1.22</v>
      </c>
      <c r="AX143">
        <v>0.21</v>
      </c>
      <c r="AY143">
        <v>0.53</v>
      </c>
      <c r="AZ143">
        <v>0</v>
      </c>
      <c r="BA143">
        <v>0.97</v>
      </c>
      <c r="BB143">
        <v>0.08</v>
      </c>
      <c r="BC143">
        <v>0.17</v>
      </c>
      <c r="BD143">
        <v>0.27</v>
      </c>
      <c r="BE143">
        <v>6.83</v>
      </c>
      <c r="BF143">
        <v>6.14</v>
      </c>
      <c r="BG143">
        <v>0.24</v>
      </c>
      <c r="BH143">
        <v>0.45</v>
      </c>
      <c r="BI143">
        <v>0</v>
      </c>
      <c r="BJ143">
        <v>0.04</v>
      </c>
      <c r="BK143">
        <v>6.1</v>
      </c>
      <c r="BL143">
        <v>0</v>
      </c>
      <c r="BM143">
        <v>1.75</v>
      </c>
      <c r="BN143">
        <v>0.21</v>
      </c>
      <c r="BO143">
        <v>0.46</v>
      </c>
      <c r="BP143">
        <v>1.08</v>
      </c>
      <c r="BQ143">
        <v>0.9</v>
      </c>
      <c r="BR143">
        <v>0.06</v>
      </c>
      <c r="BS143">
        <v>0.12</v>
      </c>
      <c r="BT143">
        <v>0</v>
      </c>
      <c r="BU143">
        <v>7.24</v>
      </c>
      <c r="BV143">
        <v>6.18</v>
      </c>
      <c r="BW143">
        <v>0.34</v>
      </c>
      <c r="BX143">
        <v>0.72</v>
      </c>
      <c r="BY143">
        <v>0</v>
      </c>
      <c r="BZ143">
        <v>0.04</v>
      </c>
      <c r="CA143">
        <v>6.14</v>
      </c>
      <c r="CB143">
        <v>0</v>
      </c>
      <c r="CC143">
        <f t="shared" si="4"/>
        <v>2.75</v>
      </c>
      <c r="CD143">
        <v>3.96</v>
      </c>
      <c r="CE143">
        <v>0.34230769230769231</v>
      </c>
      <c r="CF143">
        <v>0.44500000000000001</v>
      </c>
      <c r="CG143">
        <v>0.1492537313432836</v>
      </c>
      <c r="CH143">
        <v>0.23776223776223779</v>
      </c>
      <c r="CI143">
        <v>0</v>
      </c>
      <c r="CJ143">
        <v>26221</v>
      </c>
      <c r="CK143" t="s">
        <v>141</v>
      </c>
      <c r="CL143" t="s">
        <v>880</v>
      </c>
      <c r="CM143" t="s">
        <v>143</v>
      </c>
      <c r="CN143">
        <v>6.1800011909400002E-2</v>
      </c>
      <c r="CO143">
        <v>11.757191877617769</v>
      </c>
      <c r="CP143">
        <v>142</v>
      </c>
      <c r="CQ143" t="s">
        <v>758</v>
      </c>
      <c r="CR143">
        <v>1</v>
      </c>
      <c r="CS143" t="s">
        <v>485</v>
      </c>
      <c r="CT143" t="s">
        <v>486</v>
      </c>
      <c r="CU143" t="s">
        <v>487</v>
      </c>
      <c r="CV143" t="s">
        <v>488</v>
      </c>
      <c r="CW143" t="s">
        <v>489</v>
      </c>
      <c r="CX143" t="s">
        <v>490</v>
      </c>
      <c r="CY143" t="s">
        <v>490</v>
      </c>
      <c r="CZ143" t="s">
        <v>206</v>
      </c>
      <c r="DA143" t="s">
        <v>152</v>
      </c>
      <c r="DB143" t="s">
        <v>491</v>
      </c>
      <c r="DC143" t="s">
        <v>459</v>
      </c>
      <c r="DD143" t="s">
        <v>492</v>
      </c>
      <c r="DE143">
        <v>10229</v>
      </c>
      <c r="DF143">
        <v>-98.554415000000006</v>
      </c>
      <c r="DG143">
        <v>36.399382000000003</v>
      </c>
      <c r="DH143">
        <v>6562</v>
      </c>
      <c r="DI143">
        <v>572</v>
      </c>
      <c r="DJ143">
        <v>2640</v>
      </c>
      <c r="DK143">
        <v>139</v>
      </c>
      <c r="DL143">
        <v>10</v>
      </c>
      <c r="DO143">
        <v>50</v>
      </c>
      <c r="DR143">
        <v>150000</v>
      </c>
      <c r="DS143">
        <v>42</v>
      </c>
      <c r="DT143">
        <v>1.2500000000000001E-2</v>
      </c>
      <c r="DU143">
        <v>1.2500000000000001E-2</v>
      </c>
      <c r="DV143">
        <v>0.32500000000000001</v>
      </c>
      <c r="DW143">
        <v>0.32500000000000001</v>
      </c>
      <c r="DX143">
        <v>0.32500000000000001</v>
      </c>
      <c r="DY143">
        <v>48.426259657805993</v>
      </c>
      <c r="DZ143" s="4">
        <v>3.4860000000000002</v>
      </c>
      <c r="EA143" s="4" t="s">
        <v>875</v>
      </c>
      <c r="EB143" s="4" t="s">
        <v>876</v>
      </c>
      <c r="EC143">
        <v>4.3070000000000004</v>
      </c>
      <c r="ED143">
        <v>523</v>
      </c>
      <c r="EE143" t="s">
        <v>885</v>
      </c>
      <c r="EF143">
        <v>2.946094966707968E-2</v>
      </c>
      <c r="EH143">
        <f t="shared" si="5"/>
        <v>0.58000000000000007</v>
      </c>
      <c r="EI143">
        <v>3.38</v>
      </c>
      <c r="EJ143">
        <v>3.65</v>
      </c>
    </row>
    <row r="144" spans="1:140" x14ac:dyDescent="0.35">
      <c r="A144" s="1">
        <v>142</v>
      </c>
      <c r="B144">
        <v>-93.321312610852502</v>
      </c>
      <c r="C144">
        <v>37.55642735392783</v>
      </c>
      <c r="D144" t="s">
        <v>886</v>
      </c>
      <c r="E144">
        <v>0.1</v>
      </c>
      <c r="F144" t="s">
        <v>306</v>
      </c>
      <c r="G144">
        <v>4.8399999999999999E-2</v>
      </c>
      <c r="H144" t="s">
        <v>161</v>
      </c>
      <c r="I144">
        <v>-10388481</v>
      </c>
      <c r="J144">
        <v>4516952</v>
      </c>
      <c r="K144" t="s">
        <v>770</v>
      </c>
      <c r="L144" t="s">
        <v>887</v>
      </c>
      <c r="M144">
        <v>84</v>
      </c>
      <c r="N144">
        <v>3.4670000000000001</v>
      </c>
      <c r="O144">
        <v>2</v>
      </c>
      <c r="P144">
        <v>4</v>
      </c>
      <c r="Q144">
        <v>29</v>
      </c>
      <c r="R144">
        <v>167</v>
      </c>
      <c r="S144">
        <v>31521</v>
      </c>
      <c r="T144" t="s">
        <v>772</v>
      </c>
      <c r="U144">
        <v>7.9601135439951216</v>
      </c>
      <c r="V144" t="s">
        <v>770</v>
      </c>
      <c r="W144">
        <v>0.1106</v>
      </c>
      <c r="X144">
        <v>10</v>
      </c>
      <c r="Y144">
        <v>8.9</v>
      </c>
      <c r="Z144">
        <v>8.9</v>
      </c>
      <c r="AA144">
        <v>20</v>
      </c>
      <c r="AB144">
        <v>26</v>
      </c>
      <c r="AC144">
        <v>1.456</v>
      </c>
      <c r="AD144">
        <v>67</v>
      </c>
      <c r="AE144">
        <v>0.23140495867768601</v>
      </c>
      <c r="AF144">
        <v>2.86</v>
      </c>
      <c r="AG144" t="s">
        <v>772</v>
      </c>
      <c r="AH144" t="s">
        <v>770</v>
      </c>
      <c r="AI144">
        <v>39</v>
      </c>
      <c r="AJ144">
        <v>1.2999999999999999E-2</v>
      </c>
      <c r="AK144">
        <v>13</v>
      </c>
      <c r="AL144" t="s">
        <v>888</v>
      </c>
      <c r="AM144">
        <v>0</v>
      </c>
      <c r="AN144">
        <v>1.6</v>
      </c>
      <c r="AO144">
        <v>0.09</v>
      </c>
      <c r="AP144">
        <v>0.19</v>
      </c>
      <c r="AQ144">
        <v>1.32</v>
      </c>
      <c r="AR144">
        <v>1.26</v>
      </c>
      <c r="AS144">
        <v>0.04</v>
      </c>
      <c r="AT144">
        <v>0.01</v>
      </c>
      <c r="AU144">
        <v>0.02</v>
      </c>
      <c r="AV144">
        <v>2.58</v>
      </c>
      <c r="AW144">
        <v>1.58</v>
      </c>
      <c r="AX144">
        <v>0.21</v>
      </c>
      <c r="AY144">
        <v>0.53</v>
      </c>
      <c r="AZ144">
        <v>0</v>
      </c>
      <c r="BA144">
        <v>1.34</v>
      </c>
      <c r="BB144">
        <v>0.08</v>
      </c>
      <c r="BC144">
        <v>0.17</v>
      </c>
      <c r="BD144">
        <v>0.27</v>
      </c>
      <c r="BE144">
        <v>6.83</v>
      </c>
      <c r="BF144">
        <v>6.14</v>
      </c>
      <c r="BG144">
        <v>0.24</v>
      </c>
      <c r="BH144">
        <v>0.45</v>
      </c>
      <c r="BI144">
        <v>0</v>
      </c>
      <c r="BJ144">
        <v>0.04</v>
      </c>
      <c r="BK144">
        <v>6.1</v>
      </c>
      <c r="BL144">
        <v>0</v>
      </c>
      <c r="BM144">
        <v>2.09</v>
      </c>
      <c r="BN144">
        <v>0.21</v>
      </c>
      <c r="BO144">
        <v>0.46</v>
      </c>
      <c r="BP144">
        <v>1.42</v>
      </c>
      <c r="BQ144">
        <v>1.24</v>
      </c>
      <c r="BR144">
        <v>0.06</v>
      </c>
      <c r="BS144">
        <v>0.12</v>
      </c>
      <c r="BT144">
        <v>0</v>
      </c>
      <c r="BU144">
        <v>7.24</v>
      </c>
      <c r="BV144">
        <v>6.18</v>
      </c>
      <c r="BW144">
        <v>0.34</v>
      </c>
      <c r="BX144">
        <v>0.72</v>
      </c>
      <c r="BY144">
        <v>0</v>
      </c>
      <c r="BZ144">
        <v>0.04</v>
      </c>
      <c r="CA144">
        <v>6.14</v>
      </c>
      <c r="CB144">
        <v>0</v>
      </c>
      <c r="CC144">
        <f t="shared" si="4"/>
        <v>2.75</v>
      </c>
      <c r="CD144">
        <v>3.96</v>
      </c>
      <c r="CE144">
        <v>0.34230769230769231</v>
      </c>
      <c r="CF144">
        <v>0.44500000000000001</v>
      </c>
      <c r="CG144">
        <v>0.1492537313432836</v>
      </c>
      <c r="CH144">
        <v>0.50909090909090915</v>
      </c>
      <c r="CI144">
        <v>0</v>
      </c>
      <c r="CJ144">
        <v>26242</v>
      </c>
      <c r="CK144" t="s">
        <v>141</v>
      </c>
      <c r="CL144" t="s">
        <v>880</v>
      </c>
      <c r="CM144" t="s">
        <v>143</v>
      </c>
      <c r="CN144">
        <v>0.12240035733600001</v>
      </c>
      <c r="CO144">
        <v>26.50886492772598</v>
      </c>
      <c r="CP144">
        <v>143</v>
      </c>
      <c r="CQ144" t="s">
        <v>758</v>
      </c>
      <c r="CR144">
        <v>1</v>
      </c>
      <c r="CS144" t="s">
        <v>485</v>
      </c>
      <c r="CT144" t="s">
        <v>486</v>
      </c>
      <c r="CU144" t="s">
        <v>487</v>
      </c>
      <c r="CV144" t="s">
        <v>488</v>
      </c>
      <c r="CW144" t="s">
        <v>489</v>
      </c>
      <c r="CX144" t="s">
        <v>490</v>
      </c>
      <c r="CY144" t="s">
        <v>490</v>
      </c>
      <c r="CZ144" t="s">
        <v>206</v>
      </c>
      <c r="DA144" t="s">
        <v>152</v>
      </c>
      <c r="DB144" t="s">
        <v>491</v>
      </c>
      <c r="DC144" t="s">
        <v>459</v>
      </c>
      <c r="DD144" t="s">
        <v>492</v>
      </c>
      <c r="DE144">
        <v>10229</v>
      </c>
      <c r="DF144">
        <v>-98.554415000000006</v>
      </c>
      <c r="DG144">
        <v>36.399382000000003</v>
      </c>
      <c r="DH144">
        <v>6562</v>
      </c>
      <c r="DI144">
        <v>572</v>
      </c>
      <c r="DJ144">
        <v>2640</v>
      </c>
      <c r="DK144">
        <v>139</v>
      </c>
      <c r="DL144">
        <v>10</v>
      </c>
      <c r="DO144">
        <v>50</v>
      </c>
      <c r="DR144">
        <v>150000</v>
      </c>
      <c r="DS144">
        <v>42</v>
      </c>
      <c r="DT144">
        <v>1.2500000000000001E-2</v>
      </c>
      <c r="DU144">
        <v>1.2500000000000001E-2</v>
      </c>
      <c r="DV144">
        <v>0.32500000000000001</v>
      </c>
      <c r="DW144">
        <v>0.32500000000000001</v>
      </c>
      <c r="DX144">
        <v>0.32500000000000001</v>
      </c>
      <c r="DY144">
        <v>111.3034280628378</v>
      </c>
      <c r="DZ144" s="4">
        <v>3.5070000000000001</v>
      </c>
      <c r="EA144" s="4" t="s">
        <v>780</v>
      </c>
      <c r="EB144" s="4" t="s">
        <v>781</v>
      </c>
      <c r="EC144">
        <v>4.2930000000000001</v>
      </c>
      <c r="ED144">
        <v>444</v>
      </c>
      <c r="EE144" t="s">
        <v>888</v>
      </c>
      <c r="EF144">
        <v>0</v>
      </c>
      <c r="EH144">
        <f t="shared" si="5"/>
        <v>0.58000000000000007</v>
      </c>
      <c r="EI144">
        <v>3.38</v>
      </c>
      <c r="EJ144">
        <v>3.65</v>
      </c>
    </row>
    <row r="145" spans="1:140" x14ac:dyDescent="0.35">
      <c r="A145" s="1">
        <v>143</v>
      </c>
      <c r="B145">
        <v>-91.524682042613449</v>
      </c>
      <c r="C145">
        <v>37.55642735392783</v>
      </c>
      <c r="D145" t="s">
        <v>889</v>
      </c>
      <c r="E145">
        <v>0.1</v>
      </c>
      <c r="F145" t="s">
        <v>135</v>
      </c>
      <c r="G145">
        <v>8.8000000000000009E-2</v>
      </c>
      <c r="H145" t="s">
        <v>161</v>
      </c>
      <c r="I145">
        <v>-10188481</v>
      </c>
      <c r="J145">
        <v>4516952</v>
      </c>
      <c r="K145" t="s">
        <v>770</v>
      </c>
      <c r="L145" t="s">
        <v>890</v>
      </c>
      <c r="M145">
        <v>33</v>
      </c>
      <c r="N145">
        <v>3.528</v>
      </c>
      <c r="O145">
        <v>2</v>
      </c>
      <c r="P145">
        <v>4</v>
      </c>
      <c r="Q145">
        <v>29</v>
      </c>
      <c r="R145">
        <v>65</v>
      </c>
      <c r="S145">
        <v>14419</v>
      </c>
      <c r="T145" t="s">
        <v>772</v>
      </c>
      <c r="U145">
        <v>7.9601135439951216</v>
      </c>
      <c r="V145" t="s">
        <v>770</v>
      </c>
      <c r="W145">
        <v>0.1106</v>
      </c>
      <c r="X145">
        <v>10</v>
      </c>
      <c r="Y145">
        <v>8.9</v>
      </c>
      <c r="Z145">
        <v>8.9</v>
      </c>
      <c r="AA145">
        <v>20</v>
      </c>
      <c r="AB145">
        <v>26</v>
      </c>
      <c r="AC145">
        <v>1.456</v>
      </c>
      <c r="AD145">
        <v>67</v>
      </c>
      <c r="AE145">
        <v>0.23140495867768601</v>
      </c>
      <c r="AF145">
        <v>2.86</v>
      </c>
      <c r="AG145" t="s">
        <v>772</v>
      </c>
      <c r="AH145" t="s">
        <v>770</v>
      </c>
      <c r="AI145">
        <v>39</v>
      </c>
      <c r="AJ145">
        <v>1.2999999999999999E-2</v>
      </c>
      <c r="AK145">
        <v>13</v>
      </c>
      <c r="AL145" t="s">
        <v>891</v>
      </c>
      <c r="AM145">
        <v>32217.994002594649</v>
      </c>
      <c r="AN145">
        <v>1.6</v>
      </c>
      <c r="AO145">
        <v>0.09</v>
      </c>
      <c r="AP145">
        <v>0.19</v>
      </c>
      <c r="AQ145">
        <v>1.32</v>
      </c>
      <c r="AR145">
        <v>1.26</v>
      </c>
      <c r="AS145">
        <v>0.04</v>
      </c>
      <c r="AT145">
        <v>0.01</v>
      </c>
      <c r="AU145">
        <v>0.02</v>
      </c>
      <c r="AV145">
        <v>2.58</v>
      </c>
      <c r="AW145">
        <v>1.58</v>
      </c>
      <c r="AX145">
        <v>0.21</v>
      </c>
      <c r="AY145">
        <v>0.53</v>
      </c>
      <c r="AZ145">
        <v>0</v>
      </c>
      <c r="BA145">
        <v>1.34</v>
      </c>
      <c r="BB145">
        <v>0.08</v>
      </c>
      <c r="BC145">
        <v>0.17</v>
      </c>
      <c r="BD145">
        <v>0.27</v>
      </c>
      <c r="BE145">
        <v>6.83</v>
      </c>
      <c r="BF145">
        <v>6.14</v>
      </c>
      <c r="BG145">
        <v>0.24</v>
      </c>
      <c r="BH145">
        <v>0.45</v>
      </c>
      <c r="BI145">
        <v>0</v>
      </c>
      <c r="BJ145">
        <v>0.04</v>
      </c>
      <c r="BK145">
        <v>6.1</v>
      </c>
      <c r="BL145">
        <v>0</v>
      </c>
      <c r="BM145">
        <v>2.09</v>
      </c>
      <c r="BN145">
        <v>0.21</v>
      </c>
      <c r="BO145">
        <v>0.46</v>
      </c>
      <c r="BP145">
        <v>1.42</v>
      </c>
      <c r="BQ145">
        <v>1.24</v>
      </c>
      <c r="BR145">
        <v>0.06</v>
      </c>
      <c r="BS145">
        <v>0.12</v>
      </c>
      <c r="BT145">
        <v>0</v>
      </c>
      <c r="BU145">
        <v>7.24</v>
      </c>
      <c r="BV145">
        <v>6.18</v>
      </c>
      <c r="BW145">
        <v>0.34</v>
      </c>
      <c r="BX145">
        <v>0.72</v>
      </c>
      <c r="BY145">
        <v>0</v>
      </c>
      <c r="BZ145">
        <v>0.04</v>
      </c>
      <c r="CA145">
        <v>6.14</v>
      </c>
      <c r="CB145">
        <v>0</v>
      </c>
      <c r="CC145">
        <f t="shared" si="4"/>
        <v>2.75</v>
      </c>
      <c r="CD145">
        <v>3.96</v>
      </c>
      <c r="CE145">
        <v>0.34230769230769231</v>
      </c>
      <c r="CF145">
        <v>0.44500000000000001</v>
      </c>
      <c r="CG145">
        <v>0.1492537313432836</v>
      </c>
      <c r="CH145">
        <v>0.50909090909090915</v>
      </c>
      <c r="CI145">
        <v>0</v>
      </c>
      <c r="CJ145">
        <v>10791</v>
      </c>
      <c r="CK145" t="s">
        <v>169</v>
      </c>
      <c r="CL145" t="s">
        <v>892</v>
      </c>
      <c r="CM145" t="s">
        <v>143</v>
      </c>
      <c r="CN145">
        <v>0.27182608022400001</v>
      </c>
      <c r="CO145">
        <v>38.008109195689578</v>
      </c>
      <c r="CP145">
        <v>144</v>
      </c>
      <c r="CQ145" t="s">
        <v>774</v>
      </c>
      <c r="CR145">
        <v>93</v>
      </c>
      <c r="CS145" t="s">
        <v>775</v>
      </c>
      <c r="CT145" t="s">
        <v>639</v>
      </c>
      <c r="CU145" t="s">
        <v>776</v>
      </c>
      <c r="CV145" t="s">
        <v>777</v>
      </c>
      <c r="CW145" t="s">
        <v>642</v>
      </c>
      <c r="CX145" t="s">
        <v>778</v>
      </c>
      <c r="CY145" t="s">
        <v>779</v>
      </c>
      <c r="CZ145" t="s">
        <v>645</v>
      </c>
      <c r="DA145" t="s">
        <v>152</v>
      </c>
      <c r="DB145" t="s">
        <v>491</v>
      </c>
      <c r="DC145" t="s">
        <v>459</v>
      </c>
      <c r="DD145" t="s">
        <v>492</v>
      </c>
      <c r="DE145">
        <v>5560</v>
      </c>
      <c r="DF145">
        <v>-88.498699999999999</v>
      </c>
      <c r="DG145">
        <v>38.153100000000002</v>
      </c>
      <c r="DH145">
        <v>7300</v>
      </c>
      <c r="DI145">
        <v>600</v>
      </c>
      <c r="DL145">
        <v>3.5</v>
      </c>
      <c r="DM145">
        <v>4</v>
      </c>
      <c r="DN145">
        <v>4</v>
      </c>
      <c r="DO145">
        <v>65</v>
      </c>
      <c r="DP145">
        <v>1</v>
      </c>
      <c r="DQ145">
        <v>400</v>
      </c>
      <c r="DR145">
        <v>140000</v>
      </c>
      <c r="DS145">
        <v>60</v>
      </c>
      <c r="DT145">
        <v>1.2500000000000001E-2</v>
      </c>
      <c r="DU145">
        <v>1.2500000000000001E-2</v>
      </c>
      <c r="DV145">
        <v>0.32500000000000001</v>
      </c>
      <c r="DW145">
        <v>0.32500000000000001</v>
      </c>
      <c r="DX145">
        <v>0.32500000000000001</v>
      </c>
      <c r="DY145">
        <v>99.277821051835289</v>
      </c>
      <c r="DZ145" s="4">
        <v>3.5070000000000001</v>
      </c>
      <c r="EA145" s="4" t="s">
        <v>780</v>
      </c>
      <c r="EB145" s="4" t="s">
        <v>781</v>
      </c>
      <c r="EC145">
        <v>4.2930000000000001</v>
      </c>
      <c r="ED145">
        <v>682</v>
      </c>
      <c r="EE145" t="s">
        <v>891</v>
      </c>
      <c r="EF145">
        <v>0.23259804835400161</v>
      </c>
      <c r="EH145">
        <f t="shared" si="5"/>
        <v>0.58000000000000007</v>
      </c>
      <c r="EI145">
        <v>3.38</v>
      </c>
      <c r="EJ145">
        <v>3.65</v>
      </c>
    </row>
    <row r="146" spans="1:140" x14ac:dyDescent="0.35">
      <c r="A146" s="1">
        <v>144</v>
      </c>
      <c r="B146">
        <v>-89.728051474374411</v>
      </c>
      <c r="C146">
        <v>37.55642735392783</v>
      </c>
      <c r="D146" t="s">
        <v>893</v>
      </c>
      <c r="E146">
        <v>0.1</v>
      </c>
      <c r="F146" t="s">
        <v>135</v>
      </c>
      <c r="G146">
        <v>8.8000000000000009E-2</v>
      </c>
      <c r="H146" t="s">
        <v>161</v>
      </c>
      <c r="I146">
        <v>-9988481</v>
      </c>
      <c r="J146">
        <v>4516952</v>
      </c>
      <c r="K146" t="s">
        <v>770</v>
      </c>
      <c r="L146" t="s">
        <v>894</v>
      </c>
      <c r="M146">
        <v>16</v>
      </c>
      <c r="N146">
        <v>3.581</v>
      </c>
      <c r="O146">
        <v>2</v>
      </c>
      <c r="P146">
        <v>4</v>
      </c>
      <c r="Q146">
        <v>29</v>
      </c>
      <c r="R146">
        <v>31</v>
      </c>
      <c r="S146">
        <v>81707</v>
      </c>
      <c r="T146" t="s">
        <v>772</v>
      </c>
      <c r="U146">
        <v>7.9601135439951216</v>
      </c>
      <c r="V146" t="s">
        <v>770</v>
      </c>
      <c r="W146">
        <v>0.1106</v>
      </c>
      <c r="X146">
        <v>10</v>
      </c>
      <c r="Y146">
        <v>8.9</v>
      </c>
      <c r="Z146">
        <v>8.9</v>
      </c>
      <c r="AA146">
        <v>20</v>
      </c>
      <c r="AB146">
        <v>26</v>
      </c>
      <c r="AC146">
        <v>1.456</v>
      </c>
      <c r="AD146">
        <v>67</v>
      </c>
      <c r="AE146">
        <v>0.23140495867768601</v>
      </c>
      <c r="AF146">
        <v>2.86</v>
      </c>
      <c r="AG146" t="s">
        <v>772</v>
      </c>
      <c r="AH146" t="s">
        <v>770</v>
      </c>
      <c r="AI146">
        <v>39</v>
      </c>
      <c r="AJ146">
        <v>1.2999999999999999E-2</v>
      </c>
      <c r="AK146">
        <v>13</v>
      </c>
      <c r="AL146" t="s">
        <v>895</v>
      </c>
      <c r="AM146">
        <v>0</v>
      </c>
      <c r="AN146">
        <v>1.6</v>
      </c>
      <c r="AO146">
        <v>0.09</v>
      </c>
      <c r="AP146">
        <v>0.19</v>
      </c>
      <c r="AQ146">
        <v>1.32</v>
      </c>
      <c r="AR146">
        <v>1.26</v>
      </c>
      <c r="AS146">
        <v>0.04</v>
      </c>
      <c r="AT146">
        <v>0.01</v>
      </c>
      <c r="AU146">
        <v>0.02</v>
      </c>
      <c r="AV146">
        <v>2.58</v>
      </c>
      <c r="AW146">
        <v>1.58</v>
      </c>
      <c r="AX146">
        <v>0.21</v>
      </c>
      <c r="AY146">
        <v>0.53</v>
      </c>
      <c r="AZ146">
        <v>0</v>
      </c>
      <c r="BA146">
        <v>1.34</v>
      </c>
      <c r="BB146">
        <v>0.08</v>
      </c>
      <c r="BC146">
        <v>0.17</v>
      </c>
      <c r="BD146">
        <v>0.27</v>
      </c>
      <c r="BE146">
        <v>6.83</v>
      </c>
      <c r="BF146">
        <v>6.14</v>
      </c>
      <c r="BG146">
        <v>0.24</v>
      </c>
      <c r="BH146">
        <v>0.45</v>
      </c>
      <c r="BI146">
        <v>0</v>
      </c>
      <c r="BJ146">
        <v>0.04</v>
      </c>
      <c r="BK146">
        <v>6.1</v>
      </c>
      <c r="BL146">
        <v>0</v>
      </c>
      <c r="BM146">
        <v>2.09</v>
      </c>
      <c r="BN146">
        <v>0.21</v>
      </c>
      <c r="BO146">
        <v>0.46</v>
      </c>
      <c r="BP146">
        <v>1.42</v>
      </c>
      <c r="BQ146">
        <v>1.24</v>
      </c>
      <c r="BR146">
        <v>0.06</v>
      </c>
      <c r="BS146">
        <v>0.12</v>
      </c>
      <c r="BT146">
        <v>0</v>
      </c>
      <c r="BU146">
        <v>7.24</v>
      </c>
      <c r="BV146">
        <v>6.18</v>
      </c>
      <c r="BW146">
        <v>0.34</v>
      </c>
      <c r="BX146">
        <v>0.72</v>
      </c>
      <c r="BY146">
        <v>0</v>
      </c>
      <c r="BZ146">
        <v>0.04</v>
      </c>
      <c r="CA146">
        <v>6.14</v>
      </c>
      <c r="CB146">
        <v>0</v>
      </c>
      <c r="CC146">
        <f t="shared" si="4"/>
        <v>2.75</v>
      </c>
      <c r="CD146">
        <v>3.96</v>
      </c>
      <c r="CE146">
        <v>0.34230769230769231</v>
      </c>
      <c r="CF146">
        <v>0.44500000000000001</v>
      </c>
      <c r="CG146">
        <v>0.1492537313432836</v>
      </c>
      <c r="CH146">
        <v>0.50909090909090915</v>
      </c>
      <c r="CI146">
        <v>0</v>
      </c>
      <c r="CJ146">
        <v>11983</v>
      </c>
      <c r="CK146" t="s">
        <v>141</v>
      </c>
      <c r="CL146" t="s">
        <v>896</v>
      </c>
      <c r="CM146" t="s">
        <v>143</v>
      </c>
      <c r="CN146">
        <v>0.30892934575999997</v>
      </c>
      <c r="CO146">
        <v>3.552987397719928</v>
      </c>
      <c r="CP146">
        <v>145</v>
      </c>
      <c r="CQ146" t="s">
        <v>774</v>
      </c>
      <c r="CR146">
        <v>93</v>
      </c>
      <c r="CS146" t="s">
        <v>775</v>
      </c>
      <c r="CT146" t="s">
        <v>639</v>
      </c>
      <c r="CU146" t="s">
        <v>776</v>
      </c>
      <c r="CV146" t="s">
        <v>777</v>
      </c>
      <c r="CW146" t="s">
        <v>642</v>
      </c>
      <c r="CX146" t="s">
        <v>778</v>
      </c>
      <c r="CY146" t="s">
        <v>779</v>
      </c>
      <c r="CZ146" t="s">
        <v>645</v>
      </c>
      <c r="DA146" t="s">
        <v>152</v>
      </c>
      <c r="DB146" t="s">
        <v>491</v>
      </c>
      <c r="DC146" t="s">
        <v>459</v>
      </c>
      <c r="DD146" t="s">
        <v>492</v>
      </c>
      <c r="DE146">
        <v>5560</v>
      </c>
      <c r="DF146">
        <v>-88.498699999999999</v>
      </c>
      <c r="DG146">
        <v>38.153100000000002</v>
      </c>
      <c r="DH146">
        <v>7300</v>
      </c>
      <c r="DI146">
        <v>600</v>
      </c>
      <c r="DL146">
        <v>3.5</v>
      </c>
      <c r="DM146">
        <v>4</v>
      </c>
      <c r="DN146">
        <v>4</v>
      </c>
      <c r="DO146">
        <v>65</v>
      </c>
      <c r="DP146">
        <v>1</v>
      </c>
      <c r="DQ146">
        <v>400</v>
      </c>
      <c r="DR146">
        <v>140000</v>
      </c>
      <c r="DS146">
        <v>60</v>
      </c>
      <c r="DT146">
        <v>1.2500000000000001E-2</v>
      </c>
      <c r="DU146">
        <v>1.2500000000000001E-2</v>
      </c>
      <c r="DV146">
        <v>0.32500000000000001</v>
      </c>
      <c r="DW146">
        <v>0.32500000000000001</v>
      </c>
      <c r="DX146">
        <v>0.32500000000000001</v>
      </c>
      <c r="DY146">
        <v>14.25924999347383</v>
      </c>
      <c r="DZ146" s="4">
        <v>3.5070000000000001</v>
      </c>
      <c r="EA146" s="4" t="s">
        <v>780</v>
      </c>
      <c r="EB146" s="4" t="s">
        <v>781</v>
      </c>
      <c r="EC146">
        <v>4.2930000000000001</v>
      </c>
      <c r="ED146">
        <v>368</v>
      </c>
      <c r="EE146" t="s">
        <v>895</v>
      </c>
      <c r="EF146">
        <v>0</v>
      </c>
      <c r="EH146">
        <f t="shared" si="5"/>
        <v>0.58000000000000007</v>
      </c>
      <c r="EI146">
        <v>3.38</v>
      </c>
      <c r="EJ146">
        <v>3.65</v>
      </c>
    </row>
    <row r="147" spans="1:140" x14ac:dyDescent="0.35">
      <c r="A147" s="1">
        <v>145</v>
      </c>
      <c r="B147">
        <v>-87.931420906135358</v>
      </c>
      <c r="C147">
        <v>37.55642735392783</v>
      </c>
      <c r="D147" t="s">
        <v>897</v>
      </c>
      <c r="E147">
        <v>0.02</v>
      </c>
      <c r="F147" t="s">
        <v>160</v>
      </c>
      <c r="G147">
        <v>8.8000000000000009E-2</v>
      </c>
      <c r="H147" t="s">
        <v>161</v>
      </c>
      <c r="I147">
        <v>-9788481</v>
      </c>
      <c r="J147">
        <v>4516952</v>
      </c>
      <c r="K147" t="s">
        <v>898</v>
      </c>
      <c r="L147" t="s">
        <v>899</v>
      </c>
      <c r="M147">
        <v>113</v>
      </c>
      <c r="N147">
        <v>3.512</v>
      </c>
      <c r="O147">
        <v>3</v>
      </c>
      <c r="P147">
        <v>6</v>
      </c>
      <c r="Q147">
        <v>21</v>
      </c>
      <c r="R147">
        <v>225</v>
      </c>
      <c r="S147">
        <v>13670</v>
      </c>
      <c r="T147" t="s">
        <v>640</v>
      </c>
      <c r="U147">
        <v>5.5815157636349699</v>
      </c>
      <c r="V147" t="s">
        <v>898</v>
      </c>
      <c r="W147">
        <v>0.1007</v>
      </c>
      <c r="X147">
        <v>10</v>
      </c>
      <c r="Y147">
        <v>8.9</v>
      </c>
      <c r="Z147">
        <v>8.9</v>
      </c>
      <c r="AA147">
        <v>20</v>
      </c>
      <c r="AB147">
        <v>26</v>
      </c>
      <c r="AC147">
        <v>1.744</v>
      </c>
      <c r="AD147">
        <v>67</v>
      </c>
      <c r="AE147">
        <v>0.27717736808645899</v>
      </c>
      <c r="AF147">
        <v>2.86</v>
      </c>
      <c r="AG147" t="s">
        <v>640</v>
      </c>
      <c r="AH147" t="s">
        <v>898</v>
      </c>
      <c r="AI147">
        <v>49</v>
      </c>
      <c r="AJ147">
        <v>1.6333333333333332E-2</v>
      </c>
      <c r="AK147">
        <v>16.333333333333329</v>
      </c>
      <c r="AL147" t="s">
        <v>900</v>
      </c>
      <c r="AM147">
        <v>24678.512994947891</v>
      </c>
      <c r="AN147">
        <v>1.27</v>
      </c>
      <c r="AO147">
        <v>0.09</v>
      </c>
      <c r="AP147">
        <v>0.19</v>
      </c>
      <c r="AQ147">
        <v>0.98</v>
      </c>
      <c r="AR147">
        <v>0.88</v>
      </c>
      <c r="AS147">
        <v>0.09</v>
      </c>
      <c r="AT147">
        <v>0.01</v>
      </c>
      <c r="AU147">
        <v>0.02</v>
      </c>
      <c r="AV147">
        <v>2.25</v>
      </c>
      <c r="AW147">
        <v>1.25</v>
      </c>
      <c r="AX147">
        <v>0.21</v>
      </c>
      <c r="AY147">
        <v>0.53</v>
      </c>
      <c r="AZ147">
        <v>0</v>
      </c>
      <c r="BA147">
        <v>0.94</v>
      </c>
      <c r="BB147">
        <v>0.16</v>
      </c>
      <c r="BC147">
        <v>0.15</v>
      </c>
      <c r="BD147">
        <v>0.27</v>
      </c>
      <c r="BE147">
        <v>6.31</v>
      </c>
      <c r="BF147">
        <v>5.63</v>
      </c>
      <c r="BG147">
        <v>0.24</v>
      </c>
      <c r="BH147">
        <v>0.45</v>
      </c>
      <c r="BI147">
        <v>0</v>
      </c>
      <c r="BJ147">
        <v>0.08</v>
      </c>
      <c r="BK147">
        <v>5.55</v>
      </c>
      <c r="BL147">
        <v>0</v>
      </c>
      <c r="BM147">
        <v>1.77</v>
      </c>
      <c r="BN147">
        <v>0.21</v>
      </c>
      <c r="BO147">
        <v>0.46</v>
      </c>
      <c r="BP147">
        <v>1.1000000000000001</v>
      </c>
      <c r="BQ147">
        <v>0.87</v>
      </c>
      <c r="BR147">
        <v>0.12</v>
      </c>
      <c r="BS147">
        <v>0.11</v>
      </c>
      <c r="BT147">
        <v>0</v>
      </c>
      <c r="BU147">
        <v>6.72</v>
      </c>
      <c r="BV147">
        <v>5.66</v>
      </c>
      <c r="BW147">
        <v>0.34</v>
      </c>
      <c r="BX147">
        <v>0.72</v>
      </c>
      <c r="BY147">
        <v>0</v>
      </c>
      <c r="BZ147">
        <v>0.08</v>
      </c>
      <c r="CA147">
        <v>5.58</v>
      </c>
      <c r="CB147">
        <v>0</v>
      </c>
      <c r="CC147">
        <f t="shared" si="4"/>
        <v>2.75</v>
      </c>
      <c r="CD147">
        <v>3.96</v>
      </c>
      <c r="CE147">
        <v>0.34230769230769231</v>
      </c>
      <c r="CF147">
        <v>0.44500000000000001</v>
      </c>
      <c r="CG147">
        <v>0.1492537313432836</v>
      </c>
      <c r="CH147">
        <v>0.60979020979020981</v>
      </c>
      <c r="CI147">
        <v>0</v>
      </c>
      <c r="CJ147">
        <v>25644</v>
      </c>
      <c r="CK147" t="s">
        <v>141</v>
      </c>
      <c r="CL147" t="s">
        <v>509</v>
      </c>
      <c r="CM147" t="s">
        <v>143</v>
      </c>
      <c r="CN147">
        <v>0.32579265644299998</v>
      </c>
      <c r="CO147">
        <v>20.35040566587038</v>
      </c>
      <c r="CP147">
        <v>146</v>
      </c>
      <c r="CQ147" t="s">
        <v>901</v>
      </c>
      <c r="CR147">
        <v>96</v>
      </c>
      <c r="CS147" t="s">
        <v>638</v>
      </c>
      <c r="CT147" t="s">
        <v>639</v>
      </c>
      <c r="CU147" t="s">
        <v>640</v>
      </c>
      <c r="CV147" t="s">
        <v>641</v>
      </c>
      <c r="CW147" t="s">
        <v>642</v>
      </c>
      <c r="CX147" t="s">
        <v>643</v>
      </c>
      <c r="CY147" t="s">
        <v>644</v>
      </c>
      <c r="CZ147" t="s">
        <v>645</v>
      </c>
      <c r="DA147" t="s">
        <v>152</v>
      </c>
      <c r="DB147" t="s">
        <v>491</v>
      </c>
      <c r="DC147" t="s">
        <v>459</v>
      </c>
      <c r="DD147" t="s">
        <v>492</v>
      </c>
      <c r="DE147">
        <v>2610</v>
      </c>
      <c r="DF147">
        <v>-87.295199999999994</v>
      </c>
      <c r="DG147">
        <v>37.482399999999998</v>
      </c>
      <c r="DH147">
        <v>4670</v>
      </c>
      <c r="DI147">
        <v>500</v>
      </c>
      <c r="DL147">
        <v>6.5</v>
      </c>
      <c r="DM147">
        <v>4</v>
      </c>
      <c r="DN147">
        <v>11</v>
      </c>
      <c r="DO147">
        <v>90</v>
      </c>
      <c r="DP147">
        <v>10</v>
      </c>
      <c r="DQ147">
        <v>250</v>
      </c>
      <c r="DR147">
        <v>80000</v>
      </c>
      <c r="DS147">
        <v>60</v>
      </c>
      <c r="DT147">
        <v>1.2500000000000001E-2</v>
      </c>
      <c r="DU147">
        <v>1.2500000000000001E-2</v>
      </c>
      <c r="DV147">
        <v>0.32500000000000001</v>
      </c>
      <c r="DW147">
        <v>0.32500000000000001</v>
      </c>
      <c r="DX147">
        <v>0.32500000000000001</v>
      </c>
      <c r="DY147">
        <v>0</v>
      </c>
      <c r="DZ147" s="4">
        <v>3.53</v>
      </c>
      <c r="EA147" s="4" t="s">
        <v>902</v>
      </c>
      <c r="EB147" s="4" t="s">
        <v>903</v>
      </c>
      <c r="EC147">
        <v>4.51</v>
      </c>
      <c r="ED147">
        <v>732</v>
      </c>
      <c r="EE147" t="s">
        <v>900</v>
      </c>
      <c r="EF147">
        <v>0.20972626752006479</v>
      </c>
      <c r="EH147">
        <f t="shared" si="5"/>
        <v>0.58000000000000007</v>
      </c>
      <c r="EI147">
        <v>3.38</v>
      </c>
      <c r="EJ147">
        <v>3.65</v>
      </c>
    </row>
    <row r="148" spans="1:140" x14ac:dyDescent="0.35">
      <c r="A148" s="1">
        <v>146</v>
      </c>
      <c r="B148">
        <v>-86.13479033789632</v>
      </c>
      <c r="C148">
        <v>37.55642735392783</v>
      </c>
      <c r="D148" t="s">
        <v>904</v>
      </c>
      <c r="E148">
        <v>0.02</v>
      </c>
      <c r="F148" t="s">
        <v>160</v>
      </c>
      <c r="G148">
        <v>8.8000000000000009E-2</v>
      </c>
      <c r="H148" t="s">
        <v>161</v>
      </c>
      <c r="I148">
        <v>-9588481</v>
      </c>
      <c r="J148">
        <v>4516952</v>
      </c>
      <c r="K148" t="s">
        <v>898</v>
      </c>
      <c r="L148" t="s">
        <v>905</v>
      </c>
      <c r="M148">
        <v>43</v>
      </c>
      <c r="N148">
        <v>3.4780000000000002</v>
      </c>
      <c r="O148">
        <v>3</v>
      </c>
      <c r="P148">
        <v>6</v>
      </c>
      <c r="Q148">
        <v>21</v>
      </c>
      <c r="R148">
        <v>85</v>
      </c>
      <c r="S148">
        <v>26418</v>
      </c>
      <c r="T148" t="s">
        <v>640</v>
      </c>
      <c r="U148">
        <v>5.5815157636349699</v>
      </c>
      <c r="V148" t="s">
        <v>898</v>
      </c>
      <c r="W148">
        <v>0.1007</v>
      </c>
      <c r="X148">
        <v>10</v>
      </c>
      <c r="Y148">
        <v>8.9</v>
      </c>
      <c r="Z148">
        <v>8.9</v>
      </c>
      <c r="AA148">
        <v>20</v>
      </c>
      <c r="AB148">
        <v>26</v>
      </c>
      <c r="AC148">
        <v>1.744</v>
      </c>
      <c r="AD148">
        <v>67</v>
      </c>
      <c r="AE148">
        <v>0.27717736808645899</v>
      </c>
      <c r="AF148">
        <v>2.86</v>
      </c>
      <c r="AG148" t="s">
        <v>640</v>
      </c>
      <c r="AH148" t="s">
        <v>898</v>
      </c>
      <c r="AI148">
        <v>49</v>
      </c>
      <c r="AJ148">
        <v>1.6333333333333332E-2</v>
      </c>
      <c r="AK148">
        <v>16.333333333333329</v>
      </c>
      <c r="AL148" t="s">
        <v>906</v>
      </c>
      <c r="AM148">
        <v>978.50532859044961</v>
      </c>
      <c r="AN148">
        <v>1.27</v>
      </c>
      <c r="AO148">
        <v>0.09</v>
      </c>
      <c r="AP148">
        <v>0.19</v>
      </c>
      <c r="AQ148">
        <v>0.98</v>
      </c>
      <c r="AR148">
        <v>0.88</v>
      </c>
      <c r="AS148">
        <v>0.09</v>
      </c>
      <c r="AT148">
        <v>0.01</v>
      </c>
      <c r="AU148">
        <v>0.02</v>
      </c>
      <c r="AV148">
        <v>2.25</v>
      </c>
      <c r="AW148">
        <v>1.25</v>
      </c>
      <c r="AX148">
        <v>0.21</v>
      </c>
      <c r="AY148">
        <v>0.53</v>
      </c>
      <c r="AZ148">
        <v>0</v>
      </c>
      <c r="BA148">
        <v>0.94</v>
      </c>
      <c r="BB148">
        <v>0.16</v>
      </c>
      <c r="BC148">
        <v>0.15</v>
      </c>
      <c r="BD148">
        <v>0.27</v>
      </c>
      <c r="BE148">
        <v>6.31</v>
      </c>
      <c r="BF148">
        <v>5.63</v>
      </c>
      <c r="BG148">
        <v>0.24</v>
      </c>
      <c r="BH148">
        <v>0.45</v>
      </c>
      <c r="BI148">
        <v>0</v>
      </c>
      <c r="BJ148">
        <v>0.08</v>
      </c>
      <c r="BK148">
        <v>5.55</v>
      </c>
      <c r="BL148">
        <v>0</v>
      </c>
      <c r="BM148">
        <v>1.77</v>
      </c>
      <c r="BN148">
        <v>0.21</v>
      </c>
      <c r="BO148">
        <v>0.46</v>
      </c>
      <c r="BP148">
        <v>1.1000000000000001</v>
      </c>
      <c r="BQ148">
        <v>0.87</v>
      </c>
      <c r="BR148">
        <v>0.12</v>
      </c>
      <c r="BS148">
        <v>0.11</v>
      </c>
      <c r="BT148">
        <v>0</v>
      </c>
      <c r="BU148">
        <v>6.72</v>
      </c>
      <c r="BV148">
        <v>5.66</v>
      </c>
      <c r="BW148">
        <v>0.34</v>
      </c>
      <c r="BX148">
        <v>0.72</v>
      </c>
      <c r="BY148">
        <v>0</v>
      </c>
      <c r="BZ148">
        <v>0.08</v>
      </c>
      <c r="CA148">
        <v>5.58</v>
      </c>
      <c r="CB148">
        <v>0</v>
      </c>
      <c r="CC148">
        <f t="shared" si="4"/>
        <v>2.75</v>
      </c>
      <c r="CD148">
        <v>3.96</v>
      </c>
      <c r="CE148">
        <v>0.34230769230769231</v>
      </c>
      <c r="CF148">
        <v>0.44500000000000001</v>
      </c>
      <c r="CG148">
        <v>0.1492537313432836</v>
      </c>
      <c r="CH148">
        <v>0.60979020979020981</v>
      </c>
      <c r="CI148">
        <v>0</v>
      </c>
      <c r="CJ148">
        <v>25522</v>
      </c>
      <c r="CK148" t="s">
        <v>141</v>
      </c>
      <c r="CL148" t="s">
        <v>509</v>
      </c>
      <c r="CM148" t="s">
        <v>143</v>
      </c>
      <c r="CN148">
        <v>0.232439867577</v>
      </c>
      <c r="CO148">
        <v>24.828611742422321</v>
      </c>
      <c r="CP148">
        <v>147</v>
      </c>
      <c r="CQ148" t="s">
        <v>901</v>
      </c>
      <c r="CR148">
        <v>96</v>
      </c>
      <c r="CS148" t="s">
        <v>638</v>
      </c>
      <c r="CT148" t="s">
        <v>639</v>
      </c>
      <c r="CU148" t="s">
        <v>640</v>
      </c>
      <c r="CV148" t="s">
        <v>641</v>
      </c>
      <c r="CW148" t="s">
        <v>642</v>
      </c>
      <c r="CX148" t="s">
        <v>643</v>
      </c>
      <c r="CY148" t="s">
        <v>644</v>
      </c>
      <c r="CZ148" t="s">
        <v>645</v>
      </c>
      <c r="DA148" t="s">
        <v>152</v>
      </c>
      <c r="DB148" t="s">
        <v>491</v>
      </c>
      <c r="DC148" t="s">
        <v>459</v>
      </c>
      <c r="DD148" t="s">
        <v>492</v>
      </c>
      <c r="DE148">
        <v>2610</v>
      </c>
      <c r="DF148">
        <v>-87.295199999999994</v>
      </c>
      <c r="DG148">
        <v>37.482399999999998</v>
      </c>
      <c r="DH148">
        <v>4670</v>
      </c>
      <c r="DI148">
        <v>500</v>
      </c>
      <c r="DL148">
        <v>6.5</v>
      </c>
      <c r="DM148">
        <v>4</v>
      </c>
      <c r="DN148">
        <v>11</v>
      </c>
      <c r="DO148">
        <v>90</v>
      </c>
      <c r="DP148">
        <v>10</v>
      </c>
      <c r="DQ148">
        <v>250</v>
      </c>
      <c r="DR148">
        <v>80000</v>
      </c>
      <c r="DS148">
        <v>60</v>
      </c>
      <c r="DT148">
        <v>1.2500000000000001E-2</v>
      </c>
      <c r="DU148">
        <v>1.2500000000000001E-2</v>
      </c>
      <c r="DV148">
        <v>0.32500000000000001</v>
      </c>
      <c r="DW148">
        <v>0.32500000000000001</v>
      </c>
      <c r="DX148">
        <v>0.32500000000000001</v>
      </c>
      <c r="DY148">
        <v>0</v>
      </c>
      <c r="DZ148" s="4">
        <v>3.53</v>
      </c>
      <c r="EA148" s="4" t="s">
        <v>902</v>
      </c>
      <c r="EB148" s="4" t="s">
        <v>903</v>
      </c>
      <c r="EC148">
        <v>4.51</v>
      </c>
      <c r="ED148">
        <v>184</v>
      </c>
      <c r="EE148" t="s">
        <v>906</v>
      </c>
      <c r="EF148">
        <v>6.9906264529528478E-3</v>
      </c>
      <c r="EH148">
        <f t="shared" si="5"/>
        <v>0.58000000000000007</v>
      </c>
      <c r="EI148">
        <v>3.38</v>
      </c>
      <c r="EJ148">
        <v>3.65</v>
      </c>
    </row>
    <row r="149" spans="1:140" x14ac:dyDescent="0.35">
      <c r="A149" s="1">
        <v>147</v>
      </c>
      <c r="B149">
        <v>-84.338159769657281</v>
      </c>
      <c r="C149">
        <v>37.55642735392783</v>
      </c>
      <c r="D149" t="s">
        <v>907</v>
      </c>
      <c r="E149">
        <v>0.02</v>
      </c>
      <c r="F149" t="s">
        <v>160</v>
      </c>
      <c r="G149">
        <v>3.7100000000000001E-2</v>
      </c>
      <c r="H149" t="s">
        <v>161</v>
      </c>
      <c r="I149">
        <v>-9388481</v>
      </c>
      <c r="J149">
        <v>4516952</v>
      </c>
      <c r="K149" t="s">
        <v>898</v>
      </c>
      <c r="L149" t="s">
        <v>908</v>
      </c>
      <c r="M149">
        <v>73</v>
      </c>
      <c r="N149">
        <v>3.5009999999999999</v>
      </c>
      <c r="O149">
        <v>3</v>
      </c>
      <c r="P149">
        <v>6</v>
      </c>
      <c r="Q149">
        <v>21</v>
      </c>
      <c r="R149">
        <v>151</v>
      </c>
      <c r="S149">
        <v>92707</v>
      </c>
      <c r="T149" t="s">
        <v>640</v>
      </c>
      <c r="U149">
        <v>5.5815157636349699</v>
      </c>
      <c r="V149" t="s">
        <v>898</v>
      </c>
      <c r="W149">
        <v>0.1007</v>
      </c>
      <c r="X149">
        <v>10</v>
      </c>
      <c r="Y149">
        <v>8.9</v>
      </c>
      <c r="Z149">
        <v>8.9</v>
      </c>
      <c r="AA149">
        <v>20</v>
      </c>
      <c r="AB149">
        <v>26</v>
      </c>
      <c r="AC149">
        <v>1.744</v>
      </c>
      <c r="AD149">
        <v>67</v>
      </c>
      <c r="AE149">
        <v>0.27717736808645899</v>
      </c>
      <c r="AF149">
        <v>2.86</v>
      </c>
      <c r="AG149" t="s">
        <v>640</v>
      </c>
      <c r="AH149" t="s">
        <v>898</v>
      </c>
      <c r="AI149">
        <v>49</v>
      </c>
      <c r="AJ149">
        <v>1.6333333333333332E-2</v>
      </c>
      <c r="AK149">
        <v>16.333333333333329</v>
      </c>
      <c r="AL149" t="s">
        <v>909</v>
      </c>
      <c r="AM149">
        <v>0</v>
      </c>
      <c r="AN149">
        <v>1.27</v>
      </c>
      <c r="AO149">
        <v>0.09</v>
      </c>
      <c r="AP149">
        <v>0.19</v>
      </c>
      <c r="AQ149">
        <v>0.98</v>
      </c>
      <c r="AR149">
        <v>0.88</v>
      </c>
      <c r="AS149">
        <v>0.09</v>
      </c>
      <c r="AT149">
        <v>0.01</v>
      </c>
      <c r="AU149">
        <v>0.02</v>
      </c>
      <c r="AV149">
        <v>2.25</v>
      </c>
      <c r="AW149">
        <v>1.25</v>
      </c>
      <c r="AX149">
        <v>0.21</v>
      </c>
      <c r="AY149">
        <v>0.53</v>
      </c>
      <c r="AZ149">
        <v>0</v>
      </c>
      <c r="BA149">
        <v>0.94</v>
      </c>
      <c r="BB149">
        <v>0.16</v>
      </c>
      <c r="BC149">
        <v>0.15</v>
      </c>
      <c r="BD149">
        <v>0.27</v>
      </c>
      <c r="BE149">
        <v>6.31</v>
      </c>
      <c r="BF149">
        <v>5.63</v>
      </c>
      <c r="BG149">
        <v>0.24</v>
      </c>
      <c r="BH149">
        <v>0.45</v>
      </c>
      <c r="BI149">
        <v>0</v>
      </c>
      <c r="BJ149">
        <v>0.08</v>
      </c>
      <c r="BK149">
        <v>5.55</v>
      </c>
      <c r="BL149">
        <v>0</v>
      </c>
      <c r="BM149">
        <v>1.77</v>
      </c>
      <c r="BN149">
        <v>0.21</v>
      </c>
      <c r="BO149">
        <v>0.46</v>
      </c>
      <c r="BP149">
        <v>1.1000000000000001</v>
      </c>
      <c r="BQ149">
        <v>0.87</v>
      </c>
      <c r="BR149">
        <v>0.12</v>
      </c>
      <c r="BS149">
        <v>0.11</v>
      </c>
      <c r="BT149">
        <v>0</v>
      </c>
      <c r="BU149">
        <v>6.72</v>
      </c>
      <c r="BV149">
        <v>5.66</v>
      </c>
      <c r="BW149">
        <v>0.34</v>
      </c>
      <c r="BX149">
        <v>0.72</v>
      </c>
      <c r="BY149">
        <v>0</v>
      </c>
      <c r="BZ149">
        <v>0.08</v>
      </c>
      <c r="CA149">
        <v>5.58</v>
      </c>
      <c r="CB149">
        <v>0</v>
      </c>
      <c r="CC149">
        <f t="shared" si="4"/>
        <v>2.75</v>
      </c>
      <c r="CD149">
        <v>3.96</v>
      </c>
      <c r="CE149">
        <v>0.34230769230769231</v>
      </c>
      <c r="CF149">
        <v>0.44500000000000001</v>
      </c>
      <c r="CG149">
        <v>0.1492537313432836</v>
      </c>
      <c r="CH149">
        <v>0.60979020979020981</v>
      </c>
      <c r="CI149">
        <v>0</v>
      </c>
      <c r="CJ149">
        <v>3240</v>
      </c>
      <c r="CK149" t="s">
        <v>141</v>
      </c>
      <c r="CL149" t="s">
        <v>910</v>
      </c>
      <c r="CM149" t="s">
        <v>143</v>
      </c>
      <c r="CN149">
        <v>0.20972013757899999</v>
      </c>
      <c r="CO149">
        <v>7.2883397746735286</v>
      </c>
      <c r="CP149">
        <v>148</v>
      </c>
      <c r="CQ149" t="s">
        <v>911</v>
      </c>
      <c r="CR149">
        <v>144</v>
      </c>
      <c r="CS149" t="s">
        <v>650</v>
      </c>
      <c r="CT149" t="s">
        <v>651</v>
      </c>
      <c r="CU149" t="s">
        <v>640</v>
      </c>
      <c r="CV149" t="s">
        <v>652</v>
      </c>
      <c r="CW149" t="s">
        <v>653</v>
      </c>
      <c r="CX149" t="s">
        <v>654</v>
      </c>
      <c r="CY149" t="s">
        <v>655</v>
      </c>
      <c r="CZ149" t="s">
        <v>645</v>
      </c>
      <c r="DA149" t="s">
        <v>152</v>
      </c>
      <c r="DB149" t="s">
        <v>178</v>
      </c>
      <c r="DC149" t="s">
        <v>656</v>
      </c>
      <c r="DD149" t="s">
        <v>657</v>
      </c>
      <c r="DE149">
        <v>10350</v>
      </c>
      <c r="DF149">
        <v>-84.596498999999994</v>
      </c>
      <c r="DG149">
        <v>38.291331</v>
      </c>
      <c r="DH149">
        <v>4500</v>
      </c>
      <c r="DI149">
        <v>200</v>
      </c>
      <c r="DL149">
        <v>10</v>
      </c>
      <c r="DM149">
        <v>8</v>
      </c>
      <c r="DN149">
        <v>12</v>
      </c>
      <c r="DO149">
        <v>50</v>
      </c>
      <c r="DP149">
        <v>25</v>
      </c>
      <c r="DQ149">
        <v>100</v>
      </c>
      <c r="DS149" t="s">
        <v>658</v>
      </c>
      <c r="DT149">
        <v>1.2500000000000001E-2</v>
      </c>
      <c r="DU149">
        <v>1.2500000000000001E-2</v>
      </c>
      <c r="DV149">
        <v>0.32500000000000001</v>
      </c>
      <c r="DW149">
        <v>0.32500000000000001</v>
      </c>
      <c r="DX149">
        <v>0.32500000000000001</v>
      </c>
      <c r="DY149">
        <v>0</v>
      </c>
      <c r="DZ149" s="4">
        <v>3.53</v>
      </c>
      <c r="EA149" s="4" t="s">
        <v>902</v>
      </c>
      <c r="EB149" s="4" t="s">
        <v>903</v>
      </c>
      <c r="EC149">
        <v>4.51</v>
      </c>
      <c r="ED149">
        <v>467</v>
      </c>
      <c r="EE149" t="s">
        <v>909</v>
      </c>
      <c r="EF149">
        <v>0</v>
      </c>
      <c r="EH149">
        <f t="shared" si="5"/>
        <v>0.58000000000000007</v>
      </c>
      <c r="EI149">
        <v>3.38</v>
      </c>
      <c r="EJ149">
        <v>3.65</v>
      </c>
    </row>
    <row r="150" spans="1:140" x14ac:dyDescent="0.35">
      <c r="A150" s="1">
        <v>148</v>
      </c>
      <c r="B150">
        <v>-82.541529201418243</v>
      </c>
      <c r="C150">
        <v>37.55642735392783</v>
      </c>
      <c r="D150" t="s">
        <v>912</v>
      </c>
      <c r="E150">
        <v>0.02</v>
      </c>
      <c r="F150" t="s">
        <v>160</v>
      </c>
      <c r="G150">
        <v>3.7100000000000001E-2</v>
      </c>
      <c r="H150" t="s">
        <v>161</v>
      </c>
      <c r="I150">
        <v>-9188481</v>
      </c>
      <c r="J150">
        <v>4516952</v>
      </c>
      <c r="K150" t="s">
        <v>898</v>
      </c>
      <c r="L150" t="s">
        <v>402</v>
      </c>
      <c r="M150">
        <v>98</v>
      </c>
      <c r="N150">
        <v>3.6190000000000002</v>
      </c>
      <c r="O150">
        <v>3</v>
      </c>
      <c r="P150">
        <v>6</v>
      </c>
      <c r="Q150">
        <v>21</v>
      </c>
      <c r="R150">
        <v>195</v>
      </c>
      <c r="S150">
        <v>58663</v>
      </c>
      <c r="T150" t="s">
        <v>640</v>
      </c>
      <c r="U150">
        <v>5.5815157636349699</v>
      </c>
      <c r="V150" t="s">
        <v>898</v>
      </c>
      <c r="W150">
        <v>0.1007</v>
      </c>
      <c r="X150">
        <v>10</v>
      </c>
      <c r="Y150">
        <v>8.9</v>
      </c>
      <c r="Z150">
        <v>8.9</v>
      </c>
      <c r="AA150">
        <v>20</v>
      </c>
      <c r="AB150">
        <v>26</v>
      </c>
      <c r="AC150">
        <v>1.744</v>
      </c>
      <c r="AD150">
        <v>67</v>
      </c>
      <c r="AE150">
        <v>0.27717736808645899</v>
      </c>
      <c r="AF150">
        <v>2.86</v>
      </c>
      <c r="AG150" t="s">
        <v>640</v>
      </c>
      <c r="AH150" t="s">
        <v>898</v>
      </c>
      <c r="AI150">
        <v>49</v>
      </c>
      <c r="AJ150">
        <v>1.6333333333333332E-2</v>
      </c>
      <c r="AK150">
        <v>16.333333333333329</v>
      </c>
      <c r="AL150" t="s">
        <v>913</v>
      </c>
      <c r="AM150">
        <v>43222.320876580023</v>
      </c>
      <c r="AN150">
        <v>1.27</v>
      </c>
      <c r="AO150">
        <v>0.09</v>
      </c>
      <c r="AP150">
        <v>0.19</v>
      </c>
      <c r="AQ150">
        <v>0.98</v>
      </c>
      <c r="AR150">
        <v>0.88</v>
      </c>
      <c r="AS150">
        <v>0.09</v>
      </c>
      <c r="AT150">
        <v>0.01</v>
      </c>
      <c r="AU150">
        <v>0.02</v>
      </c>
      <c r="AV150">
        <v>2.25</v>
      </c>
      <c r="AW150">
        <v>1.25</v>
      </c>
      <c r="AX150">
        <v>0.21</v>
      </c>
      <c r="AY150">
        <v>0.53</v>
      </c>
      <c r="AZ150">
        <v>0</v>
      </c>
      <c r="BA150">
        <v>0.94</v>
      </c>
      <c r="BB150">
        <v>0.16</v>
      </c>
      <c r="BC150">
        <v>0.15</v>
      </c>
      <c r="BD150">
        <v>0.27</v>
      </c>
      <c r="BE150">
        <v>6.31</v>
      </c>
      <c r="BF150">
        <v>5.63</v>
      </c>
      <c r="BG150">
        <v>0.24</v>
      </c>
      <c r="BH150">
        <v>0.45</v>
      </c>
      <c r="BI150">
        <v>0</v>
      </c>
      <c r="BJ150">
        <v>0.08</v>
      </c>
      <c r="BK150">
        <v>5.55</v>
      </c>
      <c r="BL150">
        <v>0</v>
      </c>
      <c r="BM150">
        <v>1.77</v>
      </c>
      <c r="BN150">
        <v>0.21</v>
      </c>
      <c r="BO150">
        <v>0.46</v>
      </c>
      <c r="BP150">
        <v>1.1000000000000001</v>
      </c>
      <c r="BQ150">
        <v>0.87</v>
      </c>
      <c r="BR150">
        <v>0.12</v>
      </c>
      <c r="BS150">
        <v>0.11</v>
      </c>
      <c r="BT150">
        <v>0</v>
      </c>
      <c r="BU150">
        <v>6.72</v>
      </c>
      <c r="BV150">
        <v>5.66</v>
      </c>
      <c r="BW150">
        <v>0.34</v>
      </c>
      <c r="BX150">
        <v>0.72</v>
      </c>
      <c r="BY150">
        <v>0</v>
      </c>
      <c r="BZ150">
        <v>0.08</v>
      </c>
      <c r="CA150">
        <v>5.58</v>
      </c>
      <c r="CB150">
        <v>0</v>
      </c>
      <c r="CC150">
        <f t="shared" si="4"/>
        <v>2.75</v>
      </c>
      <c r="CD150">
        <v>3.96</v>
      </c>
      <c r="CE150">
        <v>0.34230769230769231</v>
      </c>
      <c r="CF150">
        <v>0.44500000000000001</v>
      </c>
      <c r="CG150">
        <v>0.1492537313432836</v>
      </c>
      <c r="CH150">
        <v>0.60979020979020981</v>
      </c>
      <c r="CI150">
        <v>0</v>
      </c>
      <c r="CJ150">
        <v>3723</v>
      </c>
      <c r="CK150" t="s">
        <v>141</v>
      </c>
      <c r="CL150" t="s">
        <v>914</v>
      </c>
      <c r="CM150" t="s">
        <v>143</v>
      </c>
      <c r="CN150">
        <v>9.6512000000000001E-2</v>
      </c>
      <c r="CO150">
        <v>0.15172456503827411</v>
      </c>
      <c r="CP150">
        <v>149</v>
      </c>
      <c r="CQ150" t="s">
        <v>911</v>
      </c>
      <c r="CR150">
        <v>144</v>
      </c>
      <c r="CS150" t="s">
        <v>650</v>
      </c>
      <c r="CT150" t="s">
        <v>651</v>
      </c>
      <c r="CU150" t="s">
        <v>640</v>
      </c>
      <c r="CV150" t="s">
        <v>652</v>
      </c>
      <c r="CW150" t="s">
        <v>653</v>
      </c>
      <c r="CX150" t="s">
        <v>654</v>
      </c>
      <c r="CY150" t="s">
        <v>655</v>
      </c>
      <c r="CZ150" t="s">
        <v>645</v>
      </c>
      <c r="DA150" t="s">
        <v>152</v>
      </c>
      <c r="DB150" t="s">
        <v>178</v>
      </c>
      <c r="DC150" t="s">
        <v>656</v>
      </c>
      <c r="DD150" t="s">
        <v>657</v>
      </c>
      <c r="DE150">
        <v>10350</v>
      </c>
      <c r="DF150">
        <v>-84.596498999999994</v>
      </c>
      <c r="DG150">
        <v>38.291331</v>
      </c>
      <c r="DH150">
        <v>4500</v>
      </c>
      <c r="DI150">
        <v>200</v>
      </c>
      <c r="DL150">
        <v>10</v>
      </c>
      <c r="DM150">
        <v>8</v>
      </c>
      <c r="DN150">
        <v>12</v>
      </c>
      <c r="DO150">
        <v>50</v>
      </c>
      <c r="DP150">
        <v>25</v>
      </c>
      <c r="DQ150">
        <v>100</v>
      </c>
      <c r="DS150" t="s">
        <v>658</v>
      </c>
      <c r="DT150">
        <v>1.2500000000000001E-2</v>
      </c>
      <c r="DU150">
        <v>1.2500000000000001E-2</v>
      </c>
      <c r="DV150">
        <v>0.32500000000000001</v>
      </c>
      <c r="DW150">
        <v>0.32500000000000001</v>
      </c>
      <c r="DX150">
        <v>0.32500000000000001</v>
      </c>
      <c r="DY150">
        <v>0</v>
      </c>
      <c r="DZ150" s="4">
        <v>3.53</v>
      </c>
      <c r="EA150" s="4" t="s">
        <v>902</v>
      </c>
      <c r="EB150" s="4" t="s">
        <v>903</v>
      </c>
      <c r="EC150">
        <v>4.51</v>
      </c>
      <c r="ED150">
        <v>842</v>
      </c>
      <c r="EE150" t="s">
        <v>913</v>
      </c>
      <c r="EF150">
        <v>0.31907471378073132</v>
      </c>
      <c r="EH150">
        <f t="shared" si="5"/>
        <v>0.58000000000000007</v>
      </c>
      <c r="EI150">
        <v>3.38</v>
      </c>
      <c r="EJ150">
        <v>3.65</v>
      </c>
    </row>
    <row r="151" spans="1:140" x14ac:dyDescent="0.35">
      <c r="A151" s="1">
        <v>149</v>
      </c>
      <c r="B151">
        <v>-80.74489863317919</v>
      </c>
      <c r="C151">
        <v>37.55642735392783</v>
      </c>
      <c r="D151" t="s">
        <v>915</v>
      </c>
      <c r="E151">
        <v>0.02</v>
      </c>
      <c r="F151" t="s">
        <v>160</v>
      </c>
      <c r="G151">
        <v>3.7100000000000001E-2</v>
      </c>
      <c r="H151" t="s">
        <v>161</v>
      </c>
      <c r="I151">
        <v>-8988481</v>
      </c>
      <c r="J151">
        <v>4516952</v>
      </c>
      <c r="K151" t="s">
        <v>916</v>
      </c>
      <c r="L151" t="s">
        <v>138</v>
      </c>
      <c r="M151">
        <v>32</v>
      </c>
      <c r="N151">
        <v>3.9140000000000001</v>
      </c>
      <c r="O151">
        <v>3</v>
      </c>
      <c r="P151">
        <v>5</v>
      </c>
      <c r="Q151">
        <v>54</v>
      </c>
      <c r="R151">
        <v>63</v>
      </c>
      <c r="S151">
        <v>12375</v>
      </c>
      <c r="T151" t="s">
        <v>917</v>
      </c>
      <c r="U151">
        <v>5.0787862128921724</v>
      </c>
      <c r="V151" t="s">
        <v>916</v>
      </c>
      <c r="W151">
        <v>0.1105</v>
      </c>
      <c r="X151">
        <v>10</v>
      </c>
      <c r="Y151">
        <v>8.9</v>
      </c>
      <c r="Z151">
        <v>8.9</v>
      </c>
      <c r="AA151">
        <v>20</v>
      </c>
      <c r="AB151">
        <v>26</v>
      </c>
      <c r="AC151">
        <v>1.9119999999999999</v>
      </c>
      <c r="AD151">
        <v>67</v>
      </c>
      <c r="AE151">
        <v>0.30387794024157649</v>
      </c>
      <c r="AF151">
        <v>2.86</v>
      </c>
      <c r="AG151" t="s">
        <v>917</v>
      </c>
      <c r="AH151" t="s">
        <v>916</v>
      </c>
      <c r="AI151">
        <v>91</v>
      </c>
      <c r="AJ151">
        <v>3.033333333333333E-2</v>
      </c>
      <c r="AK151">
        <v>30.333333333333329</v>
      </c>
      <c r="AL151" t="s">
        <v>918</v>
      </c>
      <c r="AM151">
        <v>21054.054066250988</v>
      </c>
      <c r="AN151">
        <v>1.24</v>
      </c>
      <c r="AO151">
        <v>0.09</v>
      </c>
      <c r="AP151">
        <v>0.19</v>
      </c>
      <c r="AQ151">
        <v>0.95</v>
      </c>
      <c r="AR151">
        <v>0.8</v>
      </c>
      <c r="AS151">
        <v>0.13</v>
      </c>
      <c r="AT151">
        <v>0.01</v>
      </c>
      <c r="AU151">
        <v>0.02</v>
      </c>
      <c r="AV151">
        <v>2.2599999999999998</v>
      </c>
      <c r="AW151">
        <v>1.26</v>
      </c>
      <c r="AX151">
        <v>0.21</v>
      </c>
      <c r="AY151">
        <v>0.53</v>
      </c>
      <c r="AZ151">
        <v>0</v>
      </c>
      <c r="BA151">
        <v>0.85</v>
      </c>
      <c r="BB151">
        <v>0.24</v>
      </c>
      <c r="BC151">
        <v>0.17</v>
      </c>
      <c r="BD151">
        <v>0.27</v>
      </c>
      <c r="BE151">
        <v>6.91</v>
      </c>
      <c r="BF151">
        <v>6.22</v>
      </c>
      <c r="BG151">
        <v>0.24</v>
      </c>
      <c r="BH151">
        <v>0.45</v>
      </c>
      <c r="BI151">
        <v>0</v>
      </c>
      <c r="BJ151">
        <v>0.11</v>
      </c>
      <c r="BK151">
        <v>6.1</v>
      </c>
      <c r="BL151">
        <v>0</v>
      </c>
      <c r="BM151">
        <v>1.76</v>
      </c>
      <c r="BN151">
        <v>0.21</v>
      </c>
      <c r="BO151">
        <v>0.46</v>
      </c>
      <c r="BP151">
        <v>1.0900000000000001</v>
      </c>
      <c r="BQ151">
        <v>0.79</v>
      </c>
      <c r="BR151">
        <v>0.17</v>
      </c>
      <c r="BS151">
        <v>0.12</v>
      </c>
      <c r="BT151">
        <v>0</v>
      </c>
      <c r="BU151">
        <v>7.31</v>
      </c>
      <c r="BV151">
        <v>6.25</v>
      </c>
      <c r="BW151">
        <v>0.34</v>
      </c>
      <c r="BX151">
        <v>0.72</v>
      </c>
      <c r="BY151">
        <v>0</v>
      </c>
      <c r="BZ151">
        <v>0.11</v>
      </c>
      <c r="CA151">
        <v>6.14</v>
      </c>
      <c r="CB151">
        <v>0</v>
      </c>
      <c r="CC151">
        <f t="shared" si="4"/>
        <v>2.75</v>
      </c>
      <c r="CD151">
        <v>3.96</v>
      </c>
      <c r="CE151">
        <v>0.34230769230769231</v>
      </c>
      <c r="CF151">
        <v>0.44500000000000001</v>
      </c>
      <c r="CG151">
        <v>0.1492537313432836</v>
      </c>
      <c r="CH151">
        <v>0.6685314685314685</v>
      </c>
      <c r="CI151">
        <v>0</v>
      </c>
      <c r="CJ151">
        <v>3752</v>
      </c>
      <c r="CK151" t="s">
        <v>141</v>
      </c>
      <c r="CL151" t="s">
        <v>914</v>
      </c>
      <c r="CM151" t="s">
        <v>143</v>
      </c>
      <c r="CN151">
        <v>8.8681740352800006E-2</v>
      </c>
      <c r="CO151">
        <v>1.211455922857666</v>
      </c>
      <c r="CP151">
        <v>150</v>
      </c>
      <c r="CQ151" t="s">
        <v>798</v>
      </c>
      <c r="CR151">
        <v>143</v>
      </c>
      <c r="CS151" t="s">
        <v>799</v>
      </c>
      <c r="CT151" t="s">
        <v>651</v>
      </c>
      <c r="CU151" t="s">
        <v>800</v>
      </c>
      <c r="CV151" t="s">
        <v>801</v>
      </c>
      <c r="CW151" t="s">
        <v>802</v>
      </c>
      <c r="CX151" t="s">
        <v>803</v>
      </c>
      <c r="CY151" t="s">
        <v>804</v>
      </c>
      <c r="CZ151" t="s">
        <v>645</v>
      </c>
      <c r="DA151" t="s">
        <v>152</v>
      </c>
      <c r="DB151" t="s">
        <v>178</v>
      </c>
      <c r="DC151" t="s">
        <v>656</v>
      </c>
      <c r="DD151" t="s">
        <v>657</v>
      </c>
      <c r="DE151">
        <v>21400</v>
      </c>
      <c r="DF151">
        <v>-83.760228999999995</v>
      </c>
      <c r="DG151">
        <v>40.092838999999998</v>
      </c>
      <c r="DH151">
        <v>3000</v>
      </c>
      <c r="DI151">
        <v>200</v>
      </c>
      <c r="DL151">
        <v>12</v>
      </c>
      <c r="DM151">
        <v>10</v>
      </c>
      <c r="DN151">
        <v>14</v>
      </c>
      <c r="DO151">
        <v>125</v>
      </c>
      <c r="DP151">
        <v>60</v>
      </c>
      <c r="DQ151">
        <v>250</v>
      </c>
      <c r="DS151" t="s">
        <v>658</v>
      </c>
      <c r="DT151">
        <v>1.2500000000000001E-2</v>
      </c>
      <c r="DU151">
        <v>1.2500000000000001E-2</v>
      </c>
      <c r="DV151">
        <v>0.32500000000000001</v>
      </c>
      <c r="DW151">
        <v>0.32500000000000001</v>
      </c>
      <c r="DX151">
        <v>0.32500000000000001</v>
      </c>
      <c r="DY151">
        <v>0</v>
      </c>
      <c r="DZ151" s="4">
        <v>3.77</v>
      </c>
      <c r="EA151" s="4" t="s">
        <v>919</v>
      </c>
      <c r="EB151" s="4" t="s">
        <v>920</v>
      </c>
      <c r="EC151">
        <v>4.7469999999999999</v>
      </c>
      <c r="ED151">
        <v>31</v>
      </c>
      <c r="EE151" t="s">
        <v>918</v>
      </c>
      <c r="EF151">
        <v>0.16033912446553469</v>
      </c>
      <c r="EH151">
        <f t="shared" si="5"/>
        <v>0.58000000000000007</v>
      </c>
      <c r="EI151">
        <v>3.38</v>
      </c>
      <c r="EJ151">
        <v>3.65</v>
      </c>
    </row>
    <row r="152" spans="1:140" x14ac:dyDescent="0.35">
      <c r="A152" s="1">
        <v>150</v>
      </c>
      <c r="B152">
        <v>-78.948268064940152</v>
      </c>
      <c r="C152">
        <v>37.55642735392783</v>
      </c>
      <c r="D152" t="s">
        <v>921</v>
      </c>
      <c r="E152">
        <v>0.1</v>
      </c>
      <c r="F152" t="s">
        <v>135</v>
      </c>
      <c r="G152">
        <v>3.7100000000000001E-2</v>
      </c>
      <c r="H152" t="s">
        <v>161</v>
      </c>
      <c r="I152">
        <v>-8788481</v>
      </c>
      <c r="J152">
        <v>4516952</v>
      </c>
      <c r="K152" t="s">
        <v>922</v>
      </c>
      <c r="L152" t="s">
        <v>923</v>
      </c>
      <c r="M152">
        <v>6</v>
      </c>
      <c r="N152">
        <v>3.61</v>
      </c>
      <c r="O152">
        <v>3</v>
      </c>
      <c r="P152">
        <v>5</v>
      </c>
      <c r="Q152">
        <v>51</v>
      </c>
      <c r="R152">
        <v>9</v>
      </c>
      <c r="S152">
        <v>31311</v>
      </c>
      <c r="T152" t="s">
        <v>924</v>
      </c>
      <c r="U152">
        <v>6.1284486946738603</v>
      </c>
      <c r="V152" t="s">
        <v>922</v>
      </c>
      <c r="W152">
        <v>0.1062</v>
      </c>
      <c r="X152">
        <v>10</v>
      </c>
      <c r="Y152">
        <v>8.9</v>
      </c>
      <c r="Z152">
        <v>8.9</v>
      </c>
      <c r="AA152">
        <v>20</v>
      </c>
      <c r="AB152">
        <v>26</v>
      </c>
      <c r="AC152">
        <v>0.63100000000000001</v>
      </c>
      <c r="AD152">
        <v>67</v>
      </c>
      <c r="AE152">
        <v>0.1002860775588048</v>
      </c>
      <c r="AF152">
        <v>2.86</v>
      </c>
      <c r="AG152" t="s">
        <v>924</v>
      </c>
      <c r="AH152" t="s">
        <v>922</v>
      </c>
      <c r="AI152">
        <v>36</v>
      </c>
      <c r="AJ152">
        <v>1.2E-2</v>
      </c>
      <c r="AK152">
        <v>12</v>
      </c>
      <c r="AL152" t="s">
        <v>925</v>
      </c>
      <c r="AM152">
        <v>0</v>
      </c>
      <c r="AN152">
        <v>1.31</v>
      </c>
      <c r="AO152">
        <v>0.09</v>
      </c>
      <c r="AP152">
        <v>0.19</v>
      </c>
      <c r="AQ152">
        <v>1.03</v>
      </c>
      <c r="AR152">
        <v>0.97</v>
      </c>
      <c r="AS152">
        <v>0.04</v>
      </c>
      <c r="AT152">
        <v>0.01</v>
      </c>
      <c r="AU152">
        <v>0.02</v>
      </c>
      <c r="AV152">
        <v>2.27</v>
      </c>
      <c r="AW152">
        <v>1.28</v>
      </c>
      <c r="AX152">
        <v>0.21</v>
      </c>
      <c r="AY152">
        <v>0.53</v>
      </c>
      <c r="AZ152">
        <v>0</v>
      </c>
      <c r="BA152">
        <v>1.03</v>
      </c>
      <c r="BB152">
        <v>0.08</v>
      </c>
      <c r="BC152">
        <v>0.17</v>
      </c>
      <c r="BD152">
        <v>0.27</v>
      </c>
      <c r="BE152">
        <v>6.83</v>
      </c>
      <c r="BF152">
        <v>6.14</v>
      </c>
      <c r="BG152">
        <v>0.24</v>
      </c>
      <c r="BH152">
        <v>0.45</v>
      </c>
      <c r="BI152">
        <v>0</v>
      </c>
      <c r="BJ152">
        <v>0.04</v>
      </c>
      <c r="BK152">
        <v>6.1</v>
      </c>
      <c r="BL152">
        <v>0</v>
      </c>
      <c r="BM152">
        <v>1.81</v>
      </c>
      <c r="BN152">
        <v>0.21</v>
      </c>
      <c r="BO152">
        <v>0.46</v>
      </c>
      <c r="BP152">
        <v>1.1399999999999999</v>
      </c>
      <c r="BQ152">
        <v>0.96</v>
      </c>
      <c r="BR152">
        <v>0.06</v>
      </c>
      <c r="BS152">
        <v>0.12</v>
      </c>
      <c r="BT152">
        <v>0</v>
      </c>
      <c r="BU152">
        <v>7.24</v>
      </c>
      <c r="BV152">
        <v>6.18</v>
      </c>
      <c r="BW152">
        <v>0.34</v>
      </c>
      <c r="BX152">
        <v>0.72</v>
      </c>
      <c r="BY152">
        <v>0</v>
      </c>
      <c r="BZ152">
        <v>0.04</v>
      </c>
      <c r="CA152">
        <v>6.14</v>
      </c>
      <c r="CB152">
        <v>0</v>
      </c>
      <c r="CC152">
        <f t="shared" si="4"/>
        <v>2.75</v>
      </c>
      <c r="CD152">
        <v>3.96</v>
      </c>
      <c r="CE152">
        <v>0.34230769230769231</v>
      </c>
      <c r="CF152">
        <v>0.44500000000000001</v>
      </c>
      <c r="CG152">
        <v>0.1492537313432836</v>
      </c>
      <c r="CH152">
        <v>0.2206293706293706</v>
      </c>
      <c r="CI152">
        <v>0</v>
      </c>
      <c r="CJ152">
        <v>28081</v>
      </c>
      <c r="CK152" t="s">
        <v>141</v>
      </c>
      <c r="CL152" t="s">
        <v>187</v>
      </c>
      <c r="CM152" t="s">
        <v>143</v>
      </c>
      <c r="CN152">
        <v>0.18076695045499999</v>
      </c>
      <c r="CO152">
        <v>14.481758954255151</v>
      </c>
      <c r="CP152">
        <v>151</v>
      </c>
      <c r="CQ152" t="s">
        <v>798</v>
      </c>
      <c r="CR152">
        <v>143</v>
      </c>
      <c r="CS152" t="s">
        <v>799</v>
      </c>
      <c r="CT152" t="s">
        <v>651</v>
      </c>
      <c r="CU152" t="s">
        <v>800</v>
      </c>
      <c r="CV152" t="s">
        <v>801</v>
      </c>
      <c r="CW152" t="s">
        <v>802</v>
      </c>
      <c r="CX152" t="s">
        <v>803</v>
      </c>
      <c r="CY152" t="s">
        <v>804</v>
      </c>
      <c r="CZ152" t="s">
        <v>645</v>
      </c>
      <c r="DA152" t="s">
        <v>152</v>
      </c>
      <c r="DB152" t="s">
        <v>178</v>
      </c>
      <c r="DC152" t="s">
        <v>656</v>
      </c>
      <c r="DD152" t="s">
        <v>657</v>
      </c>
      <c r="DE152">
        <v>21400</v>
      </c>
      <c r="DF152">
        <v>-83.760228999999995</v>
      </c>
      <c r="DG152">
        <v>40.092838999999998</v>
      </c>
      <c r="DH152">
        <v>3000</v>
      </c>
      <c r="DI152">
        <v>200</v>
      </c>
      <c r="DL152">
        <v>12</v>
      </c>
      <c r="DM152">
        <v>10</v>
      </c>
      <c r="DN152">
        <v>14</v>
      </c>
      <c r="DO152">
        <v>125</v>
      </c>
      <c r="DP152">
        <v>60</v>
      </c>
      <c r="DQ152">
        <v>250</v>
      </c>
      <c r="DS152" t="s">
        <v>658</v>
      </c>
      <c r="DT152">
        <v>1.2500000000000001E-2</v>
      </c>
      <c r="DU152">
        <v>1.2500000000000001E-2</v>
      </c>
      <c r="DV152">
        <v>0.32500000000000001</v>
      </c>
      <c r="DW152">
        <v>0.32500000000000001</v>
      </c>
      <c r="DX152">
        <v>0.32500000000000001</v>
      </c>
      <c r="DY152">
        <v>79.499634151475362</v>
      </c>
      <c r="DZ152" s="4">
        <v>3.7690000000000001</v>
      </c>
      <c r="EA152" s="4" t="s">
        <v>926</v>
      </c>
      <c r="EB152" s="4" t="s">
        <v>927</v>
      </c>
      <c r="EC152">
        <v>4.8639999999999999</v>
      </c>
      <c r="ED152">
        <v>0</v>
      </c>
      <c r="EE152" t="s">
        <v>925</v>
      </c>
      <c r="EF152">
        <v>0</v>
      </c>
      <c r="EH152">
        <f t="shared" si="5"/>
        <v>0.58000000000000007</v>
      </c>
      <c r="EI152">
        <v>3.38</v>
      </c>
      <c r="EJ152">
        <v>3.65</v>
      </c>
    </row>
    <row r="153" spans="1:140" x14ac:dyDescent="0.35">
      <c r="A153" s="1">
        <v>151</v>
      </c>
      <c r="B153">
        <v>-77.151637496701113</v>
      </c>
      <c r="C153">
        <v>37.55642735392783</v>
      </c>
      <c r="D153" t="s">
        <v>928</v>
      </c>
      <c r="E153">
        <v>0.1</v>
      </c>
      <c r="F153" t="s">
        <v>135</v>
      </c>
      <c r="G153">
        <v>9.7899999999999987E-2</v>
      </c>
      <c r="H153" t="s">
        <v>161</v>
      </c>
      <c r="I153">
        <v>-8588481</v>
      </c>
      <c r="J153">
        <v>4516952</v>
      </c>
      <c r="K153" t="s">
        <v>922</v>
      </c>
      <c r="L153" t="s">
        <v>929</v>
      </c>
      <c r="M153">
        <v>86</v>
      </c>
      <c r="N153">
        <v>3.6349999999999998</v>
      </c>
      <c r="O153">
        <v>3</v>
      </c>
      <c r="P153">
        <v>5</v>
      </c>
      <c r="Q153">
        <v>51</v>
      </c>
      <c r="R153">
        <v>127</v>
      </c>
      <c r="S153">
        <v>22942</v>
      </c>
      <c r="T153" t="s">
        <v>924</v>
      </c>
      <c r="U153">
        <v>6.1284486946738603</v>
      </c>
      <c r="V153" t="s">
        <v>922</v>
      </c>
      <c r="W153">
        <v>0.1062</v>
      </c>
      <c r="X153">
        <v>10</v>
      </c>
      <c r="Y153">
        <v>8.9</v>
      </c>
      <c r="Z153">
        <v>8.9</v>
      </c>
      <c r="AA153">
        <v>20</v>
      </c>
      <c r="AB153">
        <v>26</v>
      </c>
      <c r="AC153">
        <v>0.63100000000000001</v>
      </c>
      <c r="AD153">
        <v>67</v>
      </c>
      <c r="AE153">
        <v>0.1002860775588048</v>
      </c>
      <c r="AF153">
        <v>2.86</v>
      </c>
      <c r="AG153" t="s">
        <v>924</v>
      </c>
      <c r="AH153" t="s">
        <v>922</v>
      </c>
      <c r="AI153">
        <v>36</v>
      </c>
      <c r="AJ153">
        <v>1.2E-2</v>
      </c>
      <c r="AK153">
        <v>12</v>
      </c>
      <c r="AL153" t="s">
        <v>930</v>
      </c>
      <c r="AM153">
        <v>0</v>
      </c>
      <c r="AN153">
        <v>1.31</v>
      </c>
      <c r="AO153">
        <v>0.09</v>
      </c>
      <c r="AP153">
        <v>0.19</v>
      </c>
      <c r="AQ153">
        <v>1.03</v>
      </c>
      <c r="AR153">
        <v>0.97</v>
      </c>
      <c r="AS153">
        <v>0.04</v>
      </c>
      <c r="AT153">
        <v>0.01</v>
      </c>
      <c r="AU153">
        <v>0.02</v>
      </c>
      <c r="AV153">
        <v>2.27</v>
      </c>
      <c r="AW153">
        <v>1.28</v>
      </c>
      <c r="AX153">
        <v>0.21</v>
      </c>
      <c r="AY153">
        <v>0.53</v>
      </c>
      <c r="AZ153">
        <v>0</v>
      </c>
      <c r="BA153">
        <v>1.03</v>
      </c>
      <c r="BB153">
        <v>0.08</v>
      </c>
      <c r="BC153">
        <v>0.17</v>
      </c>
      <c r="BD153">
        <v>0.27</v>
      </c>
      <c r="BE153">
        <v>6.83</v>
      </c>
      <c r="BF153">
        <v>6.14</v>
      </c>
      <c r="BG153">
        <v>0.24</v>
      </c>
      <c r="BH153">
        <v>0.45</v>
      </c>
      <c r="BI153">
        <v>0</v>
      </c>
      <c r="BJ153">
        <v>0.04</v>
      </c>
      <c r="BK153">
        <v>6.1</v>
      </c>
      <c r="BL153">
        <v>0</v>
      </c>
      <c r="BM153">
        <v>1.81</v>
      </c>
      <c r="BN153">
        <v>0.21</v>
      </c>
      <c r="BO153">
        <v>0.46</v>
      </c>
      <c r="BP153">
        <v>1.1399999999999999</v>
      </c>
      <c r="BQ153">
        <v>0.96</v>
      </c>
      <c r="BR153">
        <v>0.06</v>
      </c>
      <c r="BS153">
        <v>0.12</v>
      </c>
      <c r="BT153">
        <v>0</v>
      </c>
      <c r="BU153">
        <v>7.24</v>
      </c>
      <c r="BV153">
        <v>6.18</v>
      </c>
      <c r="BW153">
        <v>0.34</v>
      </c>
      <c r="BX153">
        <v>0.72</v>
      </c>
      <c r="BY153">
        <v>0</v>
      </c>
      <c r="BZ153">
        <v>0.04</v>
      </c>
      <c r="CA153">
        <v>6.14</v>
      </c>
      <c r="CB153">
        <v>0</v>
      </c>
      <c r="CC153">
        <f t="shared" si="4"/>
        <v>2.75</v>
      </c>
      <c r="CD153">
        <v>3.96</v>
      </c>
      <c r="CE153">
        <v>0.34230769230769231</v>
      </c>
      <c r="CF153">
        <v>0.44500000000000001</v>
      </c>
      <c r="CG153">
        <v>0.1492537313432836</v>
      </c>
      <c r="CH153">
        <v>0.2206293706293706</v>
      </c>
      <c r="CI153">
        <v>0</v>
      </c>
      <c r="CJ153">
        <v>29748</v>
      </c>
      <c r="CK153" t="s">
        <v>169</v>
      </c>
      <c r="CL153" t="s">
        <v>815</v>
      </c>
      <c r="CM153" t="s">
        <v>143</v>
      </c>
      <c r="CN153">
        <v>0.15873286763</v>
      </c>
      <c r="CO153">
        <v>7.3358123593561881</v>
      </c>
      <c r="CP153">
        <v>152</v>
      </c>
      <c r="CQ153" t="s">
        <v>931</v>
      </c>
      <c r="CR153">
        <v>218</v>
      </c>
      <c r="CS153" t="s">
        <v>681</v>
      </c>
      <c r="CT153" t="s">
        <v>682</v>
      </c>
      <c r="CU153" t="s">
        <v>683</v>
      </c>
      <c r="CV153" t="s">
        <v>683</v>
      </c>
      <c r="CW153" t="s">
        <v>684</v>
      </c>
      <c r="CX153" t="s">
        <v>685</v>
      </c>
      <c r="CY153" t="s">
        <v>685</v>
      </c>
      <c r="CZ153" t="s">
        <v>686</v>
      </c>
      <c r="DA153" t="s">
        <v>152</v>
      </c>
      <c r="DB153" t="s">
        <v>178</v>
      </c>
      <c r="DC153" t="s">
        <v>365</v>
      </c>
      <c r="DD153" t="s">
        <v>155</v>
      </c>
      <c r="DE153">
        <v>904</v>
      </c>
      <c r="DF153">
        <v>-75.353050999999994</v>
      </c>
      <c r="DG153">
        <v>38.439326999999999</v>
      </c>
      <c r="DH153">
        <v>4500</v>
      </c>
      <c r="DI153">
        <v>800</v>
      </c>
      <c r="DL153">
        <v>10</v>
      </c>
      <c r="DM153">
        <v>9</v>
      </c>
      <c r="DN153">
        <v>27</v>
      </c>
      <c r="DO153">
        <v>80</v>
      </c>
      <c r="DP153">
        <v>16</v>
      </c>
      <c r="DQ153">
        <v>122</v>
      </c>
      <c r="DR153">
        <v>70000</v>
      </c>
      <c r="DS153" t="s">
        <v>687</v>
      </c>
      <c r="DT153">
        <v>1.2500000000000001E-2</v>
      </c>
      <c r="DU153">
        <v>1.2500000000000001E-2</v>
      </c>
      <c r="DV153">
        <v>0.32500000000000001</v>
      </c>
      <c r="DW153">
        <v>0.32500000000000001</v>
      </c>
      <c r="DX153">
        <v>0.32500000000000001</v>
      </c>
      <c r="DY153">
        <v>87.690825535888735</v>
      </c>
      <c r="DZ153" s="4">
        <v>3.7690000000000001</v>
      </c>
      <c r="EA153" s="4" t="s">
        <v>926</v>
      </c>
      <c r="EB153" s="4" t="s">
        <v>927</v>
      </c>
      <c r="EC153">
        <v>4.8639999999999999</v>
      </c>
      <c r="ED153">
        <v>284</v>
      </c>
      <c r="EE153" t="s">
        <v>930</v>
      </c>
      <c r="EF153">
        <v>0</v>
      </c>
      <c r="EH153">
        <f t="shared" si="5"/>
        <v>0.58000000000000007</v>
      </c>
      <c r="EI153">
        <v>3.38</v>
      </c>
      <c r="EJ153">
        <v>3.65</v>
      </c>
    </row>
    <row r="154" spans="1:140" x14ac:dyDescent="0.35">
      <c r="A154" s="1">
        <v>152</v>
      </c>
      <c r="B154">
        <v>-75.355006928462075</v>
      </c>
      <c r="C154">
        <v>37.55642735392783</v>
      </c>
      <c r="D154" t="s">
        <v>932</v>
      </c>
      <c r="E154">
        <v>0.1</v>
      </c>
      <c r="F154" t="s">
        <v>135</v>
      </c>
      <c r="G154">
        <v>9.7899999999999987E-2</v>
      </c>
      <c r="H154" t="s">
        <v>161</v>
      </c>
      <c r="I154">
        <v>-8388481</v>
      </c>
      <c r="J154">
        <v>4516952</v>
      </c>
      <c r="K154" t="s">
        <v>922</v>
      </c>
      <c r="L154" t="s">
        <v>933</v>
      </c>
      <c r="M154">
        <v>1</v>
      </c>
      <c r="N154">
        <v>3.8530000000000002</v>
      </c>
      <c r="O154">
        <v>3</v>
      </c>
      <c r="P154">
        <v>5</v>
      </c>
      <c r="Q154">
        <v>51</v>
      </c>
      <c r="R154">
        <v>1</v>
      </c>
      <c r="S154">
        <v>33417</v>
      </c>
      <c r="T154" t="s">
        <v>924</v>
      </c>
      <c r="U154">
        <v>6.1284486946738603</v>
      </c>
      <c r="V154" t="s">
        <v>922</v>
      </c>
      <c r="W154">
        <v>0.1062</v>
      </c>
      <c r="X154">
        <v>10</v>
      </c>
      <c r="Y154">
        <v>8.9</v>
      </c>
      <c r="Z154">
        <v>8.9</v>
      </c>
      <c r="AA154">
        <v>20</v>
      </c>
      <c r="AB154">
        <v>26</v>
      </c>
      <c r="AC154">
        <v>0.63100000000000001</v>
      </c>
      <c r="AD154">
        <v>67</v>
      </c>
      <c r="AE154">
        <v>0.1002860775588048</v>
      </c>
      <c r="AF154">
        <v>2.86</v>
      </c>
      <c r="AG154" t="s">
        <v>924</v>
      </c>
      <c r="AH154" t="s">
        <v>922</v>
      </c>
      <c r="AI154">
        <v>36</v>
      </c>
      <c r="AJ154">
        <v>1.2E-2</v>
      </c>
      <c r="AK154">
        <v>12</v>
      </c>
      <c r="AL154" t="s">
        <v>934</v>
      </c>
      <c r="AM154">
        <v>64511.522384315533</v>
      </c>
      <c r="AN154">
        <v>1.31</v>
      </c>
      <c r="AO154">
        <v>0.09</v>
      </c>
      <c r="AP154">
        <v>0.19</v>
      </c>
      <c r="AQ154">
        <v>1.03</v>
      </c>
      <c r="AR154">
        <v>0.97</v>
      </c>
      <c r="AS154">
        <v>0.04</v>
      </c>
      <c r="AT154">
        <v>0.01</v>
      </c>
      <c r="AU154">
        <v>0.02</v>
      </c>
      <c r="AV154">
        <v>2.27</v>
      </c>
      <c r="AW154">
        <v>1.28</v>
      </c>
      <c r="AX154">
        <v>0.21</v>
      </c>
      <c r="AY154">
        <v>0.53</v>
      </c>
      <c r="AZ154">
        <v>0</v>
      </c>
      <c r="BA154">
        <v>1.03</v>
      </c>
      <c r="BB154">
        <v>0.08</v>
      </c>
      <c r="BC154">
        <v>0.17</v>
      </c>
      <c r="BD154">
        <v>0.27</v>
      </c>
      <c r="BE154">
        <v>6.83</v>
      </c>
      <c r="BF154">
        <v>6.14</v>
      </c>
      <c r="BG154">
        <v>0.24</v>
      </c>
      <c r="BH154">
        <v>0.45</v>
      </c>
      <c r="BI154">
        <v>0</v>
      </c>
      <c r="BJ154">
        <v>0.04</v>
      </c>
      <c r="BK154">
        <v>6.1</v>
      </c>
      <c r="BL154">
        <v>0</v>
      </c>
      <c r="BM154">
        <v>1.81</v>
      </c>
      <c r="BN154">
        <v>0.21</v>
      </c>
      <c r="BO154">
        <v>0.46</v>
      </c>
      <c r="BP154">
        <v>1.1399999999999999</v>
      </c>
      <c r="BQ154">
        <v>0.96</v>
      </c>
      <c r="BR154">
        <v>0.06</v>
      </c>
      <c r="BS154">
        <v>0.12</v>
      </c>
      <c r="BT154">
        <v>0</v>
      </c>
      <c r="BU154">
        <v>7.24</v>
      </c>
      <c r="BV154">
        <v>6.18</v>
      </c>
      <c r="BW154">
        <v>0.34</v>
      </c>
      <c r="BX154">
        <v>0.72</v>
      </c>
      <c r="BY154">
        <v>0</v>
      </c>
      <c r="BZ154">
        <v>0.04</v>
      </c>
      <c r="CA154">
        <v>6.14</v>
      </c>
      <c r="CB154">
        <v>0</v>
      </c>
      <c r="CC154">
        <f t="shared" si="4"/>
        <v>2.75</v>
      </c>
      <c r="CD154">
        <v>3.96</v>
      </c>
      <c r="CE154">
        <v>0.34230769230769231</v>
      </c>
      <c r="CF154">
        <v>0.44500000000000001</v>
      </c>
      <c r="CG154">
        <v>0.1492537313432836</v>
      </c>
      <c r="CH154">
        <v>0.2206293706293706</v>
      </c>
      <c r="CI154">
        <v>0</v>
      </c>
      <c r="CJ154">
        <v>31750</v>
      </c>
      <c r="CK154" t="s">
        <v>141</v>
      </c>
      <c r="CL154" t="s">
        <v>935</v>
      </c>
      <c r="CM154" t="s">
        <v>143</v>
      </c>
      <c r="CN154">
        <v>0.11531399696400001</v>
      </c>
      <c r="CO154">
        <v>69.926468392480004</v>
      </c>
      <c r="CP154">
        <v>153</v>
      </c>
      <c r="CQ154" t="s">
        <v>680</v>
      </c>
      <c r="CR154">
        <v>218</v>
      </c>
      <c r="CS154" t="s">
        <v>681</v>
      </c>
      <c r="CT154" t="s">
        <v>682</v>
      </c>
      <c r="CU154" t="s">
        <v>683</v>
      </c>
      <c r="CV154" t="s">
        <v>683</v>
      </c>
      <c r="CW154" t="s">
        <v>684</v>
      </c>
      <c r="CX154" t="s">
        <v>685</v>
      </c>
      <c r="CY154" t="s">
        <v>685</v>
      </c>
      <c r="CZ154" t="s">
        <v>686</v>
      </c>
      <c r="DA154" t="s">
        <v>152</v>
      </c>
      <c r="DB154" t="s">
        <v>178</v>
      </c>
      <c r="DC154" t="s">
        <v>365</v>
      </c>
      <c r="DD154" t="s">
        <v>155</v>
      </c>
      <c r="DE154">
        <v>904</v>
      </c>
      <c r="DF154">
        <v>-75.353050999999994</v>
      </c>
      <c r="DG154">
        <v>38.439326999999999</v>
      </c>
      <c r="DH154">
        <v>4500</v>
      </c>
      <c r="DI154">
        <v>800</v>
      </c>
      <c r="DL154">
        <v>10</v>
      </c>
      <c r="DM154">
        <v>9</v>
      </c>
      <c r="DN154">
        <v>27</v>
      </c>
      <c r="DO154">
        <v>80</v>
      </c>
      <c r="DP154">
        <v>16</v>
      </c>
      <c r="DQ154">
        <v>122</v>
      </c>
      <c r="DR154">
        <v>70000</v>
      </c>
      <c r="DS154" t="s">
        <v>687</v>
      </c>
      <c r="DT154">
        <v>1.2500000000000001E-2</v>
      </c>
      <c r="DU154">
        <v>1.2500000000000001E-2</v>
      </c>
      <c r="DV154">
        <v>0.32500000000000001</v>
      </c>
      <c r="DW154">
        <v>0.32500000000000001</v>
      </c>
      <c r="DX154">
        <v>0.32500000000000001</v>
      </c>
      <c r="DY154">
        <v>4.9962194321849056</v>
      </c>
      <c r="DZ154" s="4">
        <v>3.7690000000000001</v>
      </c>
      <c r="EA154" s="4" t="s">
        <v>926</v>
      </c>
      <c r="EB154" s="4" t="s">
        <v>927</v>
      </c>
      <c r="EC154">
        <v>4.8639999999999999</v>
      </c>
      <c r="ED154">
        <v>739</v>
      </c>
      <c r="EE154" t="s">
        <v>934</v>
      </c>
      <c r="EF154">
        <v>0.45893660683090948</v>
      </c>
      <c r="EH154">
        <f t="shared" si="5"/>
        <v>0.58000000000000007</v>
      </c>
      <c r="EI154">
        <v>3.38</v>
      </c>
      <c r="EJ154">
        <v>3.65</v>
      </c>
    </row>
    <row r="155" spans="1:140" x14ac:dyDescent="0.35">
      <c r="A155" s="1">
        <v>153</v>
      </c>
      <c r="B155">
        <v>-123.8640322709162</v>
      </c>
      <c r="C155">
        <v>38.967043950069133</v>
      </c>
      <c r="D155" t="s">
        <v>936</v>
      </c>
      <c r="E155">
        <v>0.02</v>
      </c>
      <c r="F155" t="s">
        <v>160</v>
      </c>
      <c r="G155">
        <v>7.3200000000000001E-2</v>
      </c>
      <c r="H155" t="s">
        <v>161</v>
      </c>
      <c r="I155">
        <v>-13788481</v>
      </c>
      <c r="J155">
        <v>4716952</v>
      </c>
      <c r="K155" t="s">
        <v>427</v>
      </c>
      <c r="L155" t="s">
        <v>937</v>
      </c>
      <c r="M155">
        <v>23</v>
      </c>
      <c r="N155">
        <v>5.5090000000000003</v>
      </c>
      <c r="O155">
        <v>4</v>
      </c>
      <c r="P155">
        <v>9</v>
      </c>
      <c r="Q155">
        <v>6</v>
      </c>
      <c r="R155">
        <v>45</v>
      </c>
      <c r="S155">
        <v>91595</v>
      </c>
      <c r="T155" t="s">
        <v>315</v>
      </c>
      <c r="U155">
        <v>8.1439147775781446</v>
      </c>
      <c r="V155" t="s">
        <v>427</v>
      </c>
      <c r="W155">
        <v>0.27039999999999997</v>
      </c>
      <c r="X155">
        <v>10</v>
      </c>
      <c r="Y155">
        <v>8.9</v>
      </c>
      <c r="Z155">
        <v>8.9</v>
      </c>
      <c r="AA155">
        <v>20</v>
      </c>
      <c r="AB155">
        <v>26</v>
      </c>
      <c r="AC155">
        <v>0.40699999999999997</v>
      </c>
      <c r="AD155">
        <v>67</v>
      </c>
      <c r="AE155">
        <v>6.4685314685314674E-2</v>
      </c>
      <c r="AF155">
        <v>2.86</v>
      </c>
      <c r="AG155" t="s">
        <v>315</v>
      </c>
      <c r="AH155" t="s">
        <v>427</v>
      </c>
      <c r="AI155">
        <v>77</v>
      </c>
      <c r="AJ155">
        <v>2.5666666666666671E-2</v>
      </c>
      <c r="AK155">
        <v>25.666666666666671</v>
      </c>
      <c r="AL155" t="s">
        <v>938</v>
      </c>
      <c r="AM155">
        <v>13681.27422686928</v>
      </c>
      <c r="AN155">
        <v>1.74</v>
      </c>
      <c r="AO155">
        <v>0.09</v>
      </c>
      <c r="AP155">
        <v>0.19</v>
      </c>
      <c r="AQ155">
        <v>1.45</v>
      </c>
      <c r="AR155">
        <v>1.29</v>
      </c>
      <c r="AS155">
        <v>0.13</v>
      </c>
      <c r="AT155">
        <v>0.04</v>
      </c>
      <c r="AU155">
        <v>0.02</v>
      </c>
      <c r="AV155">
        <v>3.01</v>
      </c>
      <c r="AW155">
        <v>2.02</v>
      </c>
      <c r="AX155">
        <v>0.21</v>
      </c>
      <c r="AY155">
        <v>0.53</v>
      </c>
      <c r="AZ155">
        <v>0</v>
      </c>
      <c r="BA155">
        <v>1.37</v>
      </c>
      <c r="BB155">
        <v>0.24</v>
      </c>
      <c r="BC155">
        <v>0.41</v>
      </c>
      <c r="BD155">
        <v>0.27</v>
      </c>
      <c r="BE155">
        <v>15.79</v>
      </c>
      <c r="BF155">
        <v>15.1</v>
      </c>
      <c r="BG155">
        <v>0.24</v>
      </c>
      <c r="BH155">
        <v>0.45</v>
      </c>
      <c r="BI155">
        <v>0</v>
      </c>
      <c r="BJ155">
        <v>0.11</v>
      </c>
      <c r="BK155">
        <v>14.98</v>
      </c>
      <c r="BL155">
        <v>0</v>
      </c>
      <c r="BM155">
        <v>2.41</v>
      </c>
      <c r="BN155">
        <v>0.21</v>
      </c>
      <c r="BO155">
        <v>0.46</v>
      </c>
      <c r="BP155">
        <v>1.74</v>
      </c>
      <c r="BQ155">
        <v>1.27</v>
      </c>
      <c r="BR155">
        <v>0.17</v>
      </c>
      <c r="BS155">
        <v>0.3</v>
      </c>
      <c r="BT155">
        <v>0</v>
      </c>
      <c r="BU155">
        <v>16.239999999999998</v>
      </c>
      <c r="BV155">
        <v>15.18</v>
      </c>
      <c r="BW155">
        <v>0.34</v>
      </c>
      <c r="BX155">
        <v>0.72</v>
      </c>
      <c r="BY155">
        <v>0</v>
      </c>
      <c r="BZ155">
        <v>0.11</v>
      </c>
      <c r="CA155">
        <v>15.07</v>
      </c>
      <c r="CB155">
        <v>0</v>
      </c>
      <c r="CC155">
        <f t="shared" si="4"/>
        <v>2.75</v>
      </c>
      <c r="CD155">
        <v>3.96</v>
      </c>
      <c r="CE155">
        <v>0.34230769230769231</v>
      </c>
      <c r="CF155">
        <v>0.44500000000000001</v>
      </c>
      <c r="CG155">
        <v>0.1492537313432836</v>
      </c>
      <c r="CH155">
        <v>0.1423076923076923</v>
      </c>
      <c r="CI155">
        <v>0</v>
      </c>
      <c r="CJ155">
        <v>21366</v>
      </c>
      <c r="CK155" t="s">
        <v>169</v>
      </c>
      <c r="CL155" t="s">
        <v>697</v>
      </c>
      <c r="CM155" t="s">
        <v>143</v>
      </c>
      <c r="CN155">
        <v>1.05056571178</v>
      </c>
      <c r="CO155">
        <v>47.313377914742809</v>
      </c>
      <c r="CP155">
        <v>154</v>
      </c>
      <c r="CQ155" t="s">
        <v>939</v>
      </c>
      <c r="CR155">
        <v>223</v>
      </c>
      <c r="CS155" t="s">
        <v>717</v>
      </c>
      <c r="CT155" t="s">
        <v>718</v>
      </c>
      <c r="CU155" t="s">
        <v>315</v>
      </c>
      <c r="CV155" t="s">
        <v>719</v>
      </c>
      <c r="CW155" t="s">
        <v>720</v>
      </c>
      <c r="CX155" t="s">
        <v>721</v>
      </c>
      <c r="CY155" t="s">
        <v>551</v>
      </c>
      <c r="CZ155" t="s">
        <v>319</v>
      </c>
      <c r="DA155" t="s">
        <v>152</v>
      </c>
      <c r="DB155" t="s">
        <v>178</v>
      </c>
      <c r="DC155" t="s">
        <v>207</v>
      </c>
      <c r="DD155" t="s">
        <v>155</v>
      </c>
      <c r="DE155">
        <v>2069</v>
      </c>
      <c r="DF155">
        <v>-121.36967300000001</v>
      </c>
      <c r="DG155">
        <v>38.049534000000001</v>
      </c>
      <c r="DH155">
        <v>7600</v>
      </c>
      <c r="DI155">
        <v>1000</v>
      </c>
      <c r="DL155">
        <v>18</v>
      </c>
      <c r="DM155">
        <v>15</v>
      </c>
      <c r="DN155">
        <v>30</v>
      </c>
      <c r="DO155">
        <v>5</v>
      </c>
      <c r="DP155">
        <v>10</v>
      </c>
      <c r="DQ155">
        <v>1700</v>
      </c>
      <c r="DS155" t="s">
        <v>322</v>
      </c>
      <c r="DT155">
        <v>1.2500000000000001E-2</v>
      </c>
      <c r="DU155">
        <v>1.2500000000000001E-2</v>
      </c>
      <c r="DV155">
        <v>0.32500000000000001</v>
      </c>
      <c r="DW155">
        <v>0.32500000000000001</v>
      </c>
      <c r="DX155">
        <v>0.32500000000000001</v>
      </c>
      <c r="DY155">
        <v>0</v>
      </c>
      <c r="DZ155" s="4">
        <v>5.3979999999999997</v>
      </c>
      <c r="EA155" s="4" t="s">
        <v>432</v>
      </c>
      <c r="EB155" s="4" t="s">
        <v>433</v>
      </c>
      <c r="EC155">
        <v>6.4850000000000003</v>
      </c>
      <c r="ED155">
        <v>359</v>
      </c>
      <c r="EE155" t="s">
        <v>938</v>
      </c>
      <c r="EF155">
        <v>0.12258934399315689</v>
      </c>
      <c r="EH155">
        <f t="shared" si="5"/>
        <v>0.58000000000000007</v>
      </c>
      <c r="EI155">
        <v>3.38</v>
      </c>
      <c r="EJ155">
        <v>3.65</v>
      </c>
    </row>
    <row r="156" spans="1:140" x14ac:dyDescent="0.35">
      <c r="A156" s="1">
        <v>154</v>
      </c>
      <c r="B156">
        <v>-122.0674017026772</v>
      </c>
      <c r="C156">
        <v>38.967043950069133</v>
      </c>
      <c r="D156" t="s">
        <v>940</v>
      </c>
      <c r="E156">
        <v>0.02</v>
      </c>
      <c r="F156" t="s">
        <v>160</v>
      </c>
      <c r="G156">
        <v>0.16800000000000001</v>
      </c>
      <c r="H156" t="s">
        <v>161</v>
      </c>
      <c r="I156">
        <v>-13588481</v>
      </c>
      <c r="J156">
        <v>4716952</v>
      </c>
      <c r="K156" t="s">
        <v>427</v>
      </c>
      <c r="L156" t="s">
        <v>941</v>
      </c>
      <c r="M156">
        <v>6</v>
      </c>
      <c r="N156">
        <v>5.3040000000000003</v>
      </c>
      <c r="O156">
        <v>4</v>
      </c>
      <c r="P156">
        <v>9</v>
      </c>
      <c r="Q156">
        <v>6</v>
      </c>
      <c r="R156">
        <v>11</v>
      </c>
      <c r="S156">
        <v>21837</v>
      </c>
      <c r="T156" t="s">
        <v>315</v>
      </c>
      <c r="U156">
        <v>8.1439147775781446</v>
      </c>
      <c r="V156" t="s">
        <v>427</v>
      </c>
      <c r="W156">
        <v>0.27039999999999997</v>
      </c>
      <c r="X156">
        <v>10</v>
      </c>
      <c r="Y156">
        <v>8.9</v>
      </c>
      <c r="Z156">
        <v>8.9</v>
      </c>
      <c r="AA156">
        <v>20</v>
      </c>
      <c r="AB156">
        <v>26</v>
      </c>
      <c r="AC156">
        <v>0.40699999999999997</v>
      </c>
      <c r="AD156">
        <v>67</v>
      </c>
      <c r="AE156">
        <v>6.4685314685314674E-2</v>
      </c>
      <c r="AF156">
        <v>2.86</v>
      </c>
      <c r="AG156" t="s">
        <v>315</v>
      </c>
      <c r="AH156" t="s">
        <v>427</v>
      </c>
      <c r="AI156">
        <v>77</v>
      </c>
      <c r="AJ156">
        <v>2.5666666666666671E-2</v>
      </c>
      <c r="AK156">
        <v>25.666666666666671</v>
      </c>
      <c r="AL156" t="s">
        <v>942</v>
      </c>
      <c r="AM156">
        <v>5900.34512015771</v>
      </c>
      <c r="AN156">
        <v>1.74</v>
      </c>
      <c r="AO156">
        <v>0.09</v>
      </c>
      <c r="AP156">
        <v>0.19</v>
      </c>
      <c r="AQ156">
        <v>1.45</v>
      </c>
      <c r="AR156">
        <v>1.29</v>
      </c>
      <c r="AS156">
        <v>0.13</v>
      </c>
      <c r="AT156">
        <v>0.04</v>
      </c>
      <c r="AU156">
        <v>0.02</v>
      </c>
      <c r="AV156">
        <v>3.01</v>
      </c>
      <c r="AW156">
        <v>2.02</v>
      </c>
      <c r="AX156">
        <v>0.21</v>
      </c>
      <c r="AY156">
        <v>0.53</v>
      </c>
      <c r="AZ156">
        <v>0</v>
      </c>
      <c r="BA156">
        <v>1.37</v>
      </c>
      <c r="BB156">
        <v>0.24</v>
      </c>
      <c r="BC156">
        <v>0.41</v>
      </c>
      <c r="BD156">
        <v>0.27</v>
      </c>
      <c r="BE156">
        <v>15.79</v>
      </c>
      <c r="BF156">
        <v>15.1</v>
      </c>
      <c r="BG156">
        <v>0.24</v>
      </c>
      <c r="BH156">
        <v>0.45</v>
      </c>
      <c r="BI156">
        <v>0</v>
      </c>
      <c r="BJ156">
        <v>0.11</v>
      </c>
      <c r="BK156">
        <v>14.98</v>
      </c>
      <c r="BL156">
        <v>0</v>
      </c>
      <c r="BM156">
        <v>2.41</v>
      </c>
      <c r="BN156">
        <v>0.21</v>
      </c>
      <c r="BO156">
        <v>0.46</v>
      </c>
      <c r="BP156">
        <v>1.74</v>
      </c>
      <c r="BQ156">
        <v>1.27</v>
      </c>
      <c r="BR156">
        <v>0.17</v>
      </c>
      <c r="BS156">
        <v>0.3</v>
      </c>
      <c r="BT156">
        <v>0</v>
      </c>
      <c r="BU156">
        <v>16.239999999999998</v>
      </c>
      <c r="BV156">
        <v>15.18</v>
      </c>
      <c r="BW156">
        <v>0.34</v>
      </c>
      <c r="BX156">
        <v>0.72</v>
      </c>
      <c r="BY156">
        <v>0</v>
      </c>
      <c r="BZ156">
        <v>0.11</v>
      </c>
      <c r="CA156">
        <v>15.07</v>
      </c>
      <c r="CB156">
        <v>0</v>
      </c>
      <c r="CC156">
        <f t="shared" si="4"/>
        <v>2.75</v>
      </c>
      <c r="CD156">
        <v>3.96</v>
      </c>
      <c r="CE156">
        <v>0.34230769230769231</v>
      </c>
      <c r="CF156">
        <v>0.44500000000000001</v>
      </c>
      <c r="CG156">
        <v>0.1492537313432836</v>
      </c>
      <c r="CH156">
        <v>0.1423076923076923</v>
      </c>
      <c r="CI156">
        <v>0</v>
      </c>
      <c r="CJ156">
        <v>23922</v>
      </c>
      <c r="CK156" t="s">
        <v>169</v>
      </c>
      <c r="CL156" t="s">
        <v>697</v>
      </c>
      <c r="CM156" t="s">
        <v>143</v>
      </c>
      <c r="CN156">
        <v>3.4392721090400001E-2</v>
      </c>
      <c r="CO156">
        <v>0.11437374885282529</v>
      </c>
      <c r="CP156">
        <v>155</v>
      </c>
      <c r="CQ156" t="s">
        <v>702</v>
      </c>
      <c r="CR156">
        <v>204</v>
      </c>
      <c r="CS156" t="s">
        <v>546</v>
      </c>
      <c r="CT156" t="s">
        <v>547</v>
      </c>
      <c r="CU156" t="s">
        <v>315</v>
      </c>
      <c r="CV156" t="s">
        <v>548</v>
      </c>
      <c r="CW156" t="s">
        <v>549</v>
      </c>
      <c r="CX156" t="s">
        <v>550</v>
      </c>
      <c r="CY156" t="s">
        <v>551</v>
      </c>
      <c r="CZ156" t="s">
        <v>319</v>
      </c>
      <c r="DA156" t="s">
        <v>152</v>
      </c>
      <c r="DB156" t="s">
        <v>178</v>
      </c>
      <c r="DC156" t="s">
        <v>207</v>
      </c>
      <c r="DD156" t="s">
        <v>180</v>
      </c>
      <c r="DE156">
        <v>2393</v>
      </c>
      <c r="DF156">
        <v>-119.305311</v>
      </c>
      <c r="DG156">
        <v>35.410406000000002</v>
      </c>
      <c r="DH156">
        <v>7200</v>
      </c>
      <c r="DI156">
        <v>200</v>
      </c>
      <c r="DL156">
        <v>15</v>
      </c>
      <c r="DM156">
        <v>10</v>
      </c>
      <c r="DN156">
        <v>40</v>
      </c>
      <c r="DO156">
        <v>50</v>
      </c>
      <c r="DP156">
        <v>0.2</v>
      </c>
      <c r="DQ156">
        <v>10000</v>
      </c>
      <c r="DS156" t="s">
        <v>322</v>
      </c>
      <c r="DT156">
        <v>1.2500000000000001E-2</v>
      </c>
      <c r="DU156">
        <v>1.2500000000000001E-2</v>
      </c>
      <c r="DV156">
        <v>0.32500000000000001</v>
      </c>
      <c r="DW156">
        <v>0.32500000000000001</v>
      </c>
      <c r="DX156">
        <v>0.32500000000000001</v>
      </c>
      <c r="DY156">
        <v>0</v>
      </c>
      <c r="DZ156" s="4">
        <v>5.3979999999999997</v>
      </c>
      <c r="EA156" s="4" t="s">
        <v>432</v>
      </c>
      <c r="EB156" s="4" t="s">
        <v>433</v>
      </c>
      <c r="EC156">
        <v>6.4850000000000003</v>
      </c>
      <c r="ED156">
        <v>125</v>
      </c>
      <c r="EE156" t="s">
        <v>942</v>
      </c>
      <c r="EF156">
        <v>4.1223361104353311E-2</v>
      </c>
      <c r="EH156">
        <f t="shared" si="5"/>
        <v>0.58000000000000007</v>
      </c>
      <c r="EI156">
        <v>3.38</v>
      </c>
      <c r="EJ156">
        <v>3.65</v>
      </c>
    </row>
    <row r="157" spans="1:140" x14ac:dyDescent="0.35">
      <c r="A157" s="1">
        <v>155</v>
      </c>
      <c r="B157">
        <v>-120.27077113443811</v>
      </c>
      <c r="C157">
        <v>38.967043950069133</v>
      </c>
      <c r="D157" t="s">
        <v>943</v>
      </c>
      <c r="E157">
        <v>0.1</v>
      </c>
      <c r="F157" t="s">
        <v>135</v>
      </c>
      <c r="G157">
        <v>0.16800000000000001</v>
      </c>
      <c r="H157" t="s">
        <v>161</v>
      </c>
      <c r="I157">
        <v>-13388481</v>
      </c>
      <c r="J157">
        <v>4716952</v>
      </c>
      <c r="K157" t="s">
        <v>427</v>
      </c>
      <c r="L157" t="s">
        <v>944</v>
      </c>
      <c r="M157">
        <v>9</v>
      </c>
      <c r="N157">
        <v>5.516</v>
      </c>
      <c r="O157">
        <v>4</v>
      </c>
      <c r="P157">
        <v>9</v>
      </c>
      <c r="Q157">
        <v>6</v>
      </c>
      <c r="R157">
        <v>17</v>
      </c>
      <c r="S157">
        <v>191184</v>
      </c>
      <c r="T157" t="s">
        <v>315</v>
      </c>
      <c r="U157">
        <v>8.1439147775781446</v>
      </c>
      <c r="V157" t="s">
        <v>427</v>
      </c>
      <c r="W157">
        <v>0.27039999999999997</v>
      </c>
      <c r="X157">
        <v>10</v>
      </c>
      <c r="Y157">
        <v>8.9</v>
      </c>
      <c r="Z157">
        <v>8.9</v>
      </c>
      <c r="AA157">
        <v>20</v>
      </c>
      <c r="AB157">
        <v>26</v>
      </c>
      <c r="AC157">
        <v>0.40699999999999997</v>
      </c>
      <c r="AD157">
        <v>67</v>
      </c>
      <c r="AE157">
        <v>6.4685314685314674E-2</v>
      </c>
      <c r="AF157">
        <v>2.86</v>
      </c>
      <c r="AG157" t="s">
        <v>315</v>
      </c>
      <c r="AH157" t="s">
        <v>427</v>
      </c>
      <c r="AI157">
        <v>77</v>
      </c>
      <c r="AJ157">
        <v>2.5666666666666671E-2</v>
      </c>
      <c r="AK157">
        <v>25.666666666666671</v>
      </c>
      <c r="AL157" t="s">
        <v>942</v>
      </c>
      <c r="AM157">
        <v>0</v>
      </c>
      <c r="AN157">
        <v>1.74</v>
      </c>
      <c r="AO157">
        <v>0.09</v>
      </c>
      <c r="AP157">
        <v>0.19</v>
      </c>
      <c r="AQ157">
        <v>1.45</v>
      </c>
      <c r="AR157">
        <v>1.29</v>
      </c>
      <c r="AS157">
        <v>0.13</v>
      </c>
      <c r="AT157">
        <v>0.04</v>
      </c>
      <c r="AU157">
        <v>0.02</v>
      </c>
      <c r="AV157">
        <v>3.01</v>
      </c>
      <c r="AW157">
        <v>2.02</v>
      </c>
      <c r="AX157">
        <v>0.21</v>
      </c>
      <c r="AY157">
        <v>0.53</v>
      </c>
      <c r="AZ157">
        <v>0</v>
      </c>
      <c r="BA157">
        <v>1.37</v>
      </c>
      <c r="BB157">
        <v>0.24</v>
      </c>
      <c r="BC157">
        <v>0.41</v>
      </c>
      <c r="BD157">
        <v>0.27</v>
      </c>
      <c r="BE157">
        <v>15.79</v>
      </c>
      <c r="BF157">
        <v>15.1</v>
      </c>
      <c r="BG157">
        <v>0.24</v>
      </c>
      <c r="BH157">
        <v>0.45</v>
      </c>
      <c r="BI157">
        <v>0</v>
      </c>
      <c r="BJ157">
        <v>0.11</v>
      </c>
      <c r="BK157">
        <v>14.98</v>
      </c>
      <c r="BL157">
        <v>0</v>
      </c>
      <c r="BM157">
        <v>2.41</v>
      </c>
      <c r="BN157">
        <v>0.21</v>
      </c>
      <c r="BO157">
        <v>0.46</v>
      </c>
      <c r="BP157">
        <v>1.74</v>
      </c>
      <c r="BQ157">
        <v>1.27</v>
      </c>
      <c r="BR157">
        <v>0.17</v>
      </c>
      <c r="BS157">
        <v>0.3</v>
      </c>
      <c r="BT157">
        <v>0</v>
      </c>
      <c r="BU157">
        <v>16.239999999999998</v>
      </c>
      <c r="BV157">
        <v>15.18</v>
      </c>
      <c r="BW157">
        <v>0.34</v>
      </c>
      <c r="BX157">
        <v>0.72</v>
      </c>
      <c r="BY157">
        <v>0</v>
      </c>
      <c r="BZ157">
        <v>0.11</v>
      </c>
      <c r="CA157">
        <v>15.07</v>
      </c>
      <c r="CB157">
        <v>0</v>
      </c>
      <c r="CC157">
        <f t="shared" si="4"/>
        <v>2.75</v>
      </c>
      <c r="CD157">
        <v>3.96</v>
      </c>
      <c r="CE157">
        <v>0.34230769230769231</v>
      </c>
      <c r="CF157">
        <v>0.44500000000000001</v>
      </c>
      <c r="CG157">
        <v>0.1492537313432836</v>
      </c>
      <c r="CH157">
        <v>0.1423076923076923</v>
      </c>
      <c r="CI157">
        <v>0</v>
      </c>
      <c r="CJ157">
        <v>23008</v>
      </c>
      <c r="CK157" t="s">
        <v>169</v>
      </c>
      <c r="CL157" t="s">
        <v>716</v>
      </c>
      <c r="CM157" t="s">
        <v>143</v>
      </c>
      <c r="CN157">
        <v>7.6799999999999993E-2</v>
      </c>
      <c r="CO157">
        <v>14.815798851879769</v>
      </c>
      <c r="CP157">
        <v>156</v>
      </c>
      <c r="CQ157" t="s">
        <v>702</v>
      </c>
      <c r="CR157">
        <v>204</v>
      </c>
      <c r="CS157" t="s">
        <v>546</v>
      </c>
      <c r="CT157" t="s">
        <v>547</v>
      </c>
      <c r="CU157" t="s">
        <v>315</v>
      </c>
      <c r="CV157" t="s">
        <v>548</v>
      </c>
      <c r="CW157" t="s">
        <v>549</v>
      </c>
      <c r="CX157" t="s">
        <v>550</v>
      </c>
      <c r="CY157" t="s">
        <v>551</v>
      </c>
      <c r="CZ157" t="s">
        <v>319</v>
      </c>
      <c r="DA157" t="s">
        <v>152</v>
      </c>
      <c r="DB157" t="s">
        <v>178</v>
      </c>
      <c r="DC157" t="s">
        <v>207</v>
      </c>
      <c r="DD157" t="s">
        <v>180</v>
      </c>
      <c r="DE157">
        <v>2393</v>
      </c>
      <c r="DF157">
        <v>-119.305311</v>
      </c>
      <c r="DG157">
        <v>35.410406000000002</v>
      </c>
      <c r="DH157">
        <v>7200</v>
      </c>
      <c r="DI157">
        <v>200</v>
      </c>
      <c r="DL157">
        <v>15</v>
      </c>
      <c r="DM157">
        <v>10</v>
      </c>
      <c r="DN157">
        <v>40</v>
      </c>
      <c r="DO157">
        <v>50</v>
      </c>
      <c r="DP157">
        <v>0.2</v>
      </c>
      <c r="DQ157">
        <v>10000</v>
      </c>
      <c r="DS157" t="s">
        <v>322</v>
      </c>
      <c r="DT157">
        <v>1.2500000000000001E-2</v>
      </c>
      <c r="DU157">
        <v>1.2500000000000001E-2</v>
      </c>
      <c r="DV157">
        <v>0.32500000000000001</v>
      </c>
      <c r="DW157">
        <v>0.32500000000000001</v>
      </c>
      <c r="DX157">
        <v>0.32500000000000001</v>
      </c>
      <c r="DY157">
        <v>63.564830994788217</v>
      </c>
      <c r="DZ157" s="4">
        <v>5.3979999999999997</v>
      </c>
      <c r="EA157" s="4" t="s">
        <v>432</v>
      </c>
      <c r="EB157" s="4" t="s">
        <v>433</v>
      </c>
      <c r="EC157">
        <v>6.4850000000000003</v>
      </c>
      <c r="ED157">
        <v>125</v>
      </c>
      <c r="EE157" t="s">
        <v>942</v>
      </c>
      <c r="EF157">
        <v>0</v>
      </c>
      <c r="EH157">
        <f t="shared" si="5"/>
        <v>0.58000000000000007</v>
      </c>
      <c r="EI157">
        <v>3.38</v>
      </c>
      <c r="EJ157">
        <v>3.65</v>
      </c>
    </row>
    <row r="158" spans="1:140" x14ac:dyDescent="0.35">
      <c r="A158" s="1">
        <v>156</v>
      </c>
      <c r="B158">
        <v>-118.4741405661991</v>
      </c>
      <c r="C158">
        <v>38.967043950069133</v>
      </c>
      <c r="D158" t="s">
        <v>945</v>
      </c>
      <c r="E158">
        <v>0.1</v>
      </c>
      <c r="F158" t="s">
        <v>135</v>
      </c>
      <c r="G158">
        <v>7.3200000000000001E-2</v>
      </c>
      <c r="H158" t="s">
        <v>161</v>
      </c>
      <c r="I158">
        <v>-13188481</v>
      </c>
      <c r="J158">
        <v>4716952</v>
      </c>
      <c r="K158" t="s">
        <v>712</v>
      </c>
      <c r="L158" t="s">
        <v>946</v>
      </c>
      <c r="M158">
        <v>12</v>
      </c>
      <c r="N158">
        <v>5.4850000000000003</v>
      </c>
      <c r="O158">
        <v>4</v>
      </c>
      <c r="P158">
        <v>8</v>
      </c>
      <c r="Q158">
        <v>32</v>
      </c>
      <c r="R158">
        <v>21</v>
      </c>
      <c r="S158">
        <v>4555</v>
      </c>
      <c r="T158" t="s">
        <v>714</v>
      </c>
      <c r="U158">
        <v>8.0104643432458005</v>
      </c>
      <c r="V158" t="s">
        <v>712</v>
      </c>
      <c r="W158">
        <v>0.1147</v>
      </c>
      <c r="X158">
        <v>10</v>
      </c>
      <c r="Y158">
        <v>8.9</v>
      </c>
      <c r="Z158">
        <v>8.9</v>
      </c>
      <c r="AA158">
        <v>20</v>
      </c>
      <c r="AB158">
        <v>26</v>
      </c>
      <c r="AC158">
        <v>0.63100000000000001</v>
      </c>
      <c r="AD158">
        <v>67</v>
      </c>
      <c r="AE158">
        <v>0.1002860775588048</v>
      </c>
      <c r="AF158">
        <v>2.86</v>
      </c>
      <c r="AG158" t="s">
        <v>714</v>
      </c>
      <c r="AH158" t="s">
        <v>712</v>
      </c>
      <c r="AI158">
        <v>26</v>
      </c>
      <c r="AJ158">
        <v>8.6666666666666663E-3</v>
      </c>
      <c r="AK158">
        <v>8.6666666666666661</v>
      </c>
      <c r="AL158" t="s">
        <v>947</v>
      </c>
      <c r="AM158">
        <v>15280.205740220599</v>
      </c>
      <c r="AN158">
        <v>1.61</v>
      </c>
      <c r="AO158">
        <v>0.09</v>
      </c>
      <c r="AP158">
        <v>0.19</v>
      </c>
      <c r="AQ158">
        <v>1.32</v>
      </c>
      <c r="AR158">
        <v>1.27</v>
      </c>
      <c r="AS158">
        <v>0.04</v>
      </c>
      <c r="AT158">
        <v>0.01</v>
      </c>
      <c r="AU158">
        <v>0.02</v>
      </c>
      <c r="AV158">
        <v>2.59</v>
      </c>
      <c r="AW158">
        <v>1.59</v>
      </c>
      <c r="AX158">
        <v>0.21</v>
      </c>
      <c r="AY158">
        <v>0.53</v>
      </c>
      <c r="AZ158">
        <v>0</v>
      </c>
      <c r="BA158">
        <v>1.35</v>
      </c>
      <c r="BB158">
        <v>0.08</v>
      </c>
      <c r="BC158">
        <v>0.17</v>
      </c>
      <c r="BD158">
        <v>0.27</v>
      </c>
      <c r="BE158">
        <v>6.83</v>
      </c>
      <c r="BF158">
        <v>6.14</v>
      </c>
      <c r="BG158">
        <v>0.24</v>
      </c>
      <c r="BH158">
        <v>0.45</v>
      </c>
      <c r="BI158">
        <v>0</v>
      </c>
      <c r="BJ158">
        <v>0.04</v>
      </c>
      <c r="BK158">
        <v>6.1</v>
      </c>
      <c r="BL158">
        <v>0</v>
      </c>
      <c r="BM158">
        <v>2.1</v>
      </c>
      <c r="BN158">
        <v>0.21</v>
      </c>
      <c r="BO158">
        <v>0.46</v>
      </c>
      <c r="BP158">
        <v>1.43</v>
      </c>
      <c r="BQ158">
        <v>1.25</v>
      </c>
      <c r="BR158">
        <v>0.06</v>
      </c>
      <c r="BS158">
        <v>0.12</v>
      </c>
      <c r="BT158">
        <v>0</v>
      </c>
      <c r="BU158">
        <v>7.24</v>
      </c>
      <c r="BV158">
        <v>6.18</v>
      </c>
      <c r="BW158">
        <v>0.34</v>
      </c>
      <c r="BX158">
        <v>0.72</v>
      </c>
      <c r="BY158">
        <v>0</v>
      </c>
      <c r="BZ158">
        <v>0.04</v>
      </c>
      <c r="CA158">
        <v>6.14</v>
      </c>
      <c r="CB158">
        <v>0</v>
      </c>
      <c r="CC158">
        <f t="shared" si="4"/>
        <v>2.75</v>
      </c>
      <c r="CD158">
        <v>3.96</v>
      </c>
      <c r="CE158">
        <v>0.34230769230769231</v>
      </c>
      <c r="CF158">
        <v>0.44500000000000001</v>
      </c>
      <c r="CG158">
        <v>0.1492537313432836</v>
      </c>
      <c r="CH158">
        <v>0.2206293706293706</v>
      </c>
      <c r="CI158">
        <v>0</v>
      </c>
      <c r="CJ158">
        <v>21373</v>
      </c>
      <c r="CK158" t="s">
        <v>169</v>
      </c>
      <c r="CL158" t="s">
        <v>948</v>
      </c>
      <c r="CM158" t="s">
        <v>143</v>
      </c>
      <c r="CN158">
        <v>1.17655425141</v>
      </c>
      <c r="CO158">
        <v>9.4290360009550991</v>
      </c>
      <c r="CP158">
        <v>157</v>
      </c>
      <c r="CQ158" t="s">
        <v>712</v>
      </c>
      <c r="CR158">
        <v>223</v>
      </c>
      <c r="CS158" t="s">
        <v>717</v>
      </c>
      <c r="CT158" t="s">
        <v>718</v>
      </c>
      <c r="CU158" t="s">
        <v>315</v>
      </c>
      <c r="CV158" t="s">
        <v>719</v>
      </c>
      <c r="CW158" t="s">
        <v>720</v>
      </c>
      <c r="CX158" t="s">
        <v>721</v>
      </c>
      <c r="CY158" t="s">
        <v>551</v>
      </c>
      <c r="CZ158" t="s">
        <v>319</v>
      </c>
      <c r="DA158" t="s">
        <v>152</v>
      </c>
      <c r="DB158" t="s">
        <v>178</v>
      </c>
      <c r="DC158" t="s">
        <v>207</v>
      </c>
      <c r="DD158" t="s">
        <v>155</v>
      </c>
      <c r="DE158">
        <v>2069</v>
      </c>
      <c r="DF158">
        <v>-121.36967300000001</v>
      </c>
      <c r="DG158">
        <v>38.049534000000001</v>
      </c>
      <c r="DH158">
        <v>7600</v>
      </c>
      <c r="DI158">
        <v>1000</v>
      </c>
      <c r="DL158">
        <v>18</v>
      </c>
      <c r="DM158">
        <v>15</v>
      </c>
      <c r="DN158">
        <v>30</v>
      </c>
      <c r="DO158">
        <v>5</v>
      </c>
      <c r="DP158">
        <v>10</v>
      </c>
      <c r="DQ158">
        <v>1700</v>
      </c>
      <c r="DS158" t="s">
        <v>322</v>
      </c>
      <c r="DT158">
        <v>1.2500000000000001E-2</v>
      </c>
      <c r="DU158">
        <v>1.2500000000000001E-2</v>
      </c>
      <c r="DV158">
        <v>0.32500000000000001</v>
      </c>
      <c r="DW158">
        <v>0.32500000000000001</v>
      </c>
      <c r="DX158">
        <v>0.32500000000000001</v>
      </c>
      <c r="DY158">
        <v>9.3208602171046806</v>
      </c>
      <c r="DZ158" s="4">
        <v>4.5750000000000002</v>
      </c>
      <c r="EA158" s="4" t="s">
        <v>722</v>
      </c>
      <c r="EB158" s="4" t="s">
        <v>723</v>
      </c>
      <c r="EC158">
        <v>5.3360000000000003</v>
      </c>
      <c r="ED158">
        <v>395</v>
      </c>
      <c r="EE158" t="s">
        <v>947</v>
      </c>
      <c r="EF158">
        <v>0.10664385571585221</v>
      </c>
      <c r="EH158">
        <f t="shared" si="5"/>
        <v>0.58000000000000007</v>
      </c>
      <c r="EI158">
        <v>3.38</v>
      </c>
      <c r="EJ158">
        <v>3.65</v>
      </c>
    </row>
    <row r="159" spans="1:140" x14ac:dyDescent="0.35">
      <c r="A159" s="1">
        <v>157</v>
      </c>
      <c r="B159">
        <v>-116.6775099979601</v>
      </c>
      <c r="C159">
        <v>38.967043950069133</v>
      </c>
      <c r="D159" t="s">
        <v>949</v>
      </c>
      <c r="E159">
        <v>0.1</v>
      </c>
      <c r="F159" t="s">
        <v>135</v>
      </c>
      <c r="G159">
        <v>7.3200000000000001E-2</v>
      </c>
      <c r="H159" t="s">
        <v>161</v>
      </c>
      <c r="I159">
        <v>-12988481</v>
      </c>
      <c r="J159">
        <v>4716952</v>
      </c>
      <c r="K159" t="s">
        <v>712</v>
      </c>
      <c r="L159" t="s">
        <v>830</v>
      </c>
      <c r="M159">
        <v>13</v>
      </c>
      <c r="N159">
        <v>4.1580000000000004</v>
      </c>
      <c r="O159">
        <v>4</v>
      </c>
      <c r="P159">
        <v>8</v>
      </c>
      <c r="Q159">
        <v>32</v>
      </c>
      <c r="R159">
        <v>23</v>
      </c>
      <c r="S159">
        <v>51590</v>
      </c>
      <c r="T159" t="s">
        <v>714</v>
      </c>
      <c r="U159">
        <v>8.0104643432458005</v>
      </c>
      <c r="V159" t="s">
        <v>712</v>
      </c>
      <c r="W159">
        <v>0.1147</v>
      </c>
      <c r="X159">
        <v>10</v>
      </c>
      <c r="Y159">
        <v>8.9</v>
      </c>
      <c r="Z159">
        <v>8.9</v>
      </c>
      <c r="AA159">
        <v>20</v>
      </c>
      <c r="AB159">
        <v>26</v>
      </c>
      <c r="AC159">
        <v>0.63100000000000001</v>
      </c>
      <c r="AD159">
        <v>67</v>
      </c>
      <c r="AE159">
        <v>0.1002860775588048</v>
      </c>
      <c r="AF159">
        <v>2.86</v>
      </c>
      <c r="AG159" t="s">
        <v>714</v>
      </c>
      <c r="AH159" t="s">
        <v>712</v>
      </c>
      <c r="AI159">
        <v>26</v>
      </c>
      <c r="AJ159">
        <v>8.6666666666666663E-3</v>
      </c>
      <c r="AK159">
        <v>8.6666666666666661</v>
      </c>
      <c r="AL159" t="s">
        <v>831</v>
      </c>
      <c r="AM159">
        <v>0</v>
      </c>
      <c r="AN159">
        <v>1.61</v>
      </c>
      <c r="AO159">
        <v>0.09</v>
      </c>
      <c r="AP159">
        <v>0.19</v>
      </c>
      <c r="AQ159">
        <v>1.32</v>
      </c>
      <c r="AR159">
        <v>1.27</v>
      </c>
      <c r="AS159">
        <v>0.04</v>
      </c>
      <c r="AT159">
        <v>0.01</v>
      </c>
      <c r="AU159">
        <v>0.02</v>
      </c>
      <c r="AV159">
        <v>2.59</v>
      </c>
      <c r="AW159">
        <v>1.59</v>
      </c>
      <c r="AX159">
        <v>0.21</v>
      </c>
      <c r="AY159">
        <v>0.53</v>
      </c>
      <c r="AZ159">
        <v>0</v>
      </c>
      <c r="BA159">
        <v>1.35</v>
      </c>
      <c r="BB159">
        <v>0.08</v>
      </c>
      <c r="BC159">
        <v>0.17</v>
      </c>
      <c r="BD159">
        <v>0.27</v>
      </c>
      <c r="BE159">
        <v>6.83</v>
      </c>
      <c r="BF159">
        <v>6.14</v>
      </c>
      <c r="BG159">
        <v>0.24</v>
      </c>
      <c r="BH159">
        <v>0.45</v>
      </c>
      <c r="BI159">
        <v>0</v>
      </c>
      <c r="BJ159">
        <v>0.04</v>
      </c>
      <c r="BK159">
        <v>6.1</v>
      </c>
      <c r="BL159">
        <v>0</v>
      </c>
      <c r="BM159">
        <v>2.1</v>
      </c>
      <c r="BN159">
        <v>0.21</v>
      </c>
      <c r="BO159">
        <v>0.46</v>
      </c>
      <c r="BP159">
        <v>1.43</v>
      </c>
      <c r="BQ159">
        <v>1.25</v>
      </c>
      <c r="BR159">
        <v>0.06</v>
      </c>
      <c r="BS159">
        <v>0.12</v>
      </c>
      <c r="BT159">
        <v>0</v>
      </c>
      <c r="BU159">
        <v>7.24</v>
      </c>
      <c r="BV159">
        <v>6.18</v>
      </c>
      <c r="BW159">
        <v>0.34</v>
      </c>
      <c r="BX159">
        <v>0.72</v>
      </c>
      <c r="BY159">
        <v>0</v>
      </c>
      <c r="BZ159">
        <v>0.04</v>
      </c>
      <c r="CA159">
        <v>6.14</v>
      </c>
      <c r="CB159">
        <v>0</v>
      </c>
      <c r="CC159">
        <f t="shared" si="4"/>
        <v>2.75</v>
      </c>
      <c r="CD159">
        <v>3.96</v>
      </c>
      <c r="CE159">
        <v>0.34230769230769231</v>
      </c>
      <c r="CF159">
        <v>0.44500000000000001</v>
      </c>
      <c r="CG159">
        <v>0.1492537313432836</v>
      </c>
      <c r="CH159">
        <v>0.2206293706293706</v>
      </c>
      <c r="CI159">
        <v>0</v>
      </c>
      <c r="CJ159">
        <v>21374</v>
      </c>
      <c r="CK159" t="s">
        <v>169</v>
      </c>
      <c r="CL159" t="s">
        <v>948</v>
      </c>
      <c r="CM159" t="s">
        <v>143</v>
      </c>
      <c r="CN159">
        <v>0.41434077767600003</v>
      </c>
      <c r="CO159">
        <v>88.859411396437451</v>
      </c>
      <c r="CP159">
        <v>158</v>
      </c>
      <c r="CQ159" t="s">
        <v>712</v>
      </c>
      <c r="CR159">
        <v>223</v>
      </c>
      <c r="CS159" t="s">
        <v>717</v>
      </c>
      <c r="CT159" t="s">
        <v>718</v>
      </c>
      <c r="CU159" t="s">
        <v>315</v>
      </c>
      <c r="CV159" t="s">
        <v>719</v>
      </c>
      <c r="CW159" t="s">
        <v>720</v>
      </c>
      <c r="CX159" t="s">
        <v>721</v>
      </c>
      <c r="CY159" t="s">
        <v>551</v>
      </c>
      <c r="CZ159" t="s">
        <v>319</v>
      </c>
      <c r="DA159" t="s">
        <v>152</v>
      </c>
      <c r="DB159" t="s">
        <v>178</v>
      </c>
      <c r="DC159" t="s">
        <v>207</v>
      </c>
      <c r="DD159" t="s">
        <v>155</v>
      </c>
      <c r="DE159">
        <v>2069</v>
      </c>
      <c r="DF159">
        <v>-121.36967300000001</v>
      </c>
      <c r="DG159">
        <v>38.049534000000001</v>
      </c>
      <c r="DH159">
        <v>7600</v>
      </c>
      <c r="DI159">
        <v>1000</v>
      </c>
      <c r="DL159">
        <v>18</v>
      </c>
      <c r="DM159">
        <v>15</v>
      </c>
      <c r="DN159">
        <v>30</v>
      </c>
      <c r="DO159">
        <v>5</v>
      </c>
      <c r="DP159">
        <v>10</v>
      </c>
      <c r="DQ159">
        <v>1700</v>
      </c>
      <c r="DS159" t="s">
        <v>322</v>
      </c>
      <c r="DT159">
        <v>1.2500000000000001E-2</v>
      </c>
      <c r="DU159">
        <v>1.2500000000000001E-2</v>
      </c>
      <c r="DV159">
        <v>0.32500000000000001</v>
      </c>
      <c r="DW159">
        <v>0.32500000000000001</v>
      </c>
      <c r="DX159">
        <v>0.32500000000000001</v>
      </c>
      <c r="DY159">
        <v>48.728769585292291</v>
      </c>
      <c r="DZ159" s="4">
        <v>4.5750000000000002</v>
      </c>
      <c r="EA159" s="4" t="s">
        <v>722</v>
      </c>
      <c r="EB159" s="4" t="s">
        <v>723</v>
      </c>
      <c r="EC159">
        <v>5.3360000000000003</v>
      </c>
      <c r="ED159">
        <v>708</v>
      </c>
      <c r="EE159" t="s">
        <v>831</v>
      </c>
      <c r="EF159">
        <v>0</v>
      </c>
      <c r="EH159">
        <f t="shared" si="5"/>
        <v>0.58000000000000007</v>
      </c>
      <c r="EI159">
        <v>3.38</v>
      </c>
      <c r="EJ159">
        <v>3.65</v>
      </c>
    </row>
    <row r="160" spans="1:140" x14ac:dyDescent="0.35">
      <c r="A160" s="1">
        <v>158</v>
      </c>
      <c r="B160">
        <v>-114.88087942972101</v>
      </c>
      <c r="C160">
        <v>38.967043950069133</v>
      </c>
      <c r="D160" t="s">
        <v>950</v>
      </c>
      <c r="E160">
        <v>0.1</v>
      </c>
      <c r="F160" t="s">
        <v>306</v>
      </c>
      <c r="G160">
        <v>7.3200000000000001E-2</v>
      </c>
      <c r="H160" t="s">
        <v>136</v>
      </c>
      <c r="I160">
        <v>-12788481</v>
      </c>
      <c r="J160">
        <v>4716952</v>
      </c>
      <c r="K160" t="s">
        <v>712</v>
      </c>
      <c r="L160" t="s">
        <v>951</v>
      </c>
      <c r="M160">
        <v>17</v>
      </c>
      <c r="N160">
        <v>4.1180000000000003</v>
      </c>
      <c r="O160">
        <v>4</v>
      </c>
      <c r="P160">
        <v>8</v>
      </c>
      <c r="Q160">
        <v>32</v>
      </c>
      <c r="R160">
        <v>33</v>
      </c>
      <c r="S160">
        <v>9078</v>
      </c>
      <c r="T160" t="s">
        <v>714</v>
      </c>
      <c r="U160">
        <v>8.0104643432458005</v>
      </c>
      <c r="V160" t="s">
        <v>712</v>
      </c>
      <c r="W160">
        <v>0.1147</v>
      </c>
      <c r="X160">
        <v>10</v>
      </c>
      <c r="Y160">
        <v>8.9</v>
      </c>
      <c r="Z160">
        <v>8.9</v>
      </c>
      <c r="AA160">
        <v>20</v>
      </c>
      <c r="AB160">
        <v>26</v>
      </c>
      <c r="AC160">
        <v>0.63100000000000001</v>
      </c>
      <c r="AD160">
        <v>67</v>
      </c>
      <c r="AE160">
        <v>0.1002860775588048</v>
      </c>
      <c r="AF160">
        <v>2.86</v>
      </c>
      <c r="AG160" t="s">
        <v>714</v>
      </c>
      <c r="AH160" t="s">
        <v>712</v>
      </c>
      <c r="AI160">
        <v>26</v>
      </c>
      <c r="AJ160">
        <v>8.6666666666666663E-3</v>
      </c>
      <c r="AK160">
        <v>8.6666666666666661</v>
      </c>
      <c r="AL160" t="s">
        <v>831</v>
      </c>
      <c r="AM160">
        <v>41619.60727901935</v>
      </c>
      <c r="AN160">
        <v>1.61</v>
      </c>
      <c r="AO160">
        <v>0.09</v>
      </c>
      <c r="AP160">
        <v>0.19</v>
      </c>
      <c r="AQ160">
        <v>1.32</v>
      </c>
      <c r="AR160">
        <v>1.27</v>
      </c>
      <c r="AS160">
        <v>0.04</v>
      </c>
      <c r="AT160">
        <v>0.01</v>
      </c>
      <c r="AU160">
        <v>0.02</v>
      </c>
      <c r="AV160">
        <v>2.59</v>
      </c>
      <c r="AW160">
        <v>1.59</v>
      </c>
      <c r="AX160">
        <v>0.21</v>
      </c>
      <c r="AY160">
        <v>0.53</v>
      </c>
      <c r="AZ160">
        <v>0</v>
      </c>
      <c r="BA160">
        <v>1.35</v>
      </c>
      <c r="BB160">
        <v>0.08</v>
      </c>
      <c r="BC160">
        <v>0.17</v>
      </c>
      <c r="BD160">
        <v>0.27</v>
      </c>
      <c r="BE160">
        <v>6.83</v>
      </c>
      <c r="BF160">
        <v>6.14</v>
      </c>
      <c r="BG160">
        <v>0.24</v>
      </c>
      <c r="BH160">
        <v>0.45</v>
      </c>
      <c r="BI160">
        <v>0</v>
      </c>
      <c r="BJ160">
        <v>0.04</v>
      </c>
      <c r="BK160">
        <v>6.1</v>
      </c>
      <c r="BL160">
        <v>0</v>
      </c>
      <c r="BM160">
        <v>2.1</v>
      </c>
      <c r="BN160">
        <v>0.21</v>
      </c>
      <c r="BO160">
        <v>0.46</v>
      </c>
      <c r="BP160">
        <v>1.43</v>
      </c>
      <c r="BQ160">
        <v>1.25</v>
      </c>
      <c r="BR160">
        <v>0.06</v>
      </c>
      <c r="BS160">
        <v>0.12</v>
      </c>
      <c r="BT160">
        <v>0</v>
      </c>
      <c r="BU160">
        <v>7.24</v>
      </c>
      <c r="BV160">
        <v>6.18</v>
      </c>
      <c r="BW160">
        <v>0.34</v>
      </c>
      <c r="BX160">
        <v>0.72</v>
      </c>
      <c r="BY160">
        <v>0</v>
      </c>
      <c r="BZ160">
        <v>0.04</v>
      </c>
      <c r="CA160">
        <v>6.14</v>
      </c>
      <c r="CB160">
        <v>0</v>
      </c>
      <c r="CC160">
        <f t="shared" si="4"/>
        <v>2.75</v>
      </c>
      <c r="CD160">
        <v>3.96</v>
      </c>
      <c r="CE160">
        <v>0.34230769230769231</v>
      </c>
      <c r="CF160">
        <v>0.44500000000000001</v>
      </c>
      <c r="CG160">
        <v>0.1492537313432836</v>
      </c>
      <c r="CH160">
        <v>0.2206293706293706</v>
      </c>
      <c r="CI160">
        <v>0</v>
      </c>
      <c r="CJ160">
        <v>12207</v>
      </c>
      <c r="CK160" t="s">
        <v>141</v>
      </c>
      <c r="CL160" t="s">
        <v>709</v>
      </c>
      <c r="CM160" t="s">
        <v>143</v>
      </c>
      <c r="CN160">
        <v>1.8238005977</v>
      </c>
      <c r="CO160">
        <v>136.00256098402639</v>
      </c>
      <c r="CP160">
        <v>159</v>
      </c>
      <c r="CQ160" t="s">
        <v>712</v>
      </c>
      <c r="CR160">
        <v>223</v>
      </c>
      <c r="CS160" t="s">
        <v>717</v>
      </c>
      <c r="CT160" t="s">
        <v>718</v>
      </c>
      <c r="CU160" t="s">
        <v>315</v>
      </c>
      <c r="CV160" t="s">
        <v>719</v>
      </c>
      <c r="CW160" t="s">
        <v>720</v>
      </c>
      <c r="CX160" t="s">
        <v>721</v>
      </c>
      <c r="CY160" t="s">
        <v>551</v>
      </c>
      <c r="CZ160" t="s">
        <v>319</v>
      </c>
      <c r="DA160" t="s">
        <v>152</v>
      </c>
      <c r="DB160" t="s">
        <v>178</v>
      </c>
      <c r="DC160" t="s">
        <v>207</v>
      </c>
      <c r="DD160" t="s">
        <v>155</v>
      </c>
      <c r="DE160">
        <v>2069</v>
      </c>
      <c r="DF160">
        <v>-121.36967300000001</v>
      </c>
      <c r="DG160">
        <v>38.049534000000001</v>
      </c>
      <c r="DH160">
        <v>7600</v>
      </c>
      <c r="DI160">
        <v>1000</v>
      </c>
      <c r="DL160">
        <v>18</v>
      </c>
      <c r="DM160">
        <v>15</v>
      </c>
      <c r="DN160">
        <v>30</v>
      </c>
      <c r="DO160">
        <v>5</v>
      </c>
      <c r="DP160">
        <v>10</v>
      </c>
      <c r="DQ160">
        <v>1700</v>
      </c>
      <c r="DS160" t="s">
        <v>322</v>
      </c>
      <c r="DT160">
        <v>1.2500000000000001E-2</v>
      </c>
      <c r="DU160">
        <v>1.2500000000000001E-2</v>
      </c>
      <c r="DV160">
        <v>0.32500000000000001</v>
      </c>
      <c r="DW160">
        <v>0.32500000000000001</v>
      </c>
      <c r="DX160">
        <v>0.32500000000000001</v>
      </c>
      <c r="DY160">
        <v>134.67205275794171</v>
      </c>
      <c r="DZ160" s="4">
        <v>4.5750000000000002</v>
      </c>
      <c r="EA160" s="4" t="s">
        <v>722</v>
      </c>
      <c r="EB160" s="4" t="s">
        <v>723</v>
      </c>
      <c r="EC160">
        <v>5.3360000000000003</v>
      </c>
      <c r="ED160">
        <v>708</v>
      </c>
      <c r="EE160" t="s">
        <v>831</v>
      </c>
      <c r="EF160">
        <v>0.31184724080465198</v>
      </c>
      <c r="EH160">
        <f t="shared" si="5"/>
        <v>0.58000000000000007</v>
      </c>
      <c r="EI160">
        <v>3.38</v>
      </c>
      <c r="EJ160">
        <v>3.65</v>
      </c>
    </row>
    <row r="161" spans="1:140" x14ac:dyDescent="0.35">
      <c r="A161" s="1">
        <v>159</v>
      </c>
      <c r="B161">
        <v>-113.084248861482</v>
      </c>
      <c r="C161">
        <v>38.967043950069133</v>
      </c>
      <c r="D161" t="s">
        <v>952</v>
      </c>
      <c r="E161">
        <v>0.1</v>
      </c>
      <c r="F161" t="s">
        <v>135</v>
      </c>
      <c r="G161">
        <v>4.4499999999999998E-2</v>
      </c>
      <c r="H161" t="s">
        <v>161</v>
      </c>
      <c r="I161">
        <v>-12588481</v>
      </c>
      <c r="J161">
        <v>4716952</v>
      </c>
      <c r="K161" t="s">
        <v>835</v>
      </c>
      <c r="L161" t="s">
        <v>953</v>
      </c>
      <c r="M161">
        <v>14</v>
      </c>
      <c r="N161">
        <v>3.911</v>
      </c>
      <c r="O161">
        <v>4</v>
      </c>
      <c r="P161">
        <v>8</v>
      </c>
      <c r="Q161">
        <v>49</v>
      </c>
      <c r="R161">
        <v>27</v>
      </c>
      <c r="S161">
        <v>12977</v>
      </c>
      <c r="T161" t="s">
        <v>837</v>
      </c>
      <c r="U161">
        <v>5.801348811217232</v>
      </c>
      <c r="V161" t="s">
        <v>835</v>
      </c>
      <c r="W161">
        <v>9.9700000000000011E-2</v>
      </c>
      <c r="X161">
        <v>10</v>
      </c>
      <c r="Y161">
        <v>8.9</v>
      </c>
      <c r="Z161">
        <v>8.9</v>
      </c>
      <c r="AA161">
        <v>20</v>
      </c>
      <c r="AB161">
        <v>26</v>
      </c>
      <c r="AC161">
        <v>1.3220000000000001</v>
      </c>
      <c r="AD161">
        <v>67</v>
      </c>
      <c r="AE161">
        <v>0.21010807374443741</v>
      </c>
      <c r="AF161">
        <v>2.86</v>
      </c>
      <c r="AG161" t="s">
        <v>837</v>
      </c>
      <c r="AH161" t="s">
        <v>835</v>
      </c>
      <c r="AI161">
        <v>38</v>
      </c>
      <c r="AJ161">
        <v>1.266666666666667E-2</v>
      </c>
      <c r="AK161">
        <v>12.66666666666667</v>
      </c>
      <c r="AL161" t="s">
        <v>954</v>
      </c>
      <c r="AM161">
        <v>84180.669247089711</v>
      </c>
      <c r="AN161">
        <v>1.26</v>
      </c>
      <c r="AO161">
        <v>0.09</v>
      </c>
      <c r="AP161">
        <v>0.19</v>
      </c>
      <c r="AQ161">
        <v>0.97</v>
      </c>
      <c r="AR161">
        <v>0.92</v>
      </c>
      <c r="AS161">
        <v>0.04</v>
      </c>
      <c r="AT161">
        <v>0.01</v>
      </c>
      <c r="AU161">
        <v>0.02</v>
      </c>
      <c r="AV161">
        <v>2.2000000000000002</v>
      </c>
      <c r="AW161">
        <v>1.21</v>
      </c>
      <c r="AX161">
        <v>0.21</v>
      </c>
      <c r="AY161">
        <v>0.53</v>
      </c>
      <c r="AZ161">
        <v>0</v>
      </c>
      <c r="BA161">
        <v>0.97</v>
      </c>
      <c r="BB161">
        <v>0.08</v>
      </c>
      <c r="BC161">
        <v>0.15</v>
      </c>
      <c r="BD161">
        <v>0.27</v>
      </c>
      <c r="BE161">
        <v>6.28</v>
      </c>
      <c r="BF161">
        <v>5.59</v>
      </c>
      <c r="BG161">
        <v>0.24</v>
      </c>
      <c r="BH161">
        <v>0.45</v>
      </c>
      <c r="BI161">
        <v>0</v>
      </c>
      <c r="BJ161">
        <v>0.04</v>
      </c>
      <c r="BK161">
        <v>5.55</v>
      </c>
      <c r="BL161">
        <v>0</v>
      </c>
      <c r="BM161">
        <v>1.74</v>
      </c>
      <c r="BN161">
        <v>0.21</v>
      </c>
      <c r="BO161">
        <v>0.46</v>
      </c>
      <c r="BP161">
        <v>1.07</v>
      </c>
      <c r="BQ161">
        <v>0.9</v>
      </c>
      <c r="BR161">
        <v>0.06</v>
      </c>
      <c r="BS161">
        <v>0.11</v>
      </c>
      <c r="BT161">
        <v>0</v>
      </c>
      <c r="BU161">
        <v>6.68</v>
      </c>
      <c r="BV161">
        <v>5.62</v>
      </c>
      <c r="BW161">
        <v>0.34</v>
      </c>
      <c r="BX161">
        <v>0.72</v>
      </c>
      <c r="BY161">
        <v>0</v>
      </c>
      <c r="BZ161">
        <v>0.04</v>
      </c>
      <c r="CA161">
        <v>5.58</v>
      </c>
      <c r="CB161">
        <v>0</v>
      </c>
      <c r="CC161">
        <f t="shared" si="4"/>
        <v>2.75</v>
      </c>
      <c r="CD161">
        <v>3.96</v>
      </c>
      <c r="CE161">
        <v>0.34230769230769231</v>
      </c>
      <c r="CF161">
        <v>0.44500000000000001</v>
      </c>
      <c r="CG161">
        <v>0.1492537313432836</v>
      </c>
      <c r="CH161">
        <v>0.46223776223776231</v>
      </c>
      <c r="CI161">
        <v>0</v>
      </c>
      <c r="CJ161">
        <v>12207</v>
      </c>
      <c r="CK161" t="s">
        <v>141</v>
      </c>
      <c r="CL161" t="s">
        <v>709</v>
      </c>
      <c r="CM161" t="s">
        <v>143</v>
      </c>
      <c r="CN161">
        <v>1.8238005977</v>
      </c>
      <c r="CO161">
        <v>29.893360028369209</v>
      </c>
      <c r="CP161">
        <v>160</v>
      </c>
      <c r="CQ161" t="s">
        <v>955</v>
      </c>
      <c r="CR161">
        <v>51</v>
      </c>
      <c r="CS161" t="s">
        <v>956</v>
      </c>
      <c r="CT161" t="s">
        <v>957</v>
      </c>
      <c r="CU161" t="s">
        <v>837</v>
      </c>
      <c r="CV161" t="s">
        <v>958</v>
      </c>
      <c r="CW161" t="s">
        <v>958</v>
      </c>
      <c r="CX161" t="s">
        <v>959</v>
      </c>
      <c r="CY161" t="s">
        <v>960</v>
      </c>
      <c r="CZ161" t="s">
        <v>206</v>
      </c>
      <c r="DA161" t="s">
        <v>152</v>
      </c>
      <c r="DB161" t="s">
        <v>178</v>
      </c>
      <c r="DC161" t="s">
        <v>961</v>
      </c>
      <c r="DD161" t="s">
        <v>582</v>
      </c>
      <c r="DE161">
        <v>10799</v>
      </c>
      <c r="DF161">
        <v>-110.40894</v>
      </c>
      <c r="DG161">
        <v>39.645764999999997</v>
      </c>
      <c r="DH161">
        <v>7240</v>
      </c>
      <c r="DI161">
        <v>670</v>
      </c>
      <c r="DJ161">
        <v>3140</v>
      </c>
      <c r="DK161">
        <v>150</v>
      </c>
      <c r="DL161">
        <v>16.5</v>
      </c>
      <c r="DO161">
        <v>100</v>
      </c>
      <c r="DR161">
        <v>10000</v>
      </c>
      <c r="DS161">
        <v>42</v>
      </c>
      <c r="DT161">
        <v>1.2500000000000001E-2</v>
      </c>
      <c r="DU161">
        <v>1.2500000000000001E-2</v>
      </c>
      <c r="DV161">
        <v>0.32500000000000001</v>
      </c>
      <c r="DW161">
        <v>0.32500000000000001</v>
      </c>
      <c r="DX161">
        <v>0.32500000000000001</v>
      </c>
      <c r="DY161">
        <v>79.608900467269265</v>
      </c>
      <c r="DZ161" s="4">
        <v>3.9889999999999999</v>
      </c>
      <c r="EA161" s="4" t="s">
        <v>839</v>
      </c>
      <c r="EB161" s="4" t="s">
        <v>840</v>
      </c>
      <c r="EC161">
        <v>4.7309999999999999</v>
      </c>
      <c r="ED161">
        <v>328</v>
      </c>
      <c r="EE161" t="s">
        <v>954</v>
      </c>
      <c r="EF161">
        <v>0.58551397009410888</v>
      </c>
      <c r="EH161">
        <f t="shared" si="5"/>
        <v>0.58000000000000007</v>
      </c>
      <c r="EI161">
        <v>3.38</v>
      </c>
      <c r="EJ161">
        <v>3.65</v>
      </c>
    </row>
    <row r="162" spans="1:140" x14ac:dyDescent="0.35">
      <c r="A162" s="1">
        <v>160</v>
      </c>
      <c r="B162">
        <v>-111.2876182932429</v>
      </c>
      <c r="C162">
        <v>38.967043950069133</v>
      </c>
      <c r="D162" t="s">
        <v>962</v>
      </c>
      <c r="E162">
        <v>0.02</v>
      </c>
      <c r="F162" t="s">
        <v>160</v>
      </c>
      <c r="G162">
        <v>4.6100000000000002E-2</v>
      </c>
      <c r="H162" t="s">
        <v>161</v>
      </c>
      <c r="I162">
        <v>-12388481</v>
      </c>
      <c r="J162">
        <v>4716952</v>
      </c>
      <c r="K162" t="s">
        <v>835</v>
      </c>
      <c r="L162" t="s">
        <v>963</v>
      </c>
      <c r="M162">
        <v>8</v>
      </c>
      <c r="N162">
        <v>3.9940000000000002</v>
      </c>
      <c r="O162">
        <v>4</v>
      </c>
      <c r="P162">
        <v>8</v>
      </c>
      <c r="Q162">
        <v>49</v>
      </c>
      <c r="R162">
        <v>15</v>
      </c>
      <c r="S162">
        <v>9822</v>
      </c>
      <c r="T162" t="s">
        <v>837</v>
      </c>
      <c r="U162">
        <v>5.801348811217232</v>
      </c>
      <c r="V162" t="s">
        <v>835</v>
      </c>
      <c r="W162">
        <v>9.9700000000000011E-2</v>
      </c>
      <c r="X162">
        <v>10</v>
      </c>
      <c r="Y162">
        <v>8.9</v>
      </c>
      <c r="Z162">
        <v>8.9</v>
      </c>
      <c r="AA162">
        <v>20</v>
      </c>
      <c r="AB162">
        <v>26</v>
      </c>
      <c r="AC162">
        <v>1.3220000000000001</v>
      </c>
      <c r="AD162">
        <v>67</v>
      </c>
      <c r="AE162">
        <v>0.21010807374443741</v>
      </c>
      <c r="AF162">
        <v>2.86</v>
      </c>
      <c r="AG162" t="s">
        <v>837</v>
      </c>
      <c r="AH162" t="s">
        <v>835</v>
      </c>
      <c r="AI162">
        <v>38</v>
      </c>
      <c r="AJ162">
        <v>1.266666666666667E-2</v>
      </c>
      <c r="AK162">
        <v>12.66666666666667</v>
      </c>
      <c r="AL162" t="s">
        <v>964</v>
      </c>
      <c r="AM162">
        <v>75479.38935877652</v>
      </c>
      <c r="AN162">
        <v>1.26</v>
      </c>
      <c r="AO162">
        <v>0.09</v>
      </c>
      <c r="AP162">
        <v>0.19</v>
      </c>
      <c r="AQ162">
        <v>0.97</v>
      </c>
      <c r="AR162">
        <v>0.92</v>
      </c>
      <c r="AS162">
        <v>0.04</v>
      </c>
      <c r="AT162">
        <v>0.01</v>
      </c>
      <c r="AU162">
        <v>0.02</v>
      </c>
      <c r="AV162">
        <v>2.2000000000000002</v>
      </c>
      <c r="AW162">
        <v>1.21</v>
      </c>
      <c r="AX162">
        <v>0.21</v>
      </c>
      <c r="AY162">
        <v>0.53</v>
      </c>
      <c r="AZ162">
        <v>0</v>
      </c>
      <c r="BA162">
        <v>0.97</v>
      </c>
      <c r="BB162">
        <v>0.08</v>
      </c>
      <c r="BC162">
        <v>0.15</v>
      </c>
      <c r="BD162">
        <v>0.27</v>
      </c>
      <c r="BE162">
        <v>6.28</v>
      </c>
      <c r="BF162">
        <v>5.59</v>
      </c>
      <c r="BG162">
        <v>0.24</v>
      </c>
      <c r="BH162">
        <v>0.45</v>
      </c>
      <c r="BI162">
        <v>0</v>
      </c>
      <c r="BJ162">
        <v>0.04</v>
      </c>
      <c r="BK162">
        <v>5.55</v>
      </c>
      <c r="BL162">
        <v>0</v>
      </c>
      <c r="BM162">
        <v>1.74</v>
      </c>
      <c r="BN162">
        <v>0.21</v>
      </c>
      <c r="BO162">
        <v>0.46</v>
      </c>
      <c r="BP162">
        <v>1.07</v>
      </c>
      <c r="BQ162">
        <v>0.9</v>
      </c>
      <c r="BR162">
        <v>0.06</v>
      </c>
      <c r="BS162">
        <v>0.11</v>
      </c>
      <c r="BT162">
        <v>0</v>
      </c>
      <c r="BU162">
        <v>6.68</v>
      </c>
      <c r="BV162">
        <v>5.62</v>
      </c>
      <c r="BW162">
        <v>0.34</v>
      </c>
      <c r="BX162">
        <v>0.72</v>
      </c>
      <c r="BY162">
        <v>0</v>
      </c>
      <c r="BZ162">
        <v>0.04</v>
      </c>
      <c r="CA162">
        <v>5.58</v>
      </c>
      <c r="CB162">
        <v>0</v>
      </c>
      <c r="CC162">
        <f t="shared" si="4"/>
        <v>2.75</v>
      </c>
      <c r="CD162">
        <v>3.96</v>
      </c>
      <c r="CE162">
        <v>0.34230769230769231</v>
      </c>
      <c r="CF162">
        <v>0.44500000000000001</v>
      </c>
      <c r="CG162">
        <v>0.1492537313432836</v>
      </c>
      <c r="CH162">
        <v>0.46223776223776231</v>
      </c>
      <c r="CI162">
        <v>0</v>
      </c>
      <c r="CJ162">
        <v>32955</v>
      </c>
      <c r="CK162" t="s">
        <v>141</v>
      </c>
      <c r="CL162" t="s">
        <v>965</v>
      </c>
      <c r="CM162" t="s">
        <v>143</v>
      </c>
      <c r="CN162">
        <v>0.56753363838799997</v>
      </c>
      <c r="CO162">
        <v>14.953175267074339</v>
      </c>
      <c r="CP162">
        <v>161</v>
      </c>
      <c r="CQ162" t="s">
        <v>575</v>
      </c>
      <c r="CR162">
        <v>126</v>
      </c>
      <c r="CS162" t="s">
        <v>576</v>
      </c>
      <c r="CT162" t="s">
        <v>577</v>
      </c>
      <c r="CU162" t="s">
        <v>333</v>
      </c>
      <c r="CV162" t="s">
        <v>578</v>
      </c>
      <c r="CW162" t="s">
        <v>579</v>
      </c>
      <c r="CX162" t="s">
        <v>580</v>
      </c>
      <c r="CY162" t="s">
        <v>581</v>
      </c>
      <c r="CZ162" t="s">
        <v>206</v>
      </c>
      <c r="DA162" t="s">
        <v>152</v>
      </c>
      <c r="DB162" t="s">
        <v>178</v>
      </c>
      <c r="DC162" t="s">
        <v>365</v>
      </c>
      <c r="DD162" t="s">
        <v>582</v>
      </c>
      <c r="DE162">
        <v>8520</v>
      </c>
      <c r="DF162">
        <v>-107.652666</v>
      </c>
      <c r="DG162">
        <v>36.368147</v>
      </c>
      <c r="DH162">
        <v>5511</v>
      </c>
      <c r="DI162">
        <v>883</v>
      </c>
      <c r="DJ162">
        <v>2388</v>
      </c>
      <c r="DK162">
        <v>123</v>
      </c>
      <c r="DL162">
        <v>13</v>
      </c>
      <c r="DO162">
        <v>15</v>
      </c>
      <c r="DR162">
        <v>20000</v>
      </c>
      <c r="DS162" t="s">
        <v>583</v>
      </c>
      <c r="DT162">
        <v>1.2500000000000001E-2</v>
      </c>
      <c r="DU162">
        <v>1.2500000000000001E-2</v>
      </c>
      <c r="DV162">
        <v>0.32500000000000001</v>
      </c>
      <c r="DW162">
        <v>0.32500000000000001</v>
      </c>
      <c r="DX162">
        <v>0.32500000000000001</v>
      </c>
      <c r="DY162">
        <v>0</v>
      </c>
      <c r="DZ162" s="4">
        <v>3.9889999999999999</v>
      </c>
      <c r="EA162" s="4" t="s">
        <v>839</v>
      </c>
      <c r="EB162" s="4" t="s">
        <v>840</v>
      </c>
      <c r="EC162">
        <v>4.7309999999999999</v>
      </c>
      <c r="ED162">
        <v>190</v>
      </c>
      <c r="EE162" t="s">
        <v>964</v>
      </c>
      <c r="EF162">
        <v>0.54126226646723563</v>
      </c>
      <c r="EH162">
        <f t="shared" si="5"/>
        <v>0.58000000000000007</v>
      </c>
      <c r="EI162">
        <v>3.38</v>
      </c>
      <c r="EJ162">
        <v>3.65</v>
      </c>
    </row>
    <row r="163" spans="1:140" x14ac:dyDescent="0.35">
      <c r="A163" s="1">
        <v>161</v>
      </c>
      <c r="B163">
        <v>-109.4909877250039</v>
      </c>
      <c r="C163">
        <v>38.967043950069133</v>
      </c>
      <c r="D163" t="s">
        <v>966</v>
      </c>
      <c r="E163">
        <v>0.02</v>
      </c>
      <c r="F163" t="s">
        <v>160</v>
      </c>
      <c r="G163">
        <v>0.16109999999999999</v>
      </c>
      <c r="H163" t="s">
        <v>161</v>
      </c>
      <c r="I163">
        <v>-12188481</v>
      </c>
      <c r="J163">
        <v>4716952</v>
      </c>
      <c r="K163" t="s">
        <v>835</v>
      </c>
      <c r="L163" t="s">
        <v>967</v>
      </c>
      <c r="M163">
        <v>10</v>
      </c>
      <c r="N163">
        <v>4.1239999999999997</v>
      </c>
      <c r="O163">
        <v>4</v>
      </c>
      <c r="P163">
        <v>8</v>
      </c>
      <c r="Q163">
        <v>49</v>
      </c>
      <c r="R163">
        <v>19</v>
      </c>
      <c r="S163">
        <v>9669</v>
      </c>
      <c r="T163" t="s">
        <v>837</v>
      </c>
      <c r="U163">
        <v>5.801348811217232</v>
      </c>
      <c r="V163" t="s">
        <v>835</v>
      </c>
      <c r="W163">
        <v>9.9700000000000011E-2</v>
      </c>
      <c r="X163">
        <v>10</v>
      </c>
      <c r="Y163">
        <v>8.9</v>
      </c>
      <c r="Z163">
        <v>8.9</v>
      </c>
      <c r="AA163">
        <v>20</v>
      </c>
      <c r="AB163">
        <v>26</v>
      </c>
      <c r="AC163">
        <v>1.3220000000000001</v>
      </c>
      <c r="AD163">
        <v>67</v>
      </c>
      <c r="AE163">
        <v>0.21010807374443741</v>
      </c>
      <c r="AF163">
        <v>2.86</v>
      </c>
      <c r="AG163" t="s">
        <v>837</v>
      </c>
      <c r="AH163" t="s">
        <v>835</v>
      </c>
      <c r="AI163">
        <v>38</v>
      </c>
      <c r="AJ163">
        <v>1.266666666666667E-2</v>
      </c>
      <c r="AK163">
        <v>12.66666666666667</v>
      </c>
      <c r="AL163" t="s">
        <v>968</v>
      </c>
      <c r="AM163">
        <v>48761.068519963294</v>
      </c>
      <c r="AN163">
        <v>1.26</v>
      </c>
      <c r="AO163">
        <v>0.09</v>
      </c>
      <c r="AP163">
        <v>0.19</v>
      </c>
      <c r="AQ163">
        <v>0.97</v>
      </c>
      <c r="AR163">
        <v>0.92</v>
      </c>
      <c r="AS163">
        <v>0.04</v>
      </c>
      <c r="AT163">
        <v>0.01</v>
      </c>
      <c r="AU163">
        <v>0.02</v>
      </c>
      <c r="AV163">
        <v>2.2000000000000002</v>
      </c>
      <c r="AW163">
        <v>1.21</v>
      </c>
      <c r="AX163">
        <v>0.21</v>
      </c>
      <c r="AY163">
        <v>0.53</v>
      </c>
      <c r="AZ163">
        <v>0</v>
      </c>
      <c r="BA163">
        <v>0.97</v>
      </c>
      <c r="BB163">
        <v>0.08</v>
      </c>
      <c r="BC163">
        <v>0.15</v>
      </c>
      <c r="BD163">
        <v>0.27</v>
      </c>
      <c r="BE163">
        <v>6.28</v>
      </c>
      <c r="BF163">
        <v>5.59</v>
      </c>
      <c r="BG163">
        <v>0.24</v>
      </c>
      <c r="BH163">
        <v>0.45</v>
      </c>
      <c r="BI163">
        <v>0</v>
      </c>
      <c r="BJ163">
        <v>0.04</v>
      </c>
      <c r="BK163">
        <v>5.55</v>
      </c>
      <c r="BL163">
        <v>0</v>
      </c>
      <c r="BM163">
        <v>1.74</v>
      </c>
      <c r="BN163">
        <v>0.21</v>
      </c>
      <c r="BO163">
        <v>0.46</v>
      </c>
      <c r="BP163">
        <v>1.07</v>
      </c>
      <c r="BQ163">
        <v>0.9</v>
      </c>
      <c r="BR163">
        <v>0.06</v>
      </c>
      <c r="BS163">
        <v>0.11</v>
      </c>
      <c r="BT163">
        <v>0</v>
      </c>
      <c r="BU163">
        <v>6.68</v>
      </c>
      <c r="BV163">
        <v>5.62</v>
      </c>
      <c r="BW163">
        <v>0.34</v>
      </c>
      <c r="BX163">
        <v>0.72</v>
      </c>
      <c r="BY163">
        <v>0</v>
      </c>
      <c r="BZ163">
        <v>0.04</v>
      </c>
      <c r="CA163">
        <v>5.58</v>
      </c>
      <c r="CB163">
        <v>0</v>
      </c>
      <c r="CC163">
        <f t="shared" si="4"/>
        <v>2.75</v>
      </c>
      <c r="CD163">
        <v>3.96</v>
      </c>
      <c r="CE163">
        <v>0.34230769230769231</v>
      </c>
      <c r="CF163">
        <v>0.44500000000000001</v>
      </c>
      <c r="CG163">
        <v>0.1492537313432836</v>
      </c>
      <c r="CH163">
        <v>0.46223776223776231</v>
      </c>
      <c r="CI163">
        <v>0</v>
      </c>
      <c r="CJ163">
        <v>16234</v>
      </c>
      <c r="CK163" t="s">
        <v>141</v>
      </c>
      <c r="CL163" t="s">
        <v>845</v>
      </c>
      <c r="CM163" t="s">
        <v>143</v>
      </c>
      <c r="CN163">
        <v>0.37410608578100002</v>
      </c>
      <c r="CO163">
        <v>8.8618169853242339</v>
      </c>
      <c r="CP163">
        <v>162</v>
      </c>
      <c r="CQ163" t="s">
        <v>957</v>
      </c>
      <c r="CR163">
        <v>91</v>
      </c>
      <c r="CS163" t="s">
        <v>452</v>
      </c>
      <c r="CT163" t="s">
        <v>453</v>
      </c>
      <c r="CU163" t="s">
        <v>454</v>
      </c>
      <c r="CV163" t="s">
        <v>455</v>
      </c>
      <c r="CW163" t="s">
        <v>456</v>
      </c>
      <c r="CX163" t="s">
        <v>457</v>
      </c>
      <c r="CY163" t="s">
        <v>458</v>
      </c>
      <c r="CZ163" t="s">
        <v>206</v>
      </c>
      <c r="DA163" t="s">
        <v>152</v>
      </c>
      <c r="DB163" t="s">
        <v>153</v>
      </c>
      <c r="DC163" t="s">
        <v>459</v>
      </c>
      <c r="DD163" t="s">
        <v>208</v>
      </c>
      <c r="DE163">
        <v>1466</v>
      </c>
      <c r="DF163">
        <v>-108.330134</v>
      </c>
      <c r="DG163">
        <v>37.163961999999998</v>
      </c>
      <c r="DH163">
        <v>8275</v>
      </c>
      <c r="DI163">
        <v>1000</v>
      </c>
      <c r="DJ163">
        <v>3475</v>
      </c>
      <c r="DK163">
        <v>178</v>
      </c>
      <c r="DL163">
        <v>7.5</v>
      </c>
      <c r="DO163">
        <v>9</v>
      </c>
      <c r="DR163">
        <v>112500</v>
      </c>
      <c r="DS163">
        <v>42</v>
      </c>
      <c r="DT163">
        <v>1.2500000000000001E-2</v>
      </c>
      <c r="DU163">
        <v>1.2500000000000001E-2</v>
      </c>
      <c r="DV163">
        <v>0.32500000000000001</v>
      </c>
      <c r="DW163">
        <v>0.32500000000000001</v>
      </c>
      <c r="DX163">
        <v>0.32500000000000001</v>
      </c>
      <c r="DY163">
        <v>0</v>
      </c>
      <c r="DZ163" s="4">
        <v>3.9889999999999999</v>
      </c>
      <c r="EA163" s="4" t="s">
        <v>839</v>
      </c>
      <c r="EB163" s="4" t="s">
        <v>840</v>
      </c>
      <c r="EC163">
        <v>4.7309999999999999</v>
      </c>
      <c r="ED163">
        <v>311</v>
      </c>
      <c r="EE163" t="s">
        <v>968</v>
      </c>
      <c r="EF163">
        <v>0.43800875459637789</v>
      </c>
      <c r="EH163">
        <f t="shared" si="5"/>
        <v>0.58000000000000007</v>
      </c>
      <c r="EI163">
        <v>3.38</v>
      </c>
      <c r="EJ163">
        <v>3.65</v>
      </c>
    </row>
    <row r="164" spans="1:140" x14ac:dyDescent="0.35">
      <c r="A164" s="1">
        <v>162</v>
      </c>
      <c r="B164">
        <v>-107.6943571567648</v>
      </c>
      <c r="C164">
        <v>38.967043950069133</v>
      </c>
      <c r="D164" t="s">
        <v>969</v>
      </c>
      <c r="E164">
        <v>0.02</v>
      </c>
      <c r="F164" t="s">
        <v>160</v>
      </c>
      <c r="G164">
        <v>4.6100000000000002E-2</v>
      </c>
      <c r="H164" t="s">
        <v>161</v>
      </c>
      <c r="I164">
        <v>-11988481</v>
      </c>
      <c r="J164">
        <v>4716952</v>
      </c>
      <c r="K164" t="s">
        <v>847</v>
      </c>
      <c r="L164" t="s">
        <v>179</v>
      </c>
      <c r="M164">
        <v>16</v>
      </c>
      <c r="N164">
        <v>3.7679999999999998</v>
      </c>
      <c r="O164">
        <v>4</v>
      </c>
      <c r="P164">
        <v>8</v>
      </c>
      <c r="Q164">
        <v>8</v>
      </c>
      <c r="R164">
        <v>29</v>
      </c>
      <c r="S164">
        <v>31199</v>
      </c>
      <c r="T164" t="s">
        <v>454</v>
      </c>
      <c r="U164">
        <v>6.9386621113594797</v>
      </c>
      <c r="V164" t="s">
        <v>847</v>
      </c>
      <c r="W164">
        <v>0.1207</v>
      </c>
      <c r="X164">
        <v>10</v>
      </c>
      <c r="Y164">
        <v>8.9</v>
      </c>
      <c r="Z164">
        <v>8.9</v>
      </c>
      <c r="AA164">
        <v>20</v>
      </c>
      <c r="AB164">
        <v>26</v>
      </c>
      <c r="AC164">
        <v>0.95799999999999996</v>
      </c>
      <c r="AD164">
        <v>67</v>
      </c>
      <c r="AE164">
        <v>0.15225683407501589</v>
      </c>
      <c r="AF164">
        <v>2.86</v>
      </c>
      <c r="AG164" t="s">
        <v>454</v>
      </c>
      <c r="AH164" t="s">
        <v>847</v>
      </c>
      <c r="AI164">
        <v>39</v>
      </c>
      <c r="AJ164">
        <v>1.2999999999999999E-2</v>
      </c>
      <c r="AK164">
        <v>13</v>
      </c>
      <c r="AL164" t="s">
        <v>968</v>
      </c>
      <c r="AM164">
        <v>13491.23299428334</v>
      </c>
      <c r="AN164">
        <v>1.44</v>
      </c>
      <c r="AO164">
        <v>0.09</v>
      </c>
      <c r="AP164">
        <v>0.19</v>
      </c>
      <c r="AQ164">
        <v>1.1599999999999999</v>
      </c>
      <c r="AR164">
        <v>1.1000000000000001</v>
      </c>
      <c r="AS164">
        <v>0.04</v>
      </c>
      <c r="AT164">
        <v>0.02</v>
      </c>
      <c r="AU164">
        <v>0.02</v>
      </c>
      <c r="AV164">
        <v>2.42</v>
      </c>
      <c r="AW164">
        <v>1.43</v>
      </c>
      <c r="AX164">
        <v>0.21</v>
      </c>
      <c r="AY164">
        <v>0.53</v>
      </c>
      <c r="AZ164">
        <v>0</v>
      </c>
      <c r="BA164">
        <v>1.17</v>
      </c>
      <c r="BB164">
        <v>0.08</v>
      </c>
      <c r="BC164">
        <v>0.18</v>
      </c>
      <c r="BD164">
        <v>0.27</v>
      </c>
      <c r="BE164">
        <v>7.39</v>
      </c>
      <c r="BF164">
        <v>6.7</v>
      </c>
      <c r="BG164">
        <v>0.24</v>
      </c>
      <c r="BH164">
        <v>0.45</v>
      </c>
      <c r="BI164">
        <v>0</v>
      </c>
      <c r="BJ164">
        <v>0.04</v>
      </c>
      <c r="BK164">
        <v>6.66</v>
      </c>
      <c r="BL164">
        <v>0</v>
      </c>
      <c r="BM164">
        <v>1.94</v>
      </c>
      <c r="BN164">
        <v>0.21</v>
      </c>
      <c r="BO164">
        <v>0.46</v>
      </c>
      <c r="BP164">
        <v>1.27</v>
      </c>
      <c r="BQ164">
        <v>1.08</v>
      </c>
      <c r="BR164">
        <v>0.06</v>
      </c>
      <c r="BS164">
        <v>0.13</v>
      </c>
      <c r="BT164">
        <v>0</v>
      </c>
      <c r="BU164">
        <v>7.79</v>
      </c>
      <c r="BV164">
        <v>6.73</v>
      </c>
      <c r="BW164">
        <v>0.34</v>
      </c>
      <c r="BX164">
        <v>0.72</v>
      </c>
      <c r="BY164">
        <v>0</v>
      </c>
      <c r="BZ164">
        <v>0.04</v>
      </c>
      <c r="CA164">
        <v>6.7</v>
      </c>
      <c r="CB164">
        <v>0</v>
      </c>
      <c r="CC164">
        <f t="shared" si="4"/>
        <v>2.75</v>
      </c>
      <c r="CD164">
        <v>3.96</v>
      </c>
      <c r="CE164">
        <v>0.34230769230769231</v>
      </c>
      <c r="CF164">
        <v>0.44500000000000001</v>
      </c>
      <c r="CG164">
        <v>0.1492537313432836</v>
      </c>
      <c r="CH164">
        <v>0.33496503496503499</v>
      </c>
      <c r="CI164">
        <v>0</v>
      </c>
      <c r="CJ164">
        <v>22159</v>
      </c>
      <c r="CK164" t="s">
        <v>169</v>
      </c>
      <c r="CL164" t="s">
        <v>970</v>
      </c>
      <c r="CM164" t="s">
        <v>143</v>
      </c>
      <c r="CN164">
        <v>0.480156058966</v>
      </c>
      <c r="CO164">
        <v>10.72767122783829</v>
      </c>
      <c r="CP164">
        <v>163</v>
      </c>
      <c r="CQ164" t="s">
        <v>575</v>
      </c>
      <c r="CR164">
        <v>126</v>
      </c>
      <c r="CS164" t="s">
        <v>576</v>
      </c>
      <c r="CT164" t="s">
        <v>577</v>
      </c>
      <c r="CU164" t="s">
        <v>333</v>
      </c>
      <c r="CV164" t="s">
        <v>578</v>
      </c>
      <c r="CW164" t="s">
        <v>579</v>
      </c>
      <c r="CX164" t="s">
        <v>580</v>
      </c>
      <c r="CY164" t="s">
        <v>581</v>
      </c>
      <c r="CZ164" t="s">
        <v>206</v>
      </c>
      <c r="DA164" t="s">
        <v>152</v>
      </c>
      <c r="DB164" t="s">
        <v>178</v>
      </c>
      <c r="DC164" t="s">
        <v>365</v>
      </c>
      <c r="DD164" t="s">
        <v>582</v>
      </c>
      <c r="DE164">
        <v>8520</v>
      </c>
      <c r="DF164">
        <v>-107.652666</v>
      </c>
      <c r="DG164">
        <v>36.368147</v>
      </c>
      <c r="DH164">
        <v>5511</v>
      </c>
      <c r="DI164">
        <v>883</v>
      </c>
      <c r="DJ164">
        <v>2388</v>
      </c>
      <c r="DK164">
        <v>123</v>
      </c>
      <c r="DL164">
        <v>13</v>
      </c>
      <c r="DO164">
        <v>15</v>
      </c>
      <c r="DR164">
        <v>20000</v>
      </c>
      <c r="DS164" t="s">
        <v>583</v>
      </c>
      <c r="DT164">
        <v>1.2500000000000001E-2</v>
      </c>
      <c r="DU164">
        <v>1.2500000000000001E-2</v>
      </c>
      <c r="DV164">
        <v>0.32500000000000001</v>
      </c>
      <c r="DW164">
        <v>0.32500000000000001</v>
      </c>
      <c r="DX164">
        <v>0.32500000000000001</v>
      </c>
      <c r="DY164">
        <v>0</v>
      </c>
      <c r="DZ164" s="4">
        <v>3.86</v>
      </c>
      <c r="EA164" s="4" t="s">
        <v>851</v>
      </c>
      <c r="EB164" s="4" t="s">
        <v>852</v>
      </c>
      <c r="EC164">
        <v>4.4279999999999999</v>
      </c>
      <c r="ED164">
        <v>311</v>
      </c>
      <c r="EE164" t="s">
        <v>968</v>
      </c>
      <c r="EF164">
        <v>0.1019259097017827</v>
      </c>
      <c r="EH164">
        <f t="shared" si="5"/>
        <v>0.58000000000000007</v>
      </c>
      <c r="EI164">
        <v>3.38</v>
      </c>
      <c r="EJ164">
        <v>3.65</v>
      </c>
    </row>
    <row r="165" spans="1:140" x14ac:dyDescent="0.35">
      <c r="A165" s="1">
        <v>163</v>
      </c>
      <c r="B165">
        <v>-105.8977265885258</v>
      </c>
      <c r="C165">
        <v>38.967043950069133</v>
      </c>
      <c r="D165" t="s">
        <v>971</v>
      </c>
      <c r="E165">
        <v>0.1</v>
      </c>
      <c r="F165" t="s">
        <v>135</v>
      </c>
      <c r="G165">
        <v>4.6100000000000002E-2</v>
      </c>
      <c r="H165" t="s">
        <v>161</v>
      </c>
      <c r="I165">
        <v>-11788481</v>
      </c>
      <c r="J165">
        <v>4716952</v>
      </c>
      <c r="K165" t="s">
        <v>847</v>
      </c>
      <c r="L165" t="s">
        <v>972</v>
      </c>
      <c r="M165">
        <v>48</v>
      </c>
      <c r="N165">
        <v>4.3559999999999999</v>
      </c>
      <c r="O165">
        <v>4</v>
      </c>
      <c r="P165">
        <v>8</v>
      </c>
      <c r="Q165">
        <v>8</v>
      </c>
      <c r="R165">
        <v>93</v>
      </c>
      <c r="S165">
        <v>17395</v>
      </c>
      <c r="T165" t="s">
        <v>454</v>
      </c>
      <c r="U165">
        <v>6.9386621113594797</v>
      </c>
      <c r="V165" t="s">
        <v>847</v>
      </c>
      <c r="W165">
        <v>0.1207</v>
      </c>
      <c r="X165">
        <v>10</v>
      </c>
      <c r="Y165">
        <v>8.9</v>
      </c>
      <c r="Z165">
        <v>8.9</v>
      </c>
      <c r="AA165">
        <v>20</v>
      </c>
      <c r="AB165">
        <v>26</v>
      </c>
      <c r="AC165">
        <v>0.95799999999999996</v>
      </c>
      <c r="AD165">
        <v>67</v>
      </c>
      <c r="AE165">
        <v>0.15225683407501589</v>
      </c>
      <c r="AF165">
        <v>2.86</v>
      </c>
      <c r="AG165" t="s">
        <v>454</v>
      </c>
      <c r="AH165" t="s">
        <v>847</v>
      </c>
      <c r="AI165">
        <v>39</v>
      </c>
      <c r="AJ165">
        <v>1.2999999999999999E-2</v>
      </c>
      <c r="AK165">
        <v>13</v>
      </c>
      <c r="AL165" t="s">
        <v>973</v>
      </c>
      <c r="AM165">
        <v>0</v>
      </c>
      <c r="AN165">
        <v>1.44</v>
      </c>
      <c r="AO165">
        <v>0.09</v>
      </c>
      <c r="AP165">
        <v>0.19</v>
      </c>
      <c r="AQ165">
        <v>1.1599999999999999</v>
      </c>
      <c r="AR165">
        <v>1.1000000000000001</v>
      </c>
      <c r="AS165">
        <v>0.04</v>
      </c>
      <c r="AT165">
        <v>0.02</v>
      </c>
      <c r="AU165">
        <v>0.02</v>
      </c>
      <c r="AV165">
        <v>2.42</v>
      </c>
      <c r="AW165">
        <v>1.43</v>
      </c>
      <c r="AX165">
        <v>0.21</v>
      </c>
      <c r="AY165">
        <v>0.53</v>
      </c>
      <c r="AZ165">
        <v>0</v>
      </c>
      <c r="BA165">
        <v>1.17</v>
      </c>
      <c r="BB165">
        <v>0.08</v>
      </c>
      <c r="BC165">
        <v>0.18</v>
      </c>
      <c r="BD165">
        <v>0.27</v>
      </c>
      <c r="BE165">
        <v>7.39</v>
      </c>
      <c r="BF165">
        <v>6.7</v>
      </c>
      <c r="BG165">
        <v>0.24</v>
      </c>
      <c r="BH165">
        <v>0.45</v>
      </c>
      <c r="BI165">
        <v>0</v>
      </c>
      <c r="BJ165">
        <v>0.04</v>
      </c>
      <c r="BK165">
        <v>6.66</v>
      </c>
      <c r="BL165">
        <v>0</v>
      </c>
      <c r="BM165">
        <v>1.94</v>
      </c>
      <c r="BN165">
        <v>0.21</v>
      </c>
      <c r="BO165">
        <v>0.46</v>
      </c>
      <c r="BP165">
        <v>1.27</v>
      </c>
      <c r="BQ165">
        <v>1.08</v>
      </c>
      <c r="BR165">
        <v>0.06</v>
      </c>
      <c r="BS165">
        <v>0.13</v>
      </c>
      <c r="BT165">
        <v>0</v>
      </c>
      <c r="BU165">
        <v>7.79</v>
      </c>
      <c r="BV165">
        <v>6.73</v>
      </c>
      <c r="BW165">
        <v>0.34</v>
      </c>
      <c r="BX165">
        <v>0.72</v>
      </c>
      <c r="BY165">
        <v>0</v>
      </c>
      <c r="BZ165">
        <v>0.04</v>
      </c>
      <c r="CA165">
        <v>6.7</v>
      </c>
      <c r="CB165">
        <v>0</v>
      </c>
      <c r="CC165">
        <f t="shared" si="4"/>
        <v>2.75</v>
      </c>
      <c r="CD165">
        <v>3.96</v>
      </c>
      <c r="CE165">
        <v>0.34230769230769231</v>
      </c>
      <c r="CF165">
        <v>0.44500000000000001</v>
      </c>
      <c r="CG165">
        <v>0.1492537313432836</v>
      </c>
      <c r="CH165">
        <v>0.33496503496503499</v>
      </c>
      <c r="CI165">
        <v>0</v>
      </c>
      <c r="CJ165">
        <v>3428</v>
      </c>
      <c r="CK165" t="s">
        <v>141</v>
      </c>
      <c r="CL165" t="s">
        <v>738</v>
      </c>
      <c r="CM165" t="s">
        <v>143</v>
      </c>
      <c r="CN165">
        <v>0.159893673471</v>
      </c>
      <c r="CO165">
        <v>71.867479390583441</v>
      </c>
      <c r="CP165">
        <v>164</v>
      </c>
      <c r="CQ165" t="s">
        <v>575</v>
      </c>
      <c r="CR165">
        <v>126</v>
      </c>
      <c r="CS165" t="s">
        <v>576</v>
      </c>
      <c r="CT165" t="s">
        <v>577</v>
      </c>
      <c r="CU165" t="s">
        <v>333</v>
      </c>
      <c r="CV165" t="s">
        <v>578</v>
      </c>
      <c r="CW165" t="s">
        <v>579</v>
      </c>
      <c r="CX165" t="s">
        <v>580</v>
      </c>
      <c r="CY165" t="s">
        <v>581</v>
      </c>
      <c r="CZ165" t="s">
        <v>206</v>
      </c>
      <c r="DA165" t="s">
        <v>152</v>
      </c>
      <c r="DB165" t="s">
        <v>178</v>
      </c>
      <c r="DC165" t="s">
        <v>365</v>
      </c>
      <c r="DD165" t="s">
        <v>582</v>
      </c>
      <c r="DE165">
        <v>8520</v>
      </c>
      <c r="DF165">
        <v>-107.652666</v>
      </c>
      <c r="DG165">
        <v>36.368147</v>
      </c>
      <c r="DH165">
        <v>5511</v>
      </c>
      <c r="DI165">
        <v>883</v>
      </c>
      <c r="DJ165">
        <v>2388</v>
      </c>
      <c r="DK165">
        <v>123</v>
      </c>
      <c r="DL165">
        <v>13</v>
      </c>
      <c r="DO165">
        <v>15</v>
      </c>
      <c r="DR165">
        <v>20000</v>
      </c>
      <c r="DS165" t="s">
        <v>583</v>
      </c>
      <c r="DT165">
        <v>1.2500000000000001E-2</v>
      </c>
      <c r="DU165">
        <v>1.2500000000000001E-2</v>
      </c>
      <c r="DV165">
        <v>0.32500000000000001</v>
      </c>
      <c r="DW165">
        <v>0.32500000000000001</v>
      </c>
      <c r="DX165">
        <v>0.32500000000000001</v>
      </c>
      <c r="DY165">
        <v>6.3027809072067464</v>
      </c>
      <c r="DZ165" s="4">
        <v>3.86</v>
      </c>
      <c r="EA165" s="4" t="s">
        <v>851</v>
      </c>
      <c r="EB165" s="4" t="s">
        <v>852</v>
      </c>
      <c r="EC165">
        <v>4.4279999999999999</v>
      </c>
      <c r="ED165">
        <v>504</v>
      </c>
      <c r="EE165" t="s">
        <v>973</v>
      </c>
      <c r="EF165">
        <v>0</v>
      </c>
      <c r="EH165">
        <f t="shared" si="5"/>
        <v>0.58000000000000007</v>
      </c>
      <c r="EI165">
        <v>3.38</v>
      </c>
      <c r="EJ165">
        <v>3.65</v>
      </c>
    </row>
    <row r="166" spans="1:140" x14ac:dyDescent="0.35">
      <c r="A166" s="1">
        <v>164</v>
      </c>
      <c r="B166">
        <v>-104.1010960202868</v>
      </c>
      <c r="C166">
        <v>38.967043950069133</v>
      </c>
      <c r="D166" t="s">
        <v>974</v>
      </c>
      <c r="E166">
        <v>0.02</v>
      </c>
      <c r="F166" t="s">
        <v>160</v>
      </c>
      <c r="G166">
        <v>4.6100000000000002E-2</v>
      </c>
      <c r="H166" t="s">
        <v>161</v>
      </c>
      <c r="I166">
        <v>-11588481</v>
      </c>
      <c r="J166">
        <v>4716952</v>
      </c>
      <c r="K166" t="s">
        <v>847</v>
      </c>
      <c r="L166" t="s">
        <v>975</v>
      </c>
      <c r="M166">
        <v>21</v>
      </c>
      <c r="N166">
        <v>3.7290000000000001</v>
      </c>
      <c r="O166">
        <v>4</v>
      </c>
      <c r="P166">
        <v>8</v>
      </c>
      <c r="Q166">
        <v>8</v>
      </c>
      <c r="R166">
        <v>41</v>
      </c>
      <c r="S166">
        <v>730402</v>
      </c>
      <c r="T166" t="s">
        <v>454</v>
      </c>
      <c r="U166">
        <v>6.9386621113594797</v>
      </c>
      <c r="V166" t="s">
        <v>847</v>
      </c>
      <c r="W166">
        <v>0.1207</v>
      </c>
      <c r="X166">
        <v>10</v>
      </c>
      <c r="Y166">
        <v>8.9</v>
      </c>
      <c r="Z166">
        <v>8.9</v>
      </c>
      <c r="AA166">
        <v>20</v>
      </c>
      <c r="AB166">
        <v>26</v>
      </c>
      <c r="AC166">
        <v>0.95799999999999996</v>
      </c>
      <c r="AD166">
        <v>67</v>
      </c>
      <c r="AE166">
        <v>0.15225683407501589</v>
      </c>
      <c r="AF166">
        <v>2.86</v>
      </c>
      <c r="AG166" t="s">
        <v>454</v>
      </c>
      <c r="AH166" t="s">
        <v>847</v>
      </c>
      <c r="AI166">
        <v>39</v>
      </c>
      <c r="AJ166">
        <v>1.2999999999999999E-2</v>
      </c>
      <c r="AK166">
        <v>13</v>
      </c>
      <c r="AL166" t="s">
        <v>976</v>
      </c>
      <c r="AM166">
        <v>0</v>
      </c>
      <c r="AN166">
        <v>1.44</v>
      </c>
      <c r="AO166">
        <v>0.09</v>
      </c>
      <c r="AP166">
        <v>0.19</v>
      </c>
      <c r="AQ166">
        <v>1.1599999999999999</v>
      </c>
      <c r="AR166">
        <v>1.1000000000000001</v>
      </c>
      <c r="AS166">
        <v>0.04</v>
      </c>
      <c r="AT166">
        <v>0.02</v>
      </c>
      <c r="AU166">
        <v>0.02</v>
      </c>
      <c r="AV166">
        <v>2.42</v>
      </c>
      <c r="AW166">
        <v>1.43</v>
      </c>
      <c r="AX166">
        <v>0.21</v>
      </c>
      <c r="AY166">
        <v>0.53</v>
      </c>
      <c r="AZ166">
        <v>0</v>
      </c>
      <c r="BA166">
        <v>1.17</v>
      </c>
      <c r="BB166">
        <v>0.08</v>
      </c>
      <c r="BC166">
        <v>0.18</v>
      </c>
      <c r="BD166">
        <v>0.27</v>
      </c>
      <c r="BE166">
        <v>7.39</v>
      </c>
      <c r="BF166">
        <v>6.7</v>
      </c>
      <c r="BG166">
        <v>0.24</v>
      </c>
      <c r="BH166">
        <v>0.45</v>
      </c>
      <c r="BI166">
        <v>0</v>
      </c>
      <c r="BJ166">
        <v>0.04</v>
      </c>
      <c r="BK166">
        <v>6.66</v>
      </c>
      <c r="BL166">
        <v>0</v>
      </c>
      <c r="BM166">
        <v>1.94</v>
      </c>
      <c r="BN166">
        <v>0.21</v>
      </c>
      <c r="BO166">
        <v>0.46</v>
      </c>
      <c r="BP166">
        <v>1.27</v>
      </c>
      <c r="BQ166">
        <v>1.08</v>
      </c>
      <c r="BR166">
        <v>0.06</v>
      </c>
      <c r="BS166">
        <v>0.13</v>
      </c>
      <c r="BT166">
        <v>0</v>
      </c>
      <c r="BU166">
        <v>7.79</v>
      </c>
      <c r="BV166">
        <v>6.73</v>
      </c>
      <c r="BW166">
        <v>0.34</v>
      </c>
      <c r="BX166">
        <v>0.72</v>
      </c>
      <c r="BY166">
        <v>0</v>
      </c>
      <c r="BZ166">
        <v>0.04</v>
      </c>
      <c r="CA166">
        <v>6.7</v>
      </c>
      <c r="CB166">
        <v>0</v>
      </c>
      <c r="CC166">
        <f t="shared" si="4"/>
        <v>2.75</v>
      </c>
      <c r="CD166">
        <v>3.96</v>
      </c>
      <c r="CE166">
        <v>0.34230769230769231</v>
      </c>
      <c r="CF166">
        <v>0.44500000000000001</v>
      </c>
      <c r="CG166">
        <v>0.1492537313432836</v>
      </c>
      <c r="CH166">
        <v>0.33496503496503499</v>
      </c>
      <c r="CI166">
        <v>0</v>
      </c>
      <c r="CJ166">
        <v>3449</v>
      </c>
      <c r="CK166" t="s">
        <v>141</v>
      </c>
      <c r="CL166" t="s">
        <v>738</v>
      </c>
      <c r="CM166" t="s">
        <v>143</v>
      </c>
      <c r="CN166">
        <v>0.17608079600000001</v>
      </c>
      <c r="CO166">
        <v>25.225675236168641</v>
      </c>
      <c r="CP166">
        <v>165</v>
      </c>
      <c r="CQ166" t="s">
        <v>575</v>
      </c>
      <c r="CR166">
        <v>126</v>
      </c>
      <c r="CS166" t="s">
        <v>576</v>
      </c>
      <c r="CT166" t="s">
        <v>577</v>
      </c>
      <c r="CU166" t="s">
        <v>333</v>
      </c>
      <c r="CV166" t="s">
        <v>578</v>
      </c>
      <c r="CW166" t="s">
        <v>579</v>
      </c>
      <c r="CX166" t="s">
        <v>580</v>
      </c>
      <c r="CY166" t="s">
        <v>581</v>
      </c>
      <c r="CZ166" t="s">
        <v>206</v>
      </c>
      <c r="DA166" t="s">
        <v>152</v>
      </c>
      <c r="DB166" t="s">
        <v>178</v>
      </c>
      <c r="DC166" t="s">
        <v>365</v>
      </c>
      <c r="DD166" t="s">
        <v>582</v>
      </c>
      <c r="DE166">
        <v>8520</v>
      </c>
      <c r="DF166">
        <v>-107.652666</v>
      </c>
      <c r="DG166">
        <v>36.368147</v>
      </c>
      <c r="DH166">
        <v>5511</v>
      </c>
      <c r="DI166">
        <v>883</v>
      </c>
      <c r="DJ166">
        <v>2388</v>
      </c>
      <c r="DK166">
        <v>123</v>
      </c>
      <c r="DL166">
        <v>13</v>
      </c>
      <c r="DO166">
        <v>15</v>
      </c>
      <c r="DR166">
        <v>20000</v>
      </c>
      <c r="DS166" t="s">
        <v>583</v>
      </c>
      <c r="DT166">
        <v>1.2500000000000001E-2</v>
      </c>
      <c r="DU166">
        <v>1.2500000000000001E-2</v>
      </c>
      <c r="DV166">
        <v>0.32500000000000001</v>
      </c>
      <c r="DW166">
        <v>0.32500000000000001</v>
      </c>
      <c r="DX166">
        <v>0.32500000000000001</v>
      </c>
      <c r="DY166">
        <v>0</v>
      </c>
      <c r="DZ166" s="4">
        <v>3.86</v>
      </c>
      <c r="EA166" s="4" t="s">
        <v>851</v>
      </c>
      <c r="EB166" s="4" t="s">
        <v>852</v>
      </c>
      <c r="EC166">
        <v>4.4279999999999999</v>
      </c>
      <c r="ED166">
        <v>536</v>
      </c>
      <c r="EE166" t="s">
        <v>976</v>
      </c>
      <c r="EF166">
        <v>0</v>
      </c>
      <c r="EH166">
        <f t="shared" si="5"/>
        <v>0.58000000000000007</v>
      </c>
      <c r="EI166">
        <v>3.38</v>
      </c>
      <c r="EJ166">
        <v>3.65</v>
      </c>
    </row>
    <row r="167" spans="1:140" x14ac:dyDescent="0.35">
      <c r="A167" s="1">
        <v>165</v>
      </c>
      <c r="B167">
        <v>-102.30446545204769</v>
      </c>
      <c r="C167">
        <v>38.967043950069133</v>
      </c>
      <c r="D167" t="s">
        <v>977</v>
      </c>
      <c r="E167">
        <v>0.02</v>
      </c>
      <c r="F167" t="s">
        <v>160</v>
      </c>
      <c r="G167">
        <v>4.8399999999999999E-2</v>
      </c>
      <c r="H167" t="s">
        <v>161</v>
      </c>
      <c r="I167">
        <v>-11388481</v>
      </c>
      <c r="J167">
        <v>4716952</v>
      </c>
      <c r="K167" t="s">
        <v>847</v>
      </c>
      <c r="L167" t="s">
        <v>978</v>
      </c>
      <c r="M167">
        <v>10</v>
      </c>
      <c r="N167">
        <v>3.6859999999999999</v>
      </c>
      <c r="O167">
        <v>4</v>
      </c>
      <c r="P167">
        <v>8</v>
      </c>
      <c r="Q167">
        <v>8</v>
      </c>
      <c r="R167">
        <v>17</v>
      </c>
      <c r="S167">
        <v>1748</v>
      </c>
      <c r="T167" t="s">
        <v>454</v>
      </c>
      <c r="U167">
        <v>6.9386621113594797</v>
      </c>
      <c r="V167" t="s">
        <v>847</v>
      </c>
      <c r="W167">
        <v>0.1207</v>
      </c>
      <c r="X167">
        <v>10</v>
      </c>
      <c r="Y167">
        <v>8.9</v>
      </c>
      <c r="Z167">
        <v>8.9</v>
      </c>
      <c r="AA167">
        <v>20</v>
      </c>
      <c r="AB167">
        <v>26</v>
      </c>
      <c r="AC167">
        <v>0.95799999999999996</v>
      </c>
      <c r="AD167">
        <v>67</v>
      </c>
      <c r="AE167">
        <v>0.15225683407501589</v>
      </c>
      <c r="AF167">
        <v>2.86</v>
      </c>
      <c r="AG167" t="s">
        <v>454</v>
      </c>
      <c r="AH167" t="s">
        <v>847</v>
      </c>
      <c r="AI167">
        <v>39</v>
      </c>
      <c r="AJ167">
        <v>1.2999999999999999E-2</v>
      </c>
      <c r="AK167">
        <v>13</v>
      </c>
      <c r="AL167" t="s">
        <v>979</v>
      </c>
      <c r="AM167">
        <v>131353.34789105301</v>
      </c>
      <c r="AN167">
        <v>1.44</v>
      </c>
      <c r="AO167">
        <v>0.09</v>
      </c>
      <c r="AP167">
        <v>0.19</v>
      </c>
      <c r="AQ167">
        <v>1.1599999999999999</v>
      </c>
      <c r="AR167">
        <v>1.1000000000000001</v>
      </c>
      <c r="AS167">
        <v>0.04</v>
      </c>
      <c r="AT167">
        <v>0.02</v>
      </c>
      <c r="AU167">
        <v>0.02</v>
      </c>
      <c r="AV167">
        <v>2.42</v>
      </c>
      <c r="AW167">
        <v>1.43</v>
      </c>
      <c r="AX167">
        <v>0.21</v>
      </c>
      <c r="AY167">
        <v>0.53</v>
      </c>
      <c r="AZ167">
        <v>0</v>
      </c>
      <c r="BA167">
        <v>1.17</v>
      </c>
      <c r="BB167">
        <v>0.08</v>
      </c>
      <c r="BC167">
        <v>0.18</v>
      </c>
      <c r="BD167">
        <v>0.27</v>
      </c>
      <c r="BE167">
        <v>7.39</v>
      </c>
      <c r="BF167">
        <v>6.7</v>
      </c>
      <c r="BG167">
        <v>0.24</v>
      </c>
      <c r="BH167">
        <v>0.45</v>
      </c>
      <c r="BI167">
        <v>0</v>
      </c>
      <c r="BJ167">
        <v>0.04</v>
      </c>
      <c r="BK167">
        <v>6.66</v>
      </c>
      <c r="BL167">
        <v>0</v>
      </c>
      <c r="BM167">
        <v>1.94</v>
      </c>
      <c r="BN167">
        <v>0.21</v>
      </c>
      <c r="BO167">
        <v>0.46</v>
      </c>
      <c r="BP167">
        <v>1.27</v>
      </c>
      <c r="BQ167">
        <v>1.08</v>
      </c>
      <c r="BR167">
        <v>0.06</v>
      </c>
      <c r="BS167">
        <v>0.13</v>
      </c>
      <c r="BT167">
        <v>0</v>
      </c>
      <c r="BU167">
        <v>7.79</v>
      </c>
      <c r="BV167">
        <v>6.73</v>
      </c>
      <c r="BW167">
        <v>0.34</v>
      </c>
      <c r="BX167">
        <v>0.72</v>
      </c>
      <c r="BY167">
        <v>0</v>
      </c>
      <c r="BZ167">
        <v>0.04</v>
      </c>
      <c r="CA167">
        <v>6.7</v>
      </c>
      <c r="CB167">
        <v>0</v>
      </c>
      <c r="CC167">
        <f t="shared" si="4"/>
        <v>2.75</v>
      </c>
      <c r="CD167">
        <v>3.96</v>
      </c>
      <c r="CE167">
        <v>0.34230769230769231</v>
      </c>
      <c r="CF167">
        <v>0.44500000000000001</v>
      </c>
      <c r="CG167">
        <v>0.1492537313432836</v>
      </c>
      <c r="CH167">
        <v>0.33496503496503499</v>
      </c>
      <c r="CI167">
        <v>0</v>
      </c>
      <c r="CJ167">
        <v>3574</v>
      </c>
      <c r="CK167" t="s">
        <v>141</v>
      </c>
      <c r="CL167" t="s">
        <v>980</v>
      </c>
      <c r="CM167" t="s">
        <v>143</v>
      </c>
      <c r="CN167">
        <v>3.23614834895</v>
      </c>
      <c r="CO167">
        <v>32.130295490629969</v>
      </c>
      <c r="CP167">
        <v>166</v>
      </c>
      <c r="CQ167" t="s">
        <v>859</v>
      </c>
      <c r="CR167">
        <v>4</v>
      </c>
      <c r="CS167" t="s">
        <v>860</v>
      </c>
      <c r="CT167" t="s">
        <v>486</v>
      </c>
      <c r="CU167" t="s">
        <v>861</v>
      </c>
      <c r="CV167" t="s">
        <v>862</v>
      </c>
      <c r="CW167" t="s">
        <v>863</v>
      </c>
      <c r="CX167" t="s">
        <v>864</v>
      </c>
      <c r="CY167" t="s">
        <v>865</v>
      </c>
      <c r="CZ167" t="s">
        <v>206</v>
      </c>
      <c r="DA167" t="s">
        <v>152</v>
      </c>
      <c r="DB167" t="s">
        <v>491</v>
      </c>
      <c r="DC167" t="s">
        <v>459</v>
      </c>
      <c r="DD167" t="s">
        <v>492</v>
      </c>
      <c r="DE167">
        <v>32460</v>
      </c>
      <c r="DF167">
        <v>-99.205699999999993</v>
      </c>
      <c r="DG167">
        <v>37.695</v>
      </c>
      <c r="DH167">
        <v>5365</v>
      </c>
      <c r="DI167">
        <v>720</v>
      </c>
      <c r="DJ167">
        <v>2333</v>
      </c>
      <c r="DK167">
        <v>114</v>
      </c>
      <c r="DL167">
        <v>10</v>
      </c>
      <c r="DO167">
        <v>50</v>
      </c>
      <c r="DP167">
        <v>0.1</v>
      </c>
      <c r="DQ167">
        <v>1500</v>
      </c>
      <c r="DR167" t="s">
        <v>866</v>
      </c>
      <c r="DS167" t="s">
        <v>867</v>
      </c>
      <c r="DT167">
        <v>1.2500000000000001E-2</v>
      </c>
      <c r="DU167">
        <v>1.2500000000000001E-2</v>
      </c>
      <c r="DV167">
        <v>0.32500000000000001</v>
      </c>
      <c r="DW167">
        <v>0.32500000000000001</v>
      </c>
      <c r="DX167">
        <v>0.32500000000000001</v>
      </c>
      <c r="DY167">
        <v>0</v>
      </c>
      <c r="DZ167" s="4">
        <v>3.86</v>
      </c>
      <c r="EA167" s="4" t="s">
        <v>851</v>
      </c>
      <c r="EB167" s="4" t="s">
        <v>852</v>
      </c>
      <c r="EC167">
        <v>4.4279999999999999</v>
      </c>
      <c r="ED167">
        <v>862</v>
      </c>
      <c r="EE167" t="s">
        <v>979</v>
      </c>
      <c r="EF167">
        <v>1.037431605818361</v>
      </c>
      <c r="EH167">
        <f t="shared" si="5"/>
        <v>0.58000000000000007</v>
      </c>
      <c r="EI167">
        <v>3.38</v>
      </c>
      <c r="EJ167">
        <v>3.65</v>
      </c>
    </row>
    <row r="168" spans="1:140" x14ac:dyDescent="0.35">
      <c r="A168" s="1">
        <v>166</v>
      </c>
      <c r="B168">
        <v>-100.5078348838087</v>
      </c>
      <c r="C168">
        <v>38.967043950069133</v>
      </c>
      <c r="D168" t="s">
        <v>981</v>
      </c>
      <c r="E168">
        <v>0.1</v>
      </c>
      <c r="F168" t="s">
        <v>135</v>
      </c>
      <c r="G168">
        <v>4.8399999999999999E-2</v>
      </c>
      <c r="H168" t="s">
        <v>161</v>
      </c>
      <c r="I168">
        <v>-11188481</v>
      </c>
      <c r="J168">
        <v>4716952</v>
      </c>
      <c r="K168" t="s">
        <v>872</v>
      </c>
      <c r="L168" t="s">
        <v>982</v>
      </c>
      <c r="M168">
        <v>32</v>
      </c>
      <c r="N168">
        <v>3.532</v>
      </c>
      <c r="O168">
        <v>2</v>
      </c>
      <c r="P168">
        <v>4</v>
      </c>
      <c r="Q168">
        <v>20</v>
      </c>
      <c r="R168">
        <v>63</v>
      </c>
      <c r="S168">
        <v>2717</v>
      </c>
      <c r="T168" t="s">
        <v>861</v>
      </c>
      <c r="U168">
        <v>5.7660025051329402</v>
      </c>
      <c r="V168" t="s">
        <v>872</v>
      </c>
      <c r="W168">
        <v>0.11210000000000001</v>
      </c>
      <c r="X168">
        <v>10</v>
      </c>
      <c r="Y168">
        <v>8.9</v>
      </c>
      <c r="Z168">
        <v>8.9</v>
      </c>
      <c r="AA168">
        <v>20</v>
      </c>
      <c r="AB168">
        <v>26</v>
      </c>
      <c r="AC168">
        <v>0.68</v>
      </c>
      <c r="AD168">
        <v>67</v>
      </c>
      <c r="AE168">
        <v>0.1080737444373808</v>
      </c>
      <c r="AF168">
        <v>2.86</v>
      </c>
      <c r="AG168" t="s">
        <v>861</v>
      </c>
      <c r="AH168" t="s">
        <v>872</v>
      </c>
      <c r="AI168">
        <v>27</v>
      </c>
      <c r="AJ168">
        <v>8.9999999999999993E-3</v>
      </c>
      <c r="AK168">
        <v>9</v>
      </c>
      <c r="AL168" t="s">
        <v>979</v>
      </c>
      <c r="AM168">
        <v>100235.5547434482</v>
      </c>
      <c r="AN168">
        <v>1.26</v>
      </c>
      <c r="AO168">
        <v>0.09</v>
      </c>
      <c r="AP168">
        <v>0.19</v>
      </c>
      <c r="AQ168">
        <v>0.97</v>
      </c>
      <c r="AR168">
        <v>0.91</v>
      </c>
      <c r="AS168">
        <v>0.04</v>
      </c>
      <c r="AT168">
        <v>0.01</v>
      </c>
      <c r="AU168">
        <v>0.02</v>
      </c>
      <c r="AV168">
        <v>2.21</v>
      </c>
      <c r="AW168">
        <v>1.22</v>
      </c>
      <c r="AX168">
        <v>0.21</v>
      </c>
      <c r="AY168">
        <v>0.53</v>
      </c>
      <c r="AZ168">
        <v>0</v>
      </c>
      <c r="BA168">
        <v>0.97</v>
      </c>
      <c r="BB168">
        <v>0.08</v>
      </c>
      <c r="BC168">
        <v>0.17</v>
      </c>
      <c r="BD168">
        <v>0.27</v>
      </c>
      <c r="BE168">
        <v>6.83</v>
      </c>
      <c r="BF168">
        <v>6.14</v>
      </c>
      <c r="BG168">
        <v>0.24</v>
      </c>
      <c r="BH168">
        <v>0.45</v>
      </c>
      <c r="BI168">
        <v>0</v>
      </c>
      <c r="BJ168">
        <v>0.04</v>
      </c>
      <c r="BK168">
        <v>6.1</v>
      </c>
      <c r="BL168">
        <v>0</v>
      </c>
      <c r="BM168">
        <v>1.75</v>
      </c>
      <c r="BN168">
        <v>0.21</v>
      </c>
      <c r="BO168">
        <v>0.46</v>
      </c>
      <c r="BP168">
        <v>1.08</v>
      </c>
      <c r="BQ168">
        <v>0.9</v>
      </c>
      <c r="BR168">
        <v>0.06</v>
      </c>
      <c r="BS168">
        <v>0.12</v>
      </c>
      <c r="BT168">
        <v>0</v>
      </c>
      <c r="BU168">
        <v>7.24</v>
      </c>
      <c r="BV168">
        <v>6.18</v>
      </c>
      <c r="BW168">
        <v>0.34</v>
      </c>
      <c r="BX168">
        <v>0.72</v>
      </c>
      <c r="BY168">
        <v>0</v>
      </c>
      <c r="BZ168">
        <v>0.04</v>
      </c>
      <c r="CA168">
        <v>6.14</v>
      </c>
      <c r="CB168">
        <v>0</v>
      </c>
      <c r="CC168">
        <f t="shared" si="4"/>
        <v>2.75</v>
      </c>
      <c r="CD168">
        <v>3.96</v>
      </c>
      <c r="CE168">
        <v>0.34230769230769231</v>
      </c>
      <c r="CF168">
        <v>0.44500000000000001</v>
      </c>
      <c r="CG168">
        <v>0.1492537313432836</v>
      </c>
      <c r="CH168">
        <v>0.23776223776223779</v>
      </c>
      <c r="CI168">
        <v>0</v>
      </c>
      <c r="CJ168">
        <v>26576</v>
      </c>
      <c r="CK168" t="s">
        <v>141</v>
      </c>
      <c r="CL168" t="s">
        <v>880</v>
      </c>
      <c r="CM168" t="s">
        <v>143</v>
      </c>
      <c r="CN168">
        <v>0.37502473142999998</v>
      </c>
      <c r="CO168">
        <v>24.549449771544548</v>
      </c>
      <c r="CP168">
        <v>167</v>
      </c>
      <c r="CQ168" t="s">
        <v>859</v>
      </c>
      <c r="CR168">
        <v>4</v>
      </c>
      <c r="CS168" t="s">
        <v>860</v>
      </c>
      <c r="CT168" t="s">
        <v>486</v>
      </c>
      <c r="CU168" t="s">
        <v>861</v>
      </c>
      <c r="CV168" t="s">
        <v>862</v>
      </c>
      <c r="CW168" t="s">
        <v>863</v>
      </c>
      <c r="CX168" t="s">
        <v>864</v>
      </c>
      <c r="CY168" t="s">
        <v>865</v>
      </c>
      <c r="CZ168" t="s">
        <v>206</v>
      </c>
      <c r="DA168" t="s">
        <v>152</v>
      </c>
      <c r="DB168" t="s">
        <v>491</v>
      </c>
      <c r="DC168" t="s">
        <v>459</v>
      </c>
      <c r="DD168" t="s">
        <v>492</v>
      </c>
      <c r="DE168">
        <v>32460</v>
      </c>
      <c r="DF168">
        <v>-99.205699999999993</v>
      </c>
      <c r="DG168">
        <v>37.695</v>
      </c>
      <c r="DH168">
        <v>5365</v>
      </c>
      <c r="DI168">
        <v>720</v>
      </c>
      <c r="DJ168">
        <v>2333</v>
      </c>
      <c r="DK168">
        <v>114</v>
      </c>
      <c r="DL168">
        <v>10</v>
      </c>
      <c r="DO168">
        <v>50</v>
      </c>
      <c r="DP168">
        <v>0.1</v>
      </c>
      <c r="DQ168">
        <v>1500</v>
      </c>
      <c r="DR168" t="s">
        <v>866</v>
      </c>
      <c r="DS168" t="s">
        <v>867</v>
      </c>
      <c r="DT168">
        <v>1.2500000000000001E-2</v>
      </c>
      <c r="DU168">
        <v>1.2500000000000001E-2</v>
      </c>
      <c r="DV168">
        <v>0.32500000000000001</v>
      </c>
      <c r="DW168">
        <v>0.32500000000000001</v>
      </c>
      <c r="DX168">
        <v>0.32500000000000001</v>
      </c>
      <c r="DY168">
        <v>13.33977264812615</v>
      </c>
      <c r="DZ168" s="4">
        <v>3.4860000000000002</v>
      </c>
      <c r="EA168" s="4" t="s">
        <v>875</v>
      </c>
      <c r="EB168" s="4" t="s">
        <v>876</v>
      </c>
      <c r="EC168">
        <v>4.3070000000000004</v>
      </c>
      <c r="ED168">
        <v>862</v>
      </c>
      <c r="EE168" t="s">
        <v>979</v>
      </c>
      <c r="EF168">
        <v>0.70354826342291055</v>
      </c>
      <c r="EH168">
        <f t="shared" si="5"/>
        <v>0.58000000000000007</v>
      </c>
      <c r="EI168">
        <v>3.38</v>
      </c>
      <c r="EJ168">
        <v>3.65</v>
      </c>
    </row>
    <row r="169" spans="1:140" x14ac:dyDescent="0.35">
      <c r="A169" s="1">
        <v>167</v>
      </c>
      <c r="B169">
        <v>-98.711204315569631</v>
      </c>
      <c r="C169">
        <v>38.967043950069133</v>
      </c>
      <c r="D169" t="s">
        <v>983</v>
      </c>
      <c r="E169">
        <v>0.02</v>
      </c>
      <c r="F169" t="s">
        <v>160</v>
      </c>
      <c r="G169">
        <v>4.8399999999999999E-2</v>
      </c>
      <c r="H169" t="s">
        <v>161</v>
      </c>
      <c r="I169">
        <v>-10988481</v>
      </c>
      <c r="J169">
        <v>4716952</v>
      </c>
      <c r="K169" t="s">
        <v>872</v>
      </c>
      <c r="L169" t="s">
        <v>984</v>
      </c>
      <c r="M169">
        <v>84</v>
      </c>
      <c r="N169">
        <v>3.3079999999999998</v>
      </c>
      <c r="O169">
        <v>2</v>
      </c>
      <c r="P169">
        <v>4</v>
      </c>
      <c r="Q169">
        <v>20</v>
      </c>
      <c r="R169">
        <v>167</v>
      </c>
      <c r="S169">
        <v>6684</v>
      </c>
      <c r="T169" t="s">
        <v>861</v>
      </c>
      <c r="U169">
        <v>5.7660025051329402</v>
      </c>
      <c r="V169" t="s">
        <v>872</v>
      </c>
      <c r="W169">
        <v>0.11210000000000001</v>
      </c>
      <c r="X169">
        <v>10</v>
      </c>
      <c r="Y169">
        <v>8.9</v>
      </c>
      <c r="Z169">
        <v>8.9</v>
      </c>
      <c r="AA169">
        <v>20</v>
      </c>
      <c r="AB169">
        <v>26</v>
      </c>
      <c r="AC169">
        <v>0.68</v>
      </c>
      <c r="AD169">
        <v>67</v>
      </c>
      <c r="AE169">
        <v>0.1080737444373808</v>
      </c>
      <c r="AF169">
        <v>2.86</v>
      </c>
      <c r="AG169" t="s">
        <v>861</v>
      </c>
      <c r="AH169" t="s">
        <v>872</v>
      </c>
      <c r="AI169">
        <v>27</v>
      </c>
      <c r="AJ169">
        <v>8.9999999999999993E-3</v>
      </c>
      <c r="AK169">
        <v>9</v>
      </c>
      <c r="AL169" t="s">
        <v>985</v>
      </c>
      <c r="AM169">
        <v>36497.865253265278</v>
      </c>
      <c r="AN169">
        <v>1.26</v>
      </c>
      <c r="AO169">
        <v>0.09</v>
      </c>
      <c r="AP169">
        <v>0.19</v>
      </c>
      <c r="AQ169">
        <v>0.97</v>
      </c>
      <c r="AR169">
        <v>0.91</v>
      </c>
      <c r="AS169">
        <v>0.04</v>
      </c>
      <c r="AT169">
        <v>0.01</v>
      </c>
      <c r="AU169">
        <v>0.02</v>
      </c>
      <c r="AV169">
        <v>2.21</v>
      </c>
      <c r="AW169">
        <v>1.22</v>
      </c>
      <c r="AX169">
        <v>0.21</v>
      </c>
      <c r="AY169">
        <v>0.53</v>
      </c>
      <c r="AZ169">
        <v>0</v>
      </c>
      <c r="BA169">
        <v>0.97</v>
      </c>
      <c r="BB169">
        <v>0.08</v>
      </c>
      <c r="BC169">
        <v>0.17</v>
      </c>
      <c r="BD169">
        <v>0.27</v>
      </c>
      <c r="BE169">
        <v>6.83</v>
      </c>
      <c r="BF169">
        <v>6.14</v>
      </c>
      <c r="BG169">
        <v>0.24</v>
      </c>
      <c r="BH169">
        <v>0.45</v>
      </c>
      <c r="BI169">
        <v>0</v>
      </c>
      <c r="BJ169">
        <v>0.04</v>
      </c>
      <c r="BK169">
        <v>6.1</v>
      </c>
      <c r="BL169">
        <v>0</v>
      </c>
      <c r="BM169">
        <v>1.75</v>
      </c>
      <c r="BN169">
        <v>0.21</v>
      </c>
      <c r="BO169">
        <v>0.46</v>
      </c>
      <c r="BP169">
        <v>1.08</v>
      </c>
      <c r="BQ169">
        <v>0.9</v>
      </c>
      <c r="BR169">
        <v>0.06</v>
      </c>
      <c r="BS169">
        <v>0.12</v>
      </c>
      <c r="BT169">
        <v>0</v>
      </c>
      <c r="BU169">
        <v>7.24</v>
      </c>
      <c r="BV169">
        <v>6.18</v>
      </c>
      <c r="BW169">
        <v>0.34</v>
      </c>
      <c r="BX169">
        <v>0.72</v>
      </c>
      <c r="BY169">
        <v>0</v>
      </c>
      <c r="BZ169">
        <v>0.04</v>
      </c>
      <c r="CA169">
        <v>6.14</v>
      </c>
      <c r="CB169">
        <v>0</v>
      </c>
      <c r="CC169">
        <f t="shared" si="4"/>
        <v>2.75</v>
      </c>
      <c r="CD169">
        <v>3.96</v>
      </c>
      <c r="CE169">
        <v>0.34230769230769231</v>
      </c>
      <c r="CF169">
        <v>0.44500000000000001</v>
      </c>
      <c r="CG169">
        <v>0.1492537313432836</v>
      </c>
      <c r="CH169">
        <v>0.23776223776223779</v>
      </c>
      <c r="CI169">
        <v>0</v>
      </c>
      <c r="CJ169">
        <v>26550</v>
      </c>
      <c r="CK169" t="s">
        <v>141</v>
      </c>
      <c r="CL169" t="s">
        <v>880</v>
      </c>
      <c r="CM169" t="s">
        <v>143</v>
      </c>
      <c r="CN169">
        <v>9.4082786353300002E-2</v>
      </c>
      <c r="CO169">
        <v>11.23393967532097</v>
      </c>
      <c r="CP169">
        <v>168</v>
      </c>
      <c r="CQ169" t="s">
        <v>859</v>
      </c>
      <c r="CR169">
        <v>4</v>
      </c>
      <c r="CS169" t="s">
        <v>860</v>
      </c>
      <c r="CT169" t="s">
        <v>486</v>
      </c>
      <c r="CU169" t="s">
        <v>861</v>
      </c>
      <c r="CV169" t="s">
        <v>862</v>
      </c>
      <c r="CW169" t="s">
        <v>863</v>
      </c>
      <c r="CX169" t="s">
        <v>864</v>
      </c>
      <c r="CY169" t="s">
        <v>865</v>
      </c>
      <c r="CZ169" t="s">
        <v>206</v>
      </c>
      <c r="DA169" t="s">
        <v>152</v>
      </c>
      <c r="DB169" t="s">
        <v>491</v>
      </c>
      <c r="DC169" t="s">
        <v>459</v>
      </c>
      <c r="DD169" t="s">
        <v>492</v>
      </c>
      <c r="DE169">
        <v>32460</v>
      </c>
      <c r="DF169">
        <v>-99.205699999999993</v>
      </c>
      <c r="DG169">
        <v>37.695</v>
      </c>
      <c r="DH169">
        <v>5365</v>
      </c>
      <c r="DI169">
        <v>720</v>
      </c>
      <c r="DJ169">
        <v>2333</v>
      </c>
      <c r="DK169">
        <v>114</v>
      </c>
      <c r="DL169">
        <v>10</v>
      </c>
      <c r="DO169">
        <v>50</v>
      </c>
      <c r="DP169">
        <v>0.1</v>
      </c>
      <c r="DQ169">
        <v>1500</v>
      </c>
      <c r="DR169" t="s">
        <v>866</v>
      </c>
      <c r="DS169" t="s">
        <v>867</v>
      </c>
      <c r="DT169">
        <v>1.2500000000000001E-2</v>
      </c>
      <c r="DU169">
        <v>1.2500000000000001E-2</v>
      </c>
      <c r="DV169">
        <v>0.32500000000000001</v>
      </c>
      <c r="DW169">
        <v>0.32500000000000001</v>
      </c>
      <c r="DX169">
        <v>0.32500000000000001</v>
      </c>
      <c r="DY169">
        <v>0</v>
      </c>
      <c r="DZ169" s="4">
        <v>3.4860000000000002</v>
      </c>
      <c r="EA169" s="4" t="s">
        <v>875</v>
      </c>
      <c r="EB169" s="4" t="s">
        <v>876</v>
      </c>
      <c r="EC169">
        <v>4.3070000000000004</v>
      </c>
      <c r="ED169">
        <v>865</v>
      </c>
      <c r="EE169" t="s">
        <v>986</v>
      </c>
      <c r="EF169">
        <v>0.27033177430647809</v>
      </c>
      <c r="EH169">
        <f t="shared" si="5"/>
        <v>0.58000000000000007</v>
      </c>
      <c r="EI169">
        <v>3.38</v>
      </c>
      <c r="EJ169">
        <v>3.65</v>
      </c>
    </row>
    <row r="170" spans="1:140" x14ac:dyDescent="0.35">
      <c r="A170" s="1">
        <v>168</v>
      </c>
      <c r="B170">
        <v>-96.914573747330593</v>
      </c>
      <c r="C170">
        <v>38.967043950069133</v>
      </c>
      <c r="D170" t="s">
        <v>987</v>
      </c>
      <c r="E170">
        <v>0.02</v>
      </c>
      <c r="F170" t="s">
        <v>160</v>
      </c>
      <c r="G170">
        <v>4.8399999999999999E-2</v>
      </c>
      <c r="H170" t="s">
        <v>161</v>
      </c>
      <c r="I170">
        <v>-10788481</v>
      </c>
      <c r="J170">
        <v>4716952</v>
      </c>
      <c r="K170" t="s">
        <v>872</v>
      </c>
      <c r="L170" t="s">
        <v>988</v>
      </c>
      <c r="M170">
        <v>31</v>
      </c>
      <c r="N170">
        <v>3.4660000000000002</v>
      </c>
      <c r="O170">
        <v>2</v>
      </c>
      <c r="P170">
        <v>4</v>
      </c>
      <c r="Q170">
        <v>20</v>
      </c>
      <c r="R170">
        <v>61</v>
      </c>
      <c r="S170">
        <v>36730</v>
      </c>
      <c r="T170" t="s">
        <v>861</v>
      </c>
      <c r="U170">
        <v>5.7660025051329402</v>
      </c>
      <c r="V170" t="s">
        <v>872</v>
      </c>
      <c r="W170">
        <v>0.11210000000000001</v>
      </c>
      <c r="X170">
        <v>10</v>
      </c>
      <c r="Y170">
        <v>8.9</v>
      </c>
      <c r="Z170">
        <v>8.9</v>
      </c>
      <c r="AA170">
        <v>20</v>
      </c>
      <c r="AB170">
        <v>26</v>
      </c>
      <c r="AC170">
        <v>0.68</v>
      </c>
      <c r="AD170">
        <v>67</v>
      </c>
      <c r="AE170">
        <v>0.1080737444373808</v>
      </c>
      <c r="AF170">
        <v>2.86</v>
      </c>
      <c r="AG170" t="s">
        <v>861</v>
      </c>
      <c r="AH170" t="s">
        <v>872</v>
      </c>
      <c r="AI170">
        <v>27</v>
      </c>
      <c r="AJ170">
        <v>8.9999999999999993E-3</v>
      </c>
      <c r="AK170">
        <v>9</v>
      </c>
      <c r="AL170" t="s">
        <v>989</v>
      </c>
      <c r="AM170">
        <v>0</v>
      </c>
      <c r="AN170">
        <v>1.26</v>
      </c>
      <c r="AO170">
        <v>0.09</v>
      </c>
      <c r="AP170">
        <v>0.19</v>
      </c>
      <c r="AQ170">
        <v>0.97</v>
      </c>
      <c r="AR170">
        <v>0.91</v>
      </c>
      <c r="AS170">
        <v>0.04</v>
      </c>
      <c r="AT170">
        <v>0.01</v>
      </c>
      <c r="AU170">
        <v>0.02</v>
      </c>
      <c r="AV170">
        <v>2.21</v>
      </c>
      <c r="AW170">
        <v>1.22</v>
      </c>
      <c r="AX170">
        <v>0.21</v>
      </c>
      <c r="AY170">
        <v>0.53</v>
      </c>
      <c r="AZ170">
        <v>0</v>
      </c>
      <c r="BA170">
        <v>0.97</v>
      </c>
      <c r="BB170">
        <v>0.08</v>
      </c>
      <c r="BC170">
        <v>0.17</v>
      </c>
      <c r="BD170">
        <v>0.27</v>
      </c>
      <c r="BE170">
        <v>6.83</v>
      </c>
      <c r="BF170">
        <v>6.14</v>
      </c>
      <c r="BG170">
        <v>0.24</v>
      </c>
      <c r="BH170">
        <v>0.45</v>
      </c>
      <c r="BI170">
        <v>0</v>
      </c>
      <c r="BJ170">
        <v>0.04</v>
      </c>
      <c r="BK170">
        <v>6.1</v>
      </c>
      <c r="BL170">
        <v>0</v>
      </c>
      <c r="BM170">
        <v>1.75</v>
      </c>
      <c r="BN170">
        <v>0.21</v>
      </c>
      <c r="BO170">
        <v>0.46</v>
      </c>
      <c r="BP170">
        <v>1.08</v>
      </c>
      <c r="BQ170">
        <v>0.9</v>
      </c>
      <c r="BR170">
        <v>0.06</v>
      </c>
      <c r="BS170">
        <v>0.12</v>
      </c>
      <c r="BT170">
        <v>0</v>
      </c>
      <c r="BU170">
        <v>7.24</v>
      </c>
      <c r="BV170">
        <v>6.18</v>
      </c>
      <c r="BW170">
        <v>0.34</v>
      </c>
      <c r="BX170">
        <v>0.72</v>
      </c>
      <c r="BY170">
        <v>0</v>
      </c>
      <c r="BZ170">
        <v>0.04</v>
      </c>
      <c r="CA170">
        <v>6.14</v>
      </c>
      <c r="CB170">
        <v>0</v>
      </c>
      <c r="CC170">
        <f t="shared" si="4"/>
        <v>2.75</v>
      </c>
      <c r="CD170">
        <v>3.96</v>
      </c>
      <c r="CE170">
        <v>0.34230769230769231</v>
      </c>
      <c r="CF170">
        <v>0.44500000000000001</v>
      </c>
      <c r="CG170">
        <v>0.1492537313432836</v>
      </c>
      <c r="CH170">
        <v>0.23776223776223779</v>
      </c>
      <c r="CI170">
        <v>0</v>
      </c>
      <c r="CJ170">
        <v>27298</v>
      </c>
      <c r="CK170" t="s">
        <v>141</v>
      </c>
      <c r="CL170" t="s">
        <v>990</v>
      </c>
      <c r="CM170" t="s">
        <v>143</v>
      </c>
      <c r="CN170">
        <v>7.5067558618899993E-2</v>
      </c>
      <c r="CO170">
        <v>3.8873009550903239</v>
      </c>
      <c r="CP170">
        <v>169</v>
      </c>
      <c r="CQ170" t="s">
        <v>991</v>
      </c>
      <c r="CR170">
        <v>4</v>
      </c>
      <c r="CS170" t="s">
        <v>860</v>
      </c>
      <c r="CT170" t="s">
        <v>486</v>
      </c>
      <c r="CU170" t="s">
        <v>861</v>
      </c>
      <c r="CV170" t="s">
        <v>862</v>
      </c>
      <c r="CW170" t="s">
        <v>863</v>
      </c>
      <c r="CX170" t="s">
        <v>864</v>
      </c>
      <c r="CY170" t="s">
        <v>865</v>
      </c>
      <c r="CZ170" t="s">
        <v>206</v>
      </c>
      <c r="DA170" t="s">
        <v>152</v>
      </c>
      <c r="DB170" t="s">
        <v>491</v>
      </c>
      <c r="DC170" t="s">
        <v>459</v>
      </c>
      <c r="DD170" t="s">
        <v>492</v>
      </c>
      <c r="DE170">
        <v>32460</v>
      </c>
      <c r="DF170">
        <v>-99.205699999999993</v>
      </c>
      <c r="DG170">
        <v>37.695</v>
      </c>
      <c r="DH170">
        <v>5365</v>
      </c>
      <c r="DI170">
        <v>720</v>
      </c>
      <c r="DJ170">
        <v>2333</v>
      </c>
      <c r="DK170">
        <v>114</v>
      </c>
      <c r="DL170">
        <v>10</v>
      </c>
      <c r="DO170">
        <v>50</v>
      </c>
      <c r="DP170">
        <v>0.1</v>
      </c>
      <c r="DQ170">
        <v>1500</v>
      </c>
      <c r="DR170" t="s">
        <v>866</v>
      </c>
      <c r="DS170" t="s">
        <v>867</v>
      </c>
      <c r="DT170">
        <v>1.2500000000000001E-2</v>
      </c>
      <c r="DU170">
        <v>1.2500000000000001E-2</v>
      </c>
      <c r="DV170">
        <v>0.32500000000000001</v>
      </c>
      <c r="DW170">
        <v>0.32500000000000001</v>
      </c>
      <c r="DX170">
        <v>0.32500000000000001</v>
      </c>
      <c r="DY170">
        <v>0</v>
      </c>
      <c r="DZ170" s="4">
        <v>3.4860000000000002</v>
      </c>
      <c r="EA170" s="4" t="s">
        <v>875</v>
      </c>
      <c r="EB170" s="4" t="s">
        <v>876</v>
      </c>
      <c r="EC170">
        <v>4.3070000000000004</v>
      </c>
      <c r="ED170">
        <v>470</v>
      </c>
      <c r="EE170" t="s">
        <v>989</v>
      </c>
      <c r="EF170">
        <v>0</v>
      </c>
      <c r="EH170">
        <f t="shared" si="5"/>
        <v>0.58000000000000007</v>
      </c>
      <c r="EI170">
        <v>3.38</v>
      </c>
      <c r="EJ170">
        <v>3.65</v>
      </c>
    </row>
    <row r="171" spans="1:140" x14ac:dyDescent="0.35">
      <c r="A171" s="1">
        <v>169</v>
      </c>
      <c r="B171">
        <v>-95.11794317909154</v>
      </c>
      <c r="C171">
        <v>38.967043950069133</v>
      </c>
      <c r="D171" t="s">
        <v>992</v>
      </c>
      <c r="E171">
        <v>0.1</v>
      </c>
      <c r="F171" t="s">
        <v>135</v>
      </c>
      <c r="G171">
        <v>4.8399999999999999E-2</v>
      </c>
      <c r="H171" t="s">
        <v>161</v>
      </c>
      <c r="I171">
        <v>-10588481</v>
      </c>
      <c r="J171">
        <v>4716952</v>
      </c>
      <c r="K171" t="s">
        <v>872</v>
      </c>
      <c r="L171" t="s">
        <v>993</v>
      </c>
      <c r="M171">
        <v>23</v>
      </c>
      <c r="N171">
        <v>3.4039999999999999</v>
      </c>
      <c r="O171">
        <v>2</v>
      </c>
      <c r="P171">
        <v>4</v>
      </c>
      <c r="Q171">
        <v>20</v>
      </c>
      <c r="R171">
        <v>45</v>
      </c>
      <c r="S171">
        <v>118784</v>
      </c>
      <c r="T171" t="s">
        <v>861</v>
      </c>
      <c r="U171">
        <v>5.7660025051329402</v>
      </c>
      <c r="V171" t="s">
        <v>872</v>
      </c>
      <c r="W171">
        <v>0.11210000000000001</v>
      </c>
      <c r="X171">
        <v>10</v>
      </c>
      <c r="Y171">
        <v>8.9</v>
      </c>
      <c r="Z171">
        <v>8.9</v>
      </c>
      <c r="AA171">
        <v>20</v>
      </c>
      <c r="AB171">
        <v>26</v>
      </c>
      <c r="AC171">
        <v>0.68</v>
      </c>
      <c r="AD171">
        <v>67</v>
      </c>
      <c r="AE171">
        <v>0.1080737444373808</v>
      </c>
      <c r="AF171">
        <v>2.86</v>
      </c>
      <c r="AG171" t="s">
        <v>861</v>
      </c>
      <c r="AH171" t="s">
        <v>872</v>
      </c>
      <c r="AI171">
        <v>27</v>
      </c>
      <c r="AJ171">
        <v>8.9999999999999993E-3</v>
      </c>
      <c r="AK171">
        <v>9</v>
      </c>
      <c r="AL171" t="s">
        <v>994</v>
      </c>
      <c r="AM171">
        <v>0</v>
      </c>
      <c r="AN171">
        <v>1.26</v>
      </c>
      <c r="AO171">
        <v>0.09</v>
      </c>
      <c r="AP171">
        <v>0.19</v>
      </c>
      <c r="AQ171">
        <v>0.97</v>
      </c>
      <c r="AR171">
        <v>0.91</v>
      </c>
      <c r="AS171">
        <v>0.04</v>
      </c>
      <c r="AT171">
        <v>0.01</v>
      </c>
      <c r="AU171">
        <v>0.02</v>
      </c>
      <c r="AV171">
        <v>2.21</v>
      </c>
      <c r="AW171">
        <v>1.22</v>
      </c>
      <c r="AX171">
        <v>0.21</v>
      </c>
      <c r="AY171">
        <v>0.53</v>
      </c>
      <c r="AZ171">
        <v>0</v>
      </c>
      <c r="BA171">
        <v>0.97</v>
      </c>
      <c r="BB171">
        <v>0.08</v>
      </c>
      <c r="BC171">
        <v>0.17</v>
      </c>
      <c r="BD171">
        <v>0.27</v>
      </c>
      <c r="BE171">
        <v>6.83</v>
      </c>
      <c r="BF171">
        <v>6.14</v>
      </c>
      <c r="BG171">
        <v>0.24</v>
      </c>
      <c r="BH171">
        <v>0.45</v>
      </c>
      <c r="BI171">
        <v>0</v>
      </c>
      <c r="BJ171">
        <v>0.04</v>
      </c>
      <c r="BK171">
        <v>6.1</v>
      </c>
      <c r="BL171">
        <v>0</v>
      </c>
      <c r="BM171">
        <v>1.75</v>
      </c>
      <c r="BN171">
        <v>0.21</v>
      </c>
      <c r="BO171">
        <v>0.46</v>
      </c>
      <c r="BP171">
        <v>1.08</v>
      </c>
      <c r="BQ171">
        <v>0.9</v>
      </c>
      <c r="BR171">
        <v>0.06</v>
      </c>
      <c r="BS171">
        <v>0.12</v>
      </c>
      <c r="BT171">
        <v>0</v>
      </c>
      <c r="BU171">
        <v>7.24</v>
      </c>
      <c r="BV171">
        <v>6.18</v>
      </c>
      <c r="BW171">
        <v>0.34</v>
      </c>
      <c r="BX171">
        <v>0.72</v>
      </c>
      <c r="BY171">
        <v>0</v>
      </c>
      <c r="BZ171">
        <v>0.04</v>
      </c>
      <c r="CA171">
        <v>6.14</v>
      </c>
      <c r="CB171">
        <v>0</v>
      </c>
      <c r="CC171">
        <f t="shared" si="4"/>
        <v>2.75</v>
      </c>
      <c r="CD171">
        <v>3.96</v>
      </c>
      <c r="CE171">
        <v>0.34230769230769231</v>
      </c>
      <c r="CF171">
        <v>0.44500000000000001</v>
      </c>
      <c r="CG171">
        <v>0.1492537313432836</v>
      </c>
      <c r="CH171">
        <v>0.23776223776223779</v>
      </c>
      <c r="CI171">
        <v>0</v>
      </c>
      <c r="CJ171">
        <v>26472</v>
      </c>
      <c r="CK171" t="s">
        <v>141</v>
      </c>
      <c r="CL171" t="s">
        <v>880</v>
      </c>
      <c r="CM171" t="s">
        <v>143</v>
      </c>
      <c r="CN171">
        <v>7.1453814565799995E-2</v>
      </c>
      <c r="CO171">
        <v>7.186531006752837</v>
      </c>
      <c r="CP171">
        <v>170</v>
      </c>
      <c r="CQ171" t="s">
        <v>991</v>
      </c>
      <c r="CR171">
        <v>4</v>
      </c>
      <c r="CS171" t="s">
        <v>860</v>
      </c>
      <c r="CT171" t="s">
        <v>486</v>
      </c>
      <c r="CU171" t="s">
        <v>861</v>
      </c>
      <c r="CV171" t="s">
        <v>862</v>
      </c>
      <c r="CW171" t="s">
        <v>863</v>
      </c>
      <c r="CX171" t="s">
        <v>864</v>
      </c>
      <c r="CY171" t="s">
        <v>865</v>
      </c>
      <c r="CZ171" t="s">
        <v>206</v>
      </c>
      <c r="DA171" t="s">
        <v>152</v>
      </c>
      <c r="DB171" t="s">
        <v>491</v>
      </c>
      <c r="DC171" t="s">
        <v>459</v>
      </c>
      <c r="DD171" t="s">
        <v>492</v>
      </c>
      <c r="DE171">
        <v>32460</v>
      </c>
      <c r="DF171">
        <v>-99.205699999999993</v>
      </c>
      <c r="DG171">
        <v>37.695</v>
      </c>
      <c r="DH171">
        <v>5365</v>
      </c>
      <c r="DI171">
        <v>720</v>
      </c>
      <c r="DJ171">
        <v>2333</v>
      </c>
      <c r="DK171">
        <v>114</v>
      </c>
      <c r="DL171">
        <v>10</v>
      </c>
      <c r="DO171">
        <v>50</v>
      </c>
      <c r="DP171">
        <v>0.1</v>
      </c>
      <c r="DQ171">
        <v>1500</v>
      </c>
      <c r="DR171" t="s">
        <v>866</v>
      </c>
      <c r="DS171" t="s">
        <v>867</v>
      </c>
      <c r="DT171">
        <v>1.2500000000000001E-2</v>
      </c>
      <c r="DU171">
        <v>1.2500000000000001E-2</v>
      </c>
      <c r="DV171">
        <v>0.32500000000000001</v>
      </c>
      <c r="DW171">
        <v>0.32500000000000001</v>
      </c>
      <c r="DX171">
        <v>0.32500000000000001</v>
      </c>
      <c r="DY171">
        <v>99.285674377465241</v>
      </c>
      <c r="DZ171" s="4">
        <v>3.4860000000000002</v>
      </c>
      <c r="EA171" s="4" t="s">
        <v>875</v>
      </c>
      <c r="EB171" s="4" t="s">
        <v>876</v>
      </c>
      <c r="EC171">
        <v>4.3070000000000004</v>
      </c>
      <c r="ED171">
        <v>670</v>
      </c>
      <c r="EE171" t="s">
        <v>994</v>
      </c>
      <c r="EF171">
        <v>0</v>
      </c>
      <c r="EH171">
        <f t="shared" si="5"/>
        <v>0.58000000000000007</v>
      </c>
      <c r="EI171">
        <v>3.38</v>
      </c>
      <c r="EJ171">
        <v>3.65</v>
      </c>
    </row>
    <row r="172" spans="1:140" x14ac:dyDescent="0.35">
      <c r="A172" s="1">
        <v>170</v>
      </c>
      <c r="B172">
        <v>-93.321312610852502</v>
      </c>
      <c r="C172">
        <v>38.967043950069133</v>
      </c>
      <c r="D172" t="s">
        <v>995</v>
      </c>
      <c r="E172">
        <v>0.1</v>
      </c>
      <c r="F172" t="s">
        <v>306</v>
      </c>
      <c r="G172">
        <v>8.8000000000000009E-2</v>
      </c>
      <c r="H172" t="s">
        <v>161</v>
      </c>
      <c r="I172">
        <v>-10388481</v>
      </c>
      <c r="J172">
        <v>4716952</v>
      </c>
      <c r="K172" t="s">
        <v>770</v>
      </c>
      <c r="L172" t="s">
        <v>152</v>
      </c>
      <c r="M172">
        <v>92</v>
      </c>
      <c r="N172">
        <v>3.492</v>
      </c>
      <c r="O172">
        <v>2</v>
      </c>
      <c r="P172">
        <v>4</v>
      </c>
      <c r="Q172">
        <v>29</v>
      </c>
      <c r="R172">
        <v>195</v>
      </c>
      <c r="S172">
        <v>23319</v>
      </c>
      <c r="T172" t="s">
        <v>772</v>
      </c>
      <c r="U172">
        <v>7.9601135439951216</v>
      </c>
      <c r="V172" t="s">
        <v>770</v>
      </c>
      <c r="W172">
        <v>0.1106</v>
      </c>
      <c r="X172">
        <v>10</v>
      </c>
      <c r="Y172">
        <v>8.9</v>
      </c>
      <c r="Z172">
        <v>8.9</v>
      </c>
      <c r="AA172">
        <v>20</v>
      </c>
      <c r="AB172">
        <v>26</v>
      </c>
      <c r="AC172">
        <v>1.456</v>
      </c>
      <c r="AD172">
        <v>67</v>
      </c>
      <c r="AE172">
        <v>0.23140495867768601</v>
      </c>
      <c r="AF172">
        <v>2.86</v>
      </c>
      <c r="AG172" t="s">
        <v>772</v>
      </c>
      <c r="AH172" t="s">
        <v>770</v>
      </c>
      <c r="AI172">
        <v>39</v>
      </c>
      <c r="AJ172">
        <v>1.2999999999999999E-2</v>
      </c>
      <c r="AK172">
        <v>13</v>
      </c>
      <c r="AL172" t="s">
        <v>996</v>
      </c>
      <c r="AM172">
        <v>0</v>
      </c>
      <c r="AN172">
        <v>1.6</v>
      </c>
      <c r="AO172">
        <v>0.09</v>
      </c>
      <c r="AP172">
        <v>0.19</v>
      </c>
      <c r="AQ172">
        <v>1.32</v>
      </c>
      <c r="AR172">
        <v>1.26</v>
      </c>
      <c r="AS172">
        <v>0.04</v>
      </c>
      <c r="AT172">
        <v>0.01</v>
      </c>
      <c r="AU172">
        <v>0.02</v>
      </c>
      <c r="AV172">
        <v>2.58</v>
      </c>
      <c r="AW172">
        <v>1.58</v>
      </c>
      <c r="AX172">
        <v>0.21</v>
      </c>
      <c r="AY172">
        <v>0.53</v>
      </c>
      <c r="AZ172">
        <v>0</v>
      </c>
      <c r="BA172">
        <v>1.34</v>
      </c>
      <c r="BB172">
        <v>0.08</v>
      </c>
      <c r="BC172">
        <v>0.17</v>
      </c>
      <c r="BD172">
        <v>0.27</v>
      </c>
      <c r="BE172">
        <v>6.83</v>
      </c>
      <c r="BF172">
        <v>6.14</v>
      </c>
      <c r="BG172">
        <v>0.24</v>
      </c>
      <c r="BH172">
        <v>0.45</v>
      </c>
      <c r="BI172">
        <v>0</v>
      </c>
      <c r="BJ172">
        <v>0.04</v>
      </c>
      <c r="BK172">
        <v>6.1</v>
      </c>
      <c r="BL172">
        <v>0</v>
      </c>
      <c r="BM172">
        <v>2.09</v>
      </c>
      <c r="BN172">
        <v>0.21</v>
      </c>
      <c r="BO172">
        <v>0.46</v>
      </c>
      <c r="BP172">
        <v>1.42</v>
      </c>
      <c r="BQ172">
        <v>1.24</v>
      </c>
      <c r="BR172">
        <v>0.06</v>
      </c>
      <c r="BS172">
        <v>0.12</v>
      </c>
      <c r="BT172">
        <v>0</v>
      </c>
      <c r="BU172">
        <v>7.24</v>
      </c>
      <c r="BV172">
        <v>6.18</v>
      </c>
      <c r="BW172">
        <v>0.34</v>
      </c>
      <c r="BX172">
        <v>0.72</v>
      </c>
      <c r="BY172">
        <v>0</v>
      </c>
      <c r="BZ172">
        <v>0.04</v>
      </c>
      <c r="CA172">
        <v>6.14</v>
      </c>
      <c r="CB172">
        <v>0</v>
      </c>
      <c r="CC172">
        <f t="shared" si="4"/>
        <v>2.75</v>
      </c>
      <c r="CD172">
        <v>3.96</v>
      </c>
      <c r="CE172">
        <v>0.34230769230769231</v>
      </c>
      <c r="CF172">
        <v>0.44500000000000001</v>
      </c>
      <c r="CG172">
        <v>0.1492537313432836</v>
      </c>
      <c r="CH172">
        <v>0.50909090909090915</v>
      </c>
      <c r="CI172">
        <v>0</v>
      </c>
      <c r="CJ172">
        <v>26435</v>
      </c>
      <c r="CK172" t="s">
        <v>141</v>
      </c>
      <c r="CL172" t="s">
        <v>880</v>
      </c>
      <c r="CM172" t="s">
        <v>143</v>
      </c>
      <c r="CN172">
        <v>0.13056000000000001</v>
      </c>
      <c r="CO172">
        <v>7.5617668597475323</v>
      </c>
      <c r="CP172">
        <v>171</v>
      </c>
      <c r="CQ172" t="s">
        <v>774</v>
      </c>
      <c r="CR172">
        <v>93</v>
      </c>
      <c r="CS172" t="s">
        <v>775</v>
      </c>
      <c r="CT172" t="s">
        <v>639</v>
      </c>
      <c r="CU172" t="s">
        <v>776</v>
      </c>
      <c r="CV172" t="s">
        <v>777</v>
      </c>
      <c r="CW172" t="s">
        <v>642</v>
      </c>
      <c r="CX172" t="s">
        <v>778</v>
      </c>
      <c r="CY172" t="s">
        <v>779</v>
      </c>
      <c r="CZ172" t="s">
        <v>645</v>
      </c>
      <c r="DA172" t="s">
        <v>152</v>
      </c>
      <c r="DB172" t="s">
        <v>491</v>
      </c>
      <c r="DC172" t="s">
        <v>459</v>
      </c>
      <c r="DD172" t="s">
        <v>492</v>
      </c>
      <c r="DE172">
        <v>5560</v>
      </c>
      <c r="DF172">
        <v>-88.498699999999999</v>
      </c>
      <c r="DG172">
        <v>38.153100000000002</v>
      </c>
      <c r="DH172">
        <v>7300</v>
      </c>
      <c r="DI172">
        <v>600</v>
      </c>
      <c r="DL172">
        <v>3.5</v>
      </c>
      <c r="DM172">
        <v>4</v>
      </c>
      <c r="DN172">
        <v>4</v>
      </c>
      <c r="DO172">
        <v>65</v>
      </c>
      <c r="DP172">
        <v>1</v>
      </c>
      <c r="DQ172">
        <v>400</v>
      </c>
      <c r="DR172">
        <v>140000</v>
      </c>
      <c r="DS172">
        <v>60</v>
      </c>
      <c r="DT172">
        <v>1.2500000000000001E-2</v>
      </c>
      <c r="DU172">
        <v>1.2500000000000001E-2</v>
      </c>
      <c r="DV172">
        <v>0.32500000000000001</v>
      </c>
      <c r="DW172">
        <v>0.32500000000000001</v>
      </c>
      <c r="DX172">
        <v>0.32500000000000001</v>
      </c>
      <c r="DY172">
        <v>151.29211580579849</v>
      </c>
      <c r="DZ172" s="4">
        <v>3.5070000000000001</v>
      </c>
      <c r="EA172" s="4" t="s">
        <v>780</v>
      </c>
      <c r="EB172" s="4" t="s">
        <v>781</v>
      </c>
      <c r="EC172">
        <v>4.2930000000000001</v>
      </c>
      <c r="ED172">
        <v>361</v>
      </c>
      <c r="EE172" t="s">
        <v>996</v>
      </c>
      <c r="EF172">
        <v>0</v>
      </c>
      <c r="EH172">
        <f t="shared" si="5"/>
        <v>0.58000000000000007</v>
      </c>
      <c r="EI172">
        <v>3.38</v>
      </c>
      <c r="EJ172">
        <v>3.65</v>
      </c>
    </row>
    <row r="173" spans="1:140" x14ac:dyDescent="0.35">
      <c r="A173" s="1">
        <v>171</v>
      </c>
      <c r="B173">
        <v>-91.524682042613449</v>
      </c>
      <c r="C173">
        <v>38.967043950069133</v>
      </c>
      <c r="D173" t="s">
        <v>997</v>
      </c>
      <c r="E173">
        <v>0.1</v>
      </c>
      <c r="F173" t="s">
        <v>135</v>
      </c>
      <c r="G173">
        <v>8.8000000000000009E-2</v>
      </c>
      <c r="H173" t="s">
        <v>161</v>
      </c>
      <c r="I173">
        <v>-10188481</v>
      </c>
      <c r="J173">
        <v>4716952</v>
      </c>
      <c r="K173" t="s">
        <v>770</v>
      </c>
      <c r="L173" t="s">
        <v>998</v>
      </c>
      <c r="M173">
        <v>70</v>
      </c>
      <c r="N173">
        <v>3.5710000000000002</v>
      </c>
      <c r="O173">
        <v>2</v>
      </c>
      <c r="P173">
        <v>4</v>
      </c>
      <c r="Q173">
        <v>29</v>
      </c>
      <c r="R173">
        <v>139</v>
      </c>
      <c r="S173">
        <v>11319</v>
      </c>
      <c r="T173" t="s">
        <v>772</v>
      </c>
      <c r="U173">
        <v>7.9601135439951216</v>
      </c>
      <c r="V173" t="s">
        <v>770</v>
      </c>
      <c r="W173">
        <v>0.1106</v>
      </c>
      <c r="X173">
        <v>10</v>
      </c>
      <c r="Y173">
        <v>8.9</v>
      </c>
      <c r="Z173">
        <v>8.9</v>
      </c>
      <c r="AA173">
        <v>20</v>
      </c>
      <c r="AB173">
        <v>26</v>
      </c>
      <c r="AC173">
        <v>1.456</v>
      </c>
      <c r="AD173">
        <v>67</v>
      </c>
      <c r="AE173">
        <v>0.23140495867768601</v>
      </c>
      <c r="AF173">
        <v>2.86</v>
      </c>
      <c r="AG173" t="s">
        <v>772</v>
      </c>
      <c r="AH173" t="s">
        <v>770</v>
      </c>
      <c r="AI173">
        <v>39</v>
      </c>
      <c r="AJ173">
        <v>1.2999999999999999E-2</v>
      </c>
      <c r="AK173">
        <v>13</v>
      </c>
      <c r="AL173" t="s">
        <v>999</v>
      </c>
      <c r="AM173">
        <v>12565.897544453879</v>
      </c>
      <c r="AN173">
        <v>1.6</v>
      </c>
      <c r="AO173">
        <v>0.09</v>
      </c>
      <c r="AP173">
        <v>0.19</v>
      </c>
      <c r="AQ173">
        <v>1.32</v>
      </c>
      <c r="AR173">
        <v>1.26</v>
      </c>
      <c r="AS173">
        <v>0.04</v>
      </c>
      <c r="AT173">
        <v>0.01</v>
      </c>
      <c r="AU173">
        <v>0.02</v>
      </c>
      <c r="AV173">
        <v>2.58</v>
      </c>
      <c r="AW173">
        <v>1.58</v>
      </c>
      <c r="AX173">
        <v>0.21</v>
      </c>
      <c r="AY173">
        <v>0.53</v>
      </c>
      <c r="AZ173">
        <v>0</v>
      </c>
      <c r="BA173">
        <v>1.34</v>
      </c>
      <c r="BB173">
        <v>0.08</v>
      </c>
      <c r="BC173">
        <v>0.17</v>
      </c>
      <c r="BD173">
        <v>0.27</v>
      </c>
      <c r="BE173">
        <v>6.83</v>
      </c>
      <c r="BF173">
        <v>6.14</v>
      </c>
      <c r="BG173">
        <v>0.24</v>
      </c>
      <c r="BH173">
        <v>0.45</v>
      </c>
      <c r="BI173">
        <v>0</v>
      </c>
      <c r="BJ173">
        <v>0.04</v>
      </c>
      <c r="BK173">
        <v>6.1</v>
      </c>
      <c r="BL173">
        <v>0</v>
      </c>
      <c r="BM173">
        <v>2.09</v>
      </c>
      <c r="BN173">
        <v>0.21</v>
      </c>
      <c r="BO173">
        <v>0.46</v>
      </c>
      <c r="BP173">
        <v>1.42</v>
      </c>
      <c r="BQ173">
        <v>1.24</v>
      </c>
      <c r="BR173">
        <v>0.06</v>
      </c>
      <c r="BS173">
        <v>0.12</v>
      </c>
      <c r="BT173">
        <v>0</v>
      </c>
      <c r="BU173">
        <v>7.24</v>
      </c>
      <c r="BV173">
        <v>6.18</v>
      </c>
      <c r="BW173">
        <v>0.34</v>
      </c>
      <c r="BX173">
        <v>0.72</v>
      </c>
      <c r="BY173">
        <v>0</v>
      </c>
      <c r="BZ173">
        <v>0.04</v>
      </c>
      <c r="CA173">
        <v>6.14</v>
      </c>
      <c r="CB173">
        <v>0</v>
      </c>
      <c r="CC173">
        <f t="shared" si="4"/>
        <v>2.75</v>
      </c>
      <c r="CD173">
        <v>3.96</v>
      </c>
      <c r="CE173">
        <v>0.34230769230769231</v>
      </c>
      <c r="CF173">
        <v>0.44500000000000001</v>
      </c>
      <c r="CG173">
        <v>0.1492537313432836</v>
      </c>
      <c r="CH173">
        <v>0.50909090909090915</v>
      </c>
      <c r="CI173">
        <v>0</v>
      </c>
      <c r="CJ173">
        <v>31966</v>
      </c>
      <c r="CK173" t="s">
        <v>141</v>
      </c>
      <c r="CL173" t="s">
        <v>1000</v>
      </c>
      <c r="CM173" t="s">
        <v>143</v>
      </c>
      <c r="CN173">
        <v>0.24054729200300001</v>
      </c>
      <c r="CO173">
        <v>8.3966915845726593</v>
      </c>
      <c r="CP173">
        <v>172</v>
      </c>
      <c r="CQ173" t="s">
        <v>774</v>
      </c>
      <c r="CR173">
        <v>93</v>
      </c>
      <c r="CS173" t="s">
        <v>775</v>
      </c>
      <c r="CT173" t="s">
        <v>639</v>
      </c>
      <c r="CU173" t="s">
        <v>776</v>
      </c>
      <c r="CV173" t="s">
        <v>777</v>
      </c>
      <c r="CW173" t="s">
        <v>642</v>
      </c>
      <c r="CX173" t="s">
        <v>778</v>
      </c>
      <c r="CY173" t="s">
        <v>779</v>
      </c>
      <c r="CZ173" t="s">
        <v>645</v>
      </c>
      <c r="DA173" t="s">
        <v>152</v>
      </c>
      <c r="DB173" t="s">
        <v>491</v>
      </c>
      <c r="DC173" t="s">
        <v>459</v>
      </c>
      <c r="DD173" t="s">
        <v>492</v>
      </c>
      <c r="DE173">
        <v>5560</v>
      </c>
      <c r="DF173">
        <v>-88.498699999999999</v>
      </c>
      <c r="DG173">
        <v>38.153100000000002</v>
      </c>
      <c r="DH173">
        <v>7300</v>
      </c>
      <c r="DI173">
        <v>600</v>
      </c>
      <c r="DL173">
        <v>3.5</v>
      </c>
      <c r="DM173">
        <v>4</v>
      </c>
      <c r="DN173">
        <v>4</v>
      </c>
      <c r="DO173">
        <v>65</v>
      </c>
      <c r="DP173">
        <v>1</v>
      </c>
      <c r="DQ173">
        <v>400</v>
      </c>
      <c r="DR173">
        <v>140000</v>
      </c>
      <c r="DS173">
        <v>60</v>
      </c>
      <c r="DT173">
        <v>1.2500000000000001E-2</v>
      </c>
      <c r="DU173">
        <v>1.2500000000000001E-2</v>
      </c>
      <c r="DV173">
        <v>0.32500000000000001</v>
      </c>
      <c r="DW173">
        <v>0.32500000000000001</v>
      </c>
      <c r="DX173">
        <v>0.32500000000000001</v>
      </c>
      <c r="DY173">
        <v>54.517091503227377</v>
      </c>
      <c r="DZ173" s="4">
        <v>3.5070000000000001</v>
      </c>
      <c r="EA173" s="4" t="s">
        <v>780</v>
      </c>
      <c r="EB173" s="4" t="s">
        <v>781</v>
      </c>
      <c r="EC173">
        <v>4.2930000000000001</v>
      </c>
      <c r="ED173">
        <v>301</v>
      </c>
      <c r="EE173" t="s">
        <v>999</v>
      </c>
      <c r="EF173">
        <v>0.1128128967415004</v>
      </c>
      <c r="EH173">
        <f t="shared" si="5"/>
        <v>0.58000000000000007</v>
      </c>
      <c r="EI173">
        <v>3.38</v>
      </c>
      <c r="EJ173">
        <v>3.65</v>
      </c>
    </row>
    <row r="174" spans="1:140" x14ac:dyDescent="0.35">
      <c r="A174" s="1">
        <v>172</v>
      </c>
      <c r="B174">
        <v>-89.728051474374411</v>
      </c>
      <c r="C174">
        <v>38.967043950069133</v>
      </c>
      <c r="D174" t="s">
        <v>1001</v>
      </c>
      <c r="E174">
        <v>0.02</v>
      </c>
      <c r="F174" t="s">
        <v>160</v>
      </c>
      <c r="G174">
        <v>8.8000000000000009E-2</v>
      </c>
      <c r="H174" t="s">
        <v>161</v>
      </c>
      <c r="I174">
        <v>-9988481</v>
      </c>
      <c r="J174">
        <v>4716952</v>
      </c>
      <c r="K174" t="s">
        <v>642</v>
      </c>
      <c r="L174" t="s">
        <v>908</v>
      </c>
      <c r="M174">
        <v>57</v>
      </c>
      <c r="N174">
        <v>3.9630000000000001</v>
      </c>
      <c r="O174">
        <v>2</v>
      </c>
      <c r="P174">
        <v>3</v>
      </c>
      <c r="Q174">
        <v>17</v>
      </c>
      <c r="R174">
        <v>119</v>
      </c>
      <c r="S174">
        <v>265858</v>
      </c>
      <c r="T174" t="s">
        <v>776</v>
      </c>
      <c r="U174">
        <v>7.0836720178825443</v>
      </c>
      <c r="V174" t="s">
        <v>642</v>
      </c>
      <c r="W174">
        <v>0.1221</v>
      </c>
      <c r="X174">
        <v>10</v>
      </c>
      <c r="Y174">
        <v>8.9</v>
      </c>
      <c r="Z174">
        <v>8.9</v>
      </c>
      <c r="AA174">
        <v>20</v>
      </c>
      <c r="AB174">
        <v>26</v>
      </c>
      <c r="AC174">
        <v>0.51</v>
      </c>
      <c r="AD174">
        <v>67</v>
      </c>
      <c r="AE174">
        <v>8.1055308328035605E-2</v>
      </c>
      <c r="AF174">
        <v>2.86</v>
      </c>
      <c r="AG174" t="s">
        <v>776</v>
      </c>
      <c r="AH174" t="s">
        <v>642</v>
      </c>
      <c r="AI174">
        <v>26</v>
      </c>
      <c r="AJ174">
        <v>8.6666666666666663E-3</v>
      </c>
      <c r="AK174">
        <v>8.6666666666666661</v>
      </c>
      <c r="AL174" t="s">
        <v>1002</v>
      </c>
      <c r="AM174">
        <v>0</v>
      </c>
      <c r="AN174">
        <v>1.47</v>
      </c>
      <c r="AO174">
        <v>0.09</v>
      </c>
      <c r="AP174">
        <v>0.19</v>
      </c>
      <c r="AQ174">
        <v>1.18</v>
      </c>
      <c r="AR174">
        <v>1.1200000000000001</v>
      </c>
      <c r="AS174">
        <v>0.04</v>
      </c>
      <c r="AT174">
        <v>0.02</v>
      </c>
      <c r="AU174">
        <v>0.02</v>
      </c>
      <c r="AV174">
        <v>2.4500000000000002</v>
      </c>
      <c r="AW174">
        <v>1.45</v>
      </c>
      <c r="AX174">
        <v>0.21</v>
      </c>
      <c r="AY174">
        <v>0.53</v>
      </c>
      <c r="AZ174">
        <v>0</v>
      </c>
      <c r="BA174">
        <v>1.19</v>
      </c>
      <c r="BB174">
        <v>0.08</v>
      </c>
      <c r="BC174">
        <v>0.18</v>
      </c>
      <c r="BD174">
        <v>0.27</v>
      </c>
      <c r="BE174">
        <v>7.39</v>
      </c>
      <c r="BF174">
        <v>6.7</v>
      </c>
      <c r="BG174">
        <v>0.24</v>
      </c>
      <c r="BH174">
        <v>0.45</v>
      </c>
      <c r="BI174">
        <v>0</v>
      </c>
      <c r="BJ174">
        <v>0.04</v>
      </c>
      <c r="BK174">
        <v>6.66</v>
      </c>
      <c r="BL174">
        <v>0</v>
      </c>
      <c r="BM174">
        <v>1.97</v>
      </c>
      <c r="BN174">
        <v>0.21</v>
      </c>
      <c r="BO174">
        <v>0.46</v>
      </c>
      <c r="BP174">
        <v>1.3</v>
      </c>
      <c r="BQ174">
        <v>1.1000000000000001</v>
      </c>
      <c r="BR174">
        <v>0.06</v>
      </c>
      <c r="BS174">
        <v>0.13</v>
      </c>
      <c r="BT174">
        <v>0</v>
      </c>
      <c r="BU174">
        <v>7.79</v>
      </c>
      <c r="BV174">
        <v>6.73</v>
      </c>
      <c r="BW174">
        <v>0.34</v>
      </c>
      <c r="BX174">
        <v>0.72</v>
      </c>
      <c r="BY174">
        <v>0</v>
      </c>
      <c r="BZ174">
        <v>0.04</v>
      </c>
      <c r="CA174">
        <v>6.7</v>
      </c>
      <c r="CB174">
        <v>0</v>
      </c>
      <c r="CC174">
        <f t="shared" si="4"/>
        <v>2.75</v>
      </c>
      <c r="CD174">
        <v>3.96</v>
      </c>
      <c r="CE174">
        <v>0.34230769230769231</v>
      </c>
      <c r="CF174">
        <v>0.44500000000000001</v>
      </c>
      <c r="CG174">
        <v>0.1492537313432836</v>
      </c>
      <c r="CH174">
        <v>0.17832167832167831</v>
      </c>
      <c r="CI174">
        <v>0</v>
      </c>
      <c r="CJ174">
        <v>10533</v>
      </c>
      <c r="CK174" t="s">
        <v>141</v>
      </c>
      <c r="CL174" t="s">
        <v>1003</v>
      </c>
      <c r="CM174" t="s">
        <v>143</v>
      </c>
      <c r="CN174">
        <v>2.59545384569E-3</v>
      </c>
      <c r="CO174">
        <v>23.209918182081861</v>
      </c>
      <c r="CP174">
        <v>173</v>
      </c>
      <c r="CQ174" t="s">
        <v>901</v>
      </c>
      <c r="CR174">
        <v>96</v>
      </c>
      <c r="CS174" t="s">
        <v>638</v>
      </c>
      <c r="CT174" t="s">
        <v>639</v>
      </c>
      <c r="CU174" t="s">
        <v>640</v>
      </c>
      <c r="CV174" t="s">
        <v>641</v>
      </c>
      <c r="CW174" t="s">
        <v>642</v>
      </c>
      <c r="CX174" t="s">
        <v>643</v>
      </c>
      <c r="CY174" t="s">
        <v>644</v>
      </c>
      <c r="CZ174" t="s">
        <v>645</v>
      </c>
      <c r="DA174" t="s">
        <v>152</v>
      </c>
      <c r="DB174" t="s">
        <v>491</v>
      </c>
      <c r="DC174" t="s">
        <v>459</v>
      </c>
      <c r="DD174" t="s">
        <v>492</v>
      </c>
      <c r="DE174">
        <v>2610</v>
      </c>
      <c r="DF174">
        <v>-87.295199999999994</v>
      </c>
      <c r="DG174">
        <v>37.482399999999998</v>
      </c>
      <c r="DH174">
        <v>4670</v>
      </c>
      <c r="DI174">
        <v>500</v>
      </c>
      <c r="DL174">
        <v>6.5</v>
      </c>
      <c r="DM174">
        <v>4</v>
      </c>
      <c r="DN174">
        <v>11</v>
      </c>
      <c r="DO174">
        <v>90</v>
      </c>
      <c r="DP174">
        <v>10</v>
      </c>
      <c r="DQ174">
        <v>250</v>
      </c>
      <c r="DR174">
        <v>80000</v>
      </c>
      <c r="DS174">
        <v>60</v>
      </c>
      <c r="DT174">
        <v>1.2500000000000001E-2</v>
      </c>
      <c r="DU174">
        <v>1.2500000000000001E-2</v>
      </c>
      <c r="DV174">
        <v>0.32500000000000001</v>
      </c>
      <c r="DW174">
        <v>0.32500000000000001</v>
      </c>
      <c r="DX174">
        <v>0.32500000000000001</v>
      </c>
      <c r="DY174">
        <v>0</v>
      </c>
      <c r="DZ174" s="4">
        <v>4.1020000000000003</v>
      </c>
      <c r="EA174" s="4" t="s">
        <v>1004</v>
      </c>
      <c r="EB174" s="4" t="s">
        <v>1005</v>
      </c>
      <c r="EC174">
        <v>4.9260000000000002</v>
      </c>
      <c r="ED174">
        <v>173</v>
      </c>
      <c r="EE174" t="s">
        <v>1002</v>
      </c>
      <c r="EF174">
        <v>0</v>
      </c>
      <c r="EH174">
        <f t="shared" si="5"/>
        <v>0.58000000000000007</v>
      </c>
      <c r="EI174">
        <v>3.38</v>
      </c>
      <c r="EJ174">
        <v>3.65</v>
      </c>
    </row>
    <row r="175" spans="1:140" x14ac:dyDescent="0.35">
      <c r="A175" s="1">
        <v>173</v>
      </c>
      <c r="B175">
        <v>-87.931420906135358</v>
      </c>
      <c r="C175">
        <v>38.967043950069133</v>
      </c>
      <c r="D175" t="s">
        <v>1006</v>
      </c>
      <c r="E175">
        <v>0.02</v>
      </c>
      <c r="F175" t="s">
        <v>160</v>
      </c>
      <c r="G175">
        <v>8.8000000000000009E-2</v>
      </c>
      <c r="H175" t="s">
        <v>161</v>
      </c>
      <c r="I175">
        <v>-9788481</v>
      </c>
      <c r="J175">
        <v>4716952</v>
      </c>
      <c r="K175" t="s">
        <v>642</v>
      </c>
      <c r="L175" t="s">
        <v>1007</v>
      </c>
      <c r="M175">
        <v>17</v>
      </c>
      <c r="N175">
        <v>3.9940000000000002</v>
      </c>
      <c r="O175">
        <v>2</v>
      </c>
      <c r="P175">
        <v>3</v>
      </c>
      <c r="Q175">
        <v>17</v>
      </c>
      <c r="R175">
        <v>33</v>
      </c>
      <c r="S175">
        <v>18672</v>
      </c>
      <c r="T175" t="s">
        <v>776</v>
      </c>
      <c r="U175">
        <v>7.0836720178825443</v>
      </c>
      <c r="V175" t="s">
        <v>642</v>
      </c>
      <c r="W175">
        <v>0.1221</v>
      </c>
      <c r="X175">
        <v>10</v>
      </c>
      <c r="Y175">
        <v>8.9</v>
      </c>
      <c r="Z175">
        <v>8.9</v>
      </c>
      <c r="AA175">
        <v>20</v>
      </c>
      <c r="AB175">
        <v>26</v>
      </c>
      <c r="AC175">
        <v>0.51</v>
      </c>
      <c r="AD175">
        <v>67</v>
      </c>
      <c r="AE175">
        <v>8.1055308328035605E-2</v>
      </c>
      <c r="AF175">
        <v>2.86</v>
      </c>
      <c r="AG175" t="s">
        <v>776</v>
      </c>
      <c r="AH175" t="s">
        <v>642</v>
      </c>
      <c r="AI175">
        <v>26</v>
      </c>
      <c r="AJ175">
        <v>8.6666666666666663E-3</v>
      </c>
      <c r="AK175">
        <v>8.6666666666666661</v>
      </c>
      <c r="AL175" t="s">
        <v>1008</v>
      </c>
      <c r="AM175">
        <v>30856.98912127149</v>
      </c>
      <c r="AN175">
        <v>1.47</v>
      </c>
      <c r="AO175">
        <v>0.09</v>
      </c>
      <c r="AP175">
        <v>0.19</v>
      </c>
      <c r="AQ175">
        <v>1.18</v>
      </c>
      <c r="AR175">
        <v>1.1200000000000001</v>
      </c>
      <c r="AS175">
        <v>0.04</v>
      </c>
      <c r="AT175">
        <v>0.02</v>
      </c>
      <c r="AU175">
        <v>0.02</v>
      </c>
      <c r="AV175">
        <v>2.4500000000000002</v>
      </c>
      <c r="AW175">
        <v>1.45</v>
      </c>
      <c r="AX175">
        <v>0.21</v>
      </c>
      <c r="AY175">
        <v>0.53</v>
      </c>
      <c r="AZ175">
        <v>0</v>
      </c>
      <c r="BA175">
        <v>1.19</v>
      </c>
      <c r="BB175">
        <v>0.08</v>
      </c>
      <c r="BC175">
        <v>0.18</v>
      </c>
      <c r="BD175">
        <v>0.27</v>
      </c>
      <c r="BE175">
        <v>7.39</v>
      </c>
      <c r="BF175">
        <v>6.7</v>
      </c>
      <c r="BG175">
        <v>0.24</v>
      </c>
      <c r="BH175">
        <v>0.45</v>
      </c>
      <c r="BI175">
        <v>0</v>
      </c>
      <c r="BJ175">
        <v>0.04</v>
      </c>
      <c r="BK175">
        <v>6.66</v>
      </c>
      <c r="BL175">
        <v>0</v>
      </c>
      <c r="BM175">
        <v>1.97</v>
      </c>
      <c r="BN175">
        <v>0.21</v>
      </c>
      <c r="BO175">
        <v>0.46</v>
      </c>
      <c r="BP175">
        <v>1.3</v>
      </c>
      <c r="BQ175">
        <v>1.1000000000000001</v>
      </c>
      <c r="BR175">
        <v>0.06</v>
      </c>
      <c r="BS175">
        <v>0.13</v>
      </c>
      <c r="BT175">
        <v>0</v>
      </c>
      <c r="BU175">
        <v>7.79</v>
      </c>
      <c r="BV175">
        <v>6.73</v>
      </c>
      <c r="BW175">
        <v>0.34</v>
      </c>
      <c r="BX175">
        <v>0.72</v>
      </c>
      <c r="BY175">
        <v>0</v>
      </c>
      <c r="BZ175">
        <v>0.04</v>
      </c>
      <c r="CA175">
        <v>6.7</v>
      </c>
      <c r="CB175">
        <v>0</v>
      </c>
      <c r="CC175">
        <f t="shared" si="4"/>
        <v>2.75</v>
      </c>
      <c r="CD175">
        <v>3.96</v>
      </c>
      <c r="CE175">
        <v>0.34230769230769231</v>
      </c>
      <c r="CF175">
        <v>0.44500000000000001</v>
      </c>
      <c r="CG175">
        <v>0.1492537313432836</v>
      </c>
      <c r="CH175">
        <v>0.17832167832167831</v>
      </c>
      <c r="CI175">
        <v>0</v>
      </c>
      <c r="CJ175">
        <v>25655</v>
      </c>
      <c r="CK175" t="s">
        <v>141</v>
      </c>
      <c r="CL175" t="s">
        <v>509</v>
      </c>
      <c r="CM175" t="s">
        <v>143</v>
      </c>
      <c r="CN175">
        <v>0.19387476174000001</v>
      </c>
      <c r="CO175">
        <v>16.42017481203348</v>
      </c>
      <c r="CP175">
        <v>174</v>
      </c>
      <c r="CQ175" t="s">
        <v>901</v>
      </c>
      <c r="CR175">
        <v>96</v>
      </c>
      <c r="CS175" t="s">
        <v>638</v>
      </c>
      <c r="CT175" t="s">
        <v>639</v>
      </c>
      <c r="CU175" t="s">
        <v>640</v>
      </c>
      <c r="CV175" t="s">
        <v>641</v>
      </c>
      <c r="CW175" t="s">
        <v>642</v>
      </c>
      <c r="CX175" t="s">
        <v>643</v>
      </c>
      <c r="CY175" t="s">
        <v>644</v>
      </c>
      <c r="CZ175" t="s">
        <v>645</v>
      </c>
      <c r="DA175" t="s">
        <v>152</v>
      </c>
      <c r="DB175" t="s">
        <v>491</v>
      </c>
      <c r="DC175" t="s">
        <v>459</v>
      </c>
      <c r="DD175" t="s">
        <v>492</v>
      </c>
      <c r="DE175">
        <v>2610</v>
      </c>
      <c r="DF175">
        <v>-87.295199999999994</v>
      </c>
      <c r="DG175">
        <v>37.482399999999998</v>
      </c>
      <c r="DH175">
        <v>4670</v>
      </c>
      <c r="DI175">
        <v>500</v>
      </c>
      <c r="DL175">
        <v>6.5</v>
      </c>
      <c r="DM175">
        <v>4</v>
      </c>
      <c r="DN175">
        <v>11</v>
      </c>
      <c r="DO175">
        <v>90</v>
      </c>
      <c r="DP175">
        <v>10</v>
      </c>
      <c r="DQ175">
        <v>250</v>
      </c>
      <c r="DR175">
        <v>80000</v>
      </c>
      <c r="DS175">
        <v>60</v>
      </c>
      <c r="DT175">
        <v>1.2500000000000001E-2</v>
      </c>
      <c r="DU175">
        <v>1.2500000000000001E-2</v>
      </c>
      <c r="DV175">
        <v>0.32500000000000001</v>
      </c>
      <c r="DW175">
        <v>0.32500000000000001</v>
      </c>
      <c r="DX175">
        <v>0.32500000000000001</v>
      </c>
      <c r="DY175">
        <v>0</v>
      </c>
      <c r="DZ175" s="4">
        <v>4.1020000000000003</v>
      </c>
      <c r="EA175" s="4" t="s">
        <v>1004</v>
      </c>
      <c r="EB175" s="4" t="s">
        <v>1005</v>
      </c>
      <c r="EC175">
        <v>4.9260000000000002</v>
      </c>
      <c r="ED175">
        <v>371</v>
      </c>
      <c r="EE175" t="s">
        <v>1008</v>
      </c>
      <c r="EF175">
        <v>0.2205183488458361</v>
      </c>
      <c r="EH175">
        <f t="shared" si="5"/>
        <v>0.58000000000000007</v>
      </c>
      <c r="EI175">
        <v>3.38</v>
      </c>
      <c r="EJ175">
        <v>3.65</v>
      </c>
    </row>
    <row r="176" spans="1:140" x14ac:dyDescent="0.35">
      <c r="A176" s="1">
        <v>174</v>
      </c>
      <c r="B176">
        <v>-86.13479033789632</v>
      </c>
      <c r="C176">
        <v>38.967043950069133</v>
      </c>
      <c r="D176" t="s">
        <v>1009</v>
      </c>
      <c r="E176">
        <v>0.02</v>
      </c>
      <c r="F176" t="s">
        <v>160</v>
      </c>
      <c r="G176">
        <v>8.8000000000000009E-2</v>
      </c>
      <c r="H176" t="s">
        <v>161</v>
      </c>
      <c r="I176">
        <v>-9588481</v>
      </c>
      <c r="J176">
        <v>4716952</v>
      </c>
      <c r="K176" t="s">
        <v>1010</v>
      </c>
      <c r="L176" t="s">
        <v>647</v>
      </c>
      <c r="M176">
        <v>36</v>
      </c>
      <c r="N176">
        <v>3.149</v>
      </c>
      <c r="O176">
        <v>2</v>
      </c>
      <c r="P176">
        <v>3</v>
      </c>
      <c r="Q176">
        <v>18</v>
      </c>
      <c r="R176">
        <v>71</v>
      </c>
      <c r="S176">
        <v>46425</v>
      </c>
      <c r="T176" t="s">
        <v>1011</v>
      </c>
      <c r="U176">
        <v>6.9429307472785728</v>
      </c>
      <c r="V176" t="s">
        <v>1010</v>
      </c>
      <c r="W176">
        <v>0.1138</v>
      </c>
      <c r="X176">
        <v>10</v>
      </c>
      <c r="Y176">
        <v>8.9</v>
      </c>
      <c r="Z176">
        <v>8.9</v>
      </c>
      <c r="AA176">
        <v>20</v>
      </c>
      <c r="AB176">
        <v>26</v>
      </c>
      <c r="AC176">
        <v>1.393</v>
      </c>
      <c r="AD176">
        <v>67</v>
      </c>
      <c r="AE176">
        <v>0.2213922441195168</v>
      </c>
      <c r="AF176">
        <v>2.86</v>
      </c>
      <c r="AG176" t="s">
        <v>1011</v>
      </c>
      <c r="AH176" t="s">
        <v>1010</v>
      </c>
      <c r="AI176">
        <v>30</v>
      </c>
      <c r="AJ176">
        <v>0.01</v>
      </c>
      <c r="AK176">
        <v>10</v>
      </c>
      <c r="AL176" t="s">
        <v>1012</v>
      </c>
      <c r="AM176">
        <v>0</v>
      </c>
      <c r="AN176">
        <v>1.44</v>
      </c>
      <c r="AO176">
        <v>0.09</v>
      </c>
      <c r="AP176">
        <v>0.19</v>
      </c>
      <c r="AQ176">
        <v>1.1499999999999999</v>
      </c>
      <c r="AR176">
        <v>1.1000000000000001</v>
      </c>
      <c r="AS176">
        <v>0.04</v>
      </c>
      <c r="AT176">
        <v>0.01</v>
      </c>
      <c r="AU176">
        <v>0.02</v>
      </c>
      <c r="AV176">
        <v>2.41</v>
      </c>
      <c r="AW176">
        <v>1.41</v>
      </c>
      <c r="AX176">
        <v>0.21</v>
      </c>
      <c r="AY176">
        <v>0.53</v>
      </c>
      <c r="AZ176">
        <v>0</v>
      </c>
      <c r="BA176">
        <v>1.17</v>
      </c>
      <c r="BB176">
        <v>0.08</v>
      </c>
      <c r="BC176">
        <v>0.17</v>
      </c>
      <c r="BD176">
        <v>0.27</v>
      </c>
      <c r="BE176">
        <v>6.83</v>
      </c>
      <c r="BF176">
        <v>6.14</v>
      </c>
      <c r="BG176">
        <v>0.24</v>
      </c>
      <c r="BH176">
        <v>0.45</v>
      </c>
      <c r="BI176">
        <v>0</v>
      </c>
      <c r="BJ176">
        <v>0.04</v>
      </c>
      <c r="BK176">
        <v>6.1</v>
      </c>
      <c r="BL176">
        <v>0</v>
      </c>
      <c r="BM176">
        <v>1.93</v>
      </c>
      <c r="BN176">
        <v>0.21</v>
      </c>
      <c r="BO176">
        <v>0.46</v>
      </c>
      <c r="BP176">
        <v>1.26</v>
      </c>
      <c r="BQ176">
        <v>1.08</v>
      </c>
      <c r="BR176">
        <v>0.06</v>
      </c>
      <c r="BS176">
        <v>0.12</v>
      </c>
      <c r="BT176">
        <v>0</v>
      </c>
      <c r="BU176">
        <v>7.24</v>
      </c>
      <c r="BV176">
        <v>6.18</v>
      </c>
      <c r="BW176">
        <v>0.34</v>
      </c>
      <c r="BX176">
        <v>0.72</v>
      </c>
      <c r="BY176">
        <v>0</v>
      </c>
      <c r="BZ176">
        <v>0.04</v>
      </c>
      <c r="CA176">
        <v>6.14</v>
      </c>
      <c r="CB176">
        <v>0</v>
      </c>
      <c r="CC176">
        <f t="shared" si="4"/>
        <v>2.75</v>
      </c>
      <c r="CD176">
        <v>3.96</v>
      </c>
      <c r="CE176">
        <v>0.34230769230769231</v>
      </c>
      <c r="CF176">
        <v>0.44500000000000001</v>
      </c>
      <c r="CG176">
        <v>0.1492537313432836</v>
      </c>
      <c r="CH176">
        <v>0.48706293706293707</v>
      </c>
      <c r="CI176">
        <v>0</v>
      </c>
      <c r="CJ176">
        <v>25366</v>
      </c>
      <c r="CK176" t="s">
        <v>141</v>
      </c>
      <c r="CL176" t="s">
        <v>636</v>
      </c>
      <c r="CM176" t="s">
        <v>143</v>
      </c>
      <c r="CN176">
        <v>0.28490512217199998</v>
      </c>
      <c r="CO176">
        <v>6.7609951493454903E-2</v>
      </c>
      <c r="CP176">
        <v>175</v>
      </c>
      <c r="CQ176" t="s">
        <v>774</v>
      </c>
      <c r="CR176">
        <v>93</v>
      </c>
      <c r="CS176" t="s">
        <v>775</v>
      </c>
      <c r="CT176" t="s">
        <v>639</v>
      </c>
      <c r="CU176" t="s">
        <v>776</v>
      </c>
      <c r="CV176" t="s">
        <v>777</v>
      </c>
      <c r="CW176" t="s">
        <v>642</v>
      </c>
      <c r="CX176" t="s">
        <v>778</v>
      </c>
      <c r="CY176" t="s">
        <v>779</v>
      </c>
      <c r="CZ176" t="s">
        <v>645</v>
      </c>
      <c r="DA176" t="s">
        <v>152</v>
      </c>
      <c r="DB176" t="s">
        <v>491</v>
      </c>
      <c r="DC176" t="s">
        <v>459</v>
      </c>
      <c r="DD176" t="s">
        <v>492</v>
      </c>
      <c r="DE176">
        <v>5560</v>
      </c>
      <c r="DF176">
        <v>-88.498699999999999</v>
      </c>
      <c r="DG176">
        <v>38.153100000000002</v>
      </c>
      <c r="DH176">
        <v>7300</v>
      </c>
      <c r="DI176">
        <v>600</v>
      </c>
      <c r="DL176">
        <v>3.5</v>
      </c>
      <c r="DM176">
        <v>4</v>
      </c>
      <c r="DN176">
        <v>4</v>
      </c>
      <c r="DO176">
        <v>65</v>
      </c>
      <c r="DP176">
        <v>1</v>
      </c>
      <c r="DQ176">
        <v>400</v>
      </c>
      <c r="DR176">
        <v>140000</v>
      </c>
      <c r="DS176">
        <v>60</v>
      </c>
      <c r="DT176">
        <v>1.2500000000000001E-2</v>
      </c>
      <c r="DU176">
        <v>1.2500000000000001E-2</v>
      </c>
      <c r="DV176">
        <v>0.32500000000000001</v>
      </c>
      <c r="DW176">
        <v>0.32500000000000001</v>
      </c>
      <c r="DX176">
        <v>0.32500000000000001</v>
      </c>
      <c r="DY176">
        <v>0</v>
      </c>
      <c r="DZ176" s="4">
        <v>3.262</v>
      </c>
      <c r="EA176" s="4" t="s">
        <v>1013</v>
      </c>
      <c r="EB176" s="4" t="s">
        <v>1014</v>
      </c>
      <c r="EC176">
        <v>4.8860000000000001</v>
      </c>
      <c r="ED176">
        <v>220</v>
      </c>
      <c r="EE176" t="s">
        <v>1012</v>
      </c>
      <c r="EF176">
        <v>0</v>
      </c>
      <c r="EH176">
        <f t="shared" si="5"/>
        <v>0.58000000000000007</v>
      </c>
      <c r="EI176">
        <v>3.38</v>
      </c>
      <c r="EJ176">
        <v>3.65</v>
      </c>
    </row>
    <row r="177" spans="1:140" x14ac:dyDescent="0.35">
      <c r="A177" s="1">
        <v>175</v>
      </c>
      <c r="B177">
        <v>-84.338159769657281</v>
      </c>
      <c r="C177">
        <v>38.967043950069133</v>
      </c>
      <c r="D177" t="s">
        <v>1015</v>
      </c>
      <c r="E177">
        <v>0.02</v>
      </c>
      <c r="F177" t="s">
        <v>160</v>
      </c>
      <c r="G177">
        <v>3.7100000000000001E-2</v>
      </c>
      <c r="H177" t="s">
        <v>161</v>
      </c>
      <c r="I177">
        <v>-9388481</v>
      </c>
      <c r="J177">
        <v>4716952</v>
      </c>
      <c r="K177" t="s">
        <v>898</v>
      </c>
      <c r="L177" t="s">
        <v>1016</v>
      </c>
      <c r="M177">
        <v>19</v>
      </c>
      <c r="N177">
        <v>3.4430000000000001</v>
      </c>
      <c r="O177">
        <v>3</v>
      </c>
      <c r="P177">
        <v>6</v>
      </c>
      <c r="Q177">
        <v>21</v>
      </c>
      <c r="R177">
        <v>37</v>
      </c>
      <c r="S177">
        <v>93075</v>
      </c>
      <c r="T177" t="s">
        <v>640</v>
      </c>
      <c r="U177">
        <v>5.5815157636349699</v>
      </c>
      <c r="V177" t="s">
        <v>898</v>
      </c>
      <c r="W177">
        <v>0.1007</v>
      </c>
      <c r="X177">
        <v>10</v>
      </c>
      <c r="Y177">
        <v>8.9</v>
      </c>
      <c r="Z177">
        <v>8.9</v>
      </c>
      <c r="AA177">
        <v>20</v>
      </c>
      <c r="AB177">
        <v>26</v>
      </c>
      <c r="AC177">
        <v>1.744</v>
      </c>
      <c r="AD177">
        <v>67</v>
      </c>
      <c r="AE177">
        <v>0.27717736808645899</v>
      </c>
      <c r="AF177">
        <v>2.86</v>
      </c>
      <c r="AG177" t="s">
        <v>640</v>
      </c>
      <c r="AH177" t="s">
        <v>898</v>
      </c>
      <c r="AI177">
        <v>49</v>
      </c>
      <c r="AJ177">
        <v>1.6333333333333332E-2</v>
      </c>
      <c r="AK177">
        <v>16.333333333333329</v>
      </c>
      <c r="AL177" t="s">
        <v>1017</v>
      </c>
      <c r="AM177">
        <v>0</v>
      </c>
      <c r="AN177">
        <v>1.27</v>
      </c>
      <c r="AO177">
        <v>0.09</v>
      </c>
      <c r="AP177">
        <v>0.19</v>
      </c>
      <c r="AQ177">
        <v>0.98</v>
      </c>
      <c r="AR177">
        <v>0.88</v>
      </c>
      <c r="AS177">
        <v>0.09</v>
      </c>
      <c r="AT177">
        <v>0.01</v>
      </c>
      <c r="AU177">
        <v>0.02</v>
      </c>
      <c r="AV177">
        <v>2.25</v>
      </c>
      <c r="AW177">
        <v>1.25</v>
      </c>
      <c r="AX177">
        <v>0.21</v>
      </c>
      <c r="AY177">
        <v>0.53</v>
      </c>
      <c r="AZ177">
        <v>0</v>
      </c>
      <c r="BA177">
        <v>0.94</v>
      </c>
      <c r="BB177">
        <v>0.16</v>
      </c>
      <c r="BC177">
        <v>0.15</v>
      </c>
      <c r="BD177">
        <v>0.27</v>
      </c>
      <c r="BE177">
        <v>6.31</v>
      </c>
      <c r="BF177">
        <v>5.63</v>
      </c>
      <c r="BG177">
        <v>0.24</v>
      </c>
      <c r="BH177">
        <v>0.45</v>
      </c>
      <c r="BI177">
        <v>0</v>
      </c>
      <c r="BJ177">
        <v>0.08</v>
      </c>
      <c r="BK177">
        <v>5.55</v>
      </c>
      <c r="BL177">
        <v>0</v>
      </c>
      <c r="BM177">
        <v>1.77</v>
      </c>
      <c r="BN177">
        <v>0.21</v>
      </c>
      <c r="BO177">
        <v>0.46</v>
      </c>
      <c r="BP177">
        <v>1.1000000000000001</v>
      </c>
      <c r="BQ177">
        <v>0.87</v>
      </c>
      <c r="BR177">
        <v>0.12</v>
      </c>
      <c r="BS177">
        <v>0.11</v>
      </c>
      <c r="BT177">
        <v>0</v>
      </c>
      <c r="BU177">
        <v>6.72</v>
      </c>
      <c r="BV177">
        <v>5.66</v>
      </c>
      <c r="BW177">
        <v>0.34</v>
      </c>
      <c r="BX177">
        <v>0.72</v>
      </c>
      <c r="BY177">
        <v>0</v>
      </c>
      <c r="BZ177">
        <v>0.08</v>
      </c>
      <c r="CA177">
        <v>5.58</v>
      </c>
      <c r="CB177">
        <v>0</v>
      </c>
      <c r="CC177">
        <f t="shared" si="4"/>
        <v>2.75</v>
      </c>
      <c r="CD177">
        <v>3.96</v>
      </c>
      <c r="CE177">
        <v>0.34230769230769231</v>
      </c>
      <c r="CF177">
        <v>0.44500000000000001</v>
      </c>
      <c r="CG177">
        <v>0.1492537313432836</v>
      </c>
      <c r="CH177">
        <v>0.60979020979020981</v>
      </c>
      <c r="CI177">
        <v>0</v>
      </c>
      <c r="CJ177">
        <v>3607</v>
      </c>
      <c r="CK177" t="s">
        <v>141</v>
      </c>
      <c r="CL177" t="s">
        <v>914</v>
      </c>
      <c r="CM177" t="s">
        <v>143</v>
      </c>
      <c r="CN177">
        <v>0.25307103686499999</v>
      </c>
      <c r="CO177">
        <v>1.7135409452237069</v>
      </c>
      <c r="CP177">
        <v>176</v>
      </c>
      <c r="CQ177" t="s">
        <v>1018</v>
      </c>
      <c r="CR177">
        <v>144</v>
      </c>
      <c r="CS177" t="s">
        <v>650</v>
      </c>
      <c r="CT177" t="s">
        <v>651</v>
      </c>
      <c r="CU177" t="s">
        <v>640</v>
      </c>
      <c r="CV177" t="s">
        <v>652</v>
      </c>
      <c r="CW177" t="s">
        <v>653</v>
      </c>
      <c r="CX177" t="s">
        <v>654</v>
      </c>
      <c r="CY177" t="s">
        <v>655</v>
      </c>
      <c r="CZ177" t="s">
        <v>645</v>
      </c>
      <c r="DA177" t="s">
        <v>152</v>
      </c>
      <c r="DB177" t="s">
        <v>178</v>
      </c>
      <c r="DC177" t="s">
        <v>656</v>
      </c>
      <c r="DD177" t="s">
        <v>657</v>
      </c>
      <c r="DE177">
        <v>10350</v>
      </c>
      <c r="DF177">
        <v>-84.596498999999994</v>
      </c>
      <c r="DG177">
        <v>38.291331</v>
      </c>
      <c r="DH177">
        <v>4500</v>
      </c>
      <c r="DI177">
        <v>200</v>
      </c>
      <c r="DL177">
        <v>10</v>
      </c>
      <c r="DM177">
        <v>8</v>
      </c>
      <c r="DN177">
        <v>12</v>
      </c>
      <c r="DO177">
        <v>50</v>
      </c>
      <c r="DP177">
        <v>25</v>
      </c>
      <c r="DQ177">
        <v>100</v>
      </c>
      <c r="DS177" t="s">
        <v>658</v>
      </c>
      <c r="DT177">
        <v>1.2500000000000001E-2</v>
      </c>
      <c r="DU177">
        <v>1.2500000000000001E-2</v>
      </c>
      <c r="DV177">
        <v>0.32500000000000001</v>
      </c>
      <c r="DW177">
        <v>0.32500000000000001</v>
      </c>
      <c r="DX177">
        <v>0.32500000000000001</v>
      </c>
      <c r="DY177">
        <v>0</v>
      </c>
      <c r="DZ177" s="4">
        <v>3.53</v>
      </c>
      <c r="EA177" s="4" t="s">
        <v>902</v>
      </c>
      <c r="EB177" s="4" t="s">
        <v>903</v>
      </c>
      <c r="EC177">
        <v>4.51</v>
      </c>
      <c r="ED177">
        <v>38</v>
      </c>
      <c r="EE177" t="s">
        <v>1017</v>
      </c>
      <c r="EF177">
        <v>0</v>
      </c>
      <c r="EH177">
        <f t="shared" si="5"/>
        <v>0.58000000000000007</v>
      </c>
      <c r="EI177">
        <v>3.38</v>
      </c>
      <c r="EJ177">
        <v>3.65</v>
      </c>
    </row>
    <row r="178" spans="1:140" x14ac:dyDescent="0.35">
      <c r="A178" s="1">
        <v>176</v>
      </c>
      <c r="B178">
        <v>-82.541529201418243</v>
      </c>
      <c r="C178">
        <v>38.967043950069133</v>
      </c>
      <c r="D178" t="s">
        <v>1019</v>
      </c>
      <c r="E178">
        <v>0.02</v>
      </c>
      <c r="F178" t="s">
        <v>160</v>
      </c>
      <c r="G178">
        <v>3.7100000000000001E-2</v>
      </c>
      <c r="H178" t="s">
        <v>161</v>
      </c>
      <c r="I178">
        <v>-9188481</v>
      </c>
      <c r="J178">
        <v>4716952</v>
      </c>
      <c r="K178" t="s">
        <v>1020</v>
      </c>
      <c r="L178" t="s">
        <v>647</v>
      </c>
      <c r="M178">
        <v>40</v>
      </c>
      <c r="N178">
        <v>3.6819999999999999</v>
      </c>
      <c r="O178">
        <v>2</v>
      </c>
      <c r="P178">
        <v>3</v>
      </c>
      <c r="Q178">
        <v>39</v>
      </c>
      <c r="R178">
        <v>79</v>
      </c>
      <c r="S178">
        <v>32654</v>
      </c>
      <c r="T178" t="s">
        <v>800</v>
      </c>
      <c r="U178">
        <v>7.7910183558024109</v>
      </c>
      <c r="V178" t="s">
        <v>1020</v>
      </c>
      <c r="W178">
        <v>0.1129</v>
      </c>
      <c r="X178">
        <v>10</v>
      </c>
      <c r="Y178">
        <v>8.9</v>
      </c>
      <c r="Z178">
        <v>8.9</v>
      </c>
      <c r="AA178">
        <v>20</v>
      </c>
      <c r="AB178">
        <v>26</v>
      </c>
      <c r="AC178">
        <v>1.0049999999999999</v>
      </c>
      <c r="AD178">
        <v>67</v>
      </c>
      <c r="AE178">
        <v>0.15972663699936421</v>
      </c>
      <c r="AF178">
        <v>2.86</v>
      </c>
      <c r="AG178" t="s">
        <v>800</v>
      </c>
      <c r="AH178" t="s">
        <v>1020</v>
      </c>
      <c r="AI178">
        <v>27</v>
      </c>
      <c r="AJ178">
        <v>8.9999999999999993E-3</v>
      </c>
      <c r="AK178">
        <v>9</v>
      </c>
      <c r="AL178" t="s">
        <v>1021</v>
      </c>
      <c r="AM178">
        <v>0</v>
      </c>
      <c r="AN178">
        <v>1.58</v>
      </c>
      <c r="AO178">
        <v>0.09</v>
      </c>
      <c r="AP178">
        <v>0.19</v>
      </c>
      <c r="AQ178">
        <v>1.29</v>
      </c>
      <c r="AR178">
        <v>1.23</v>
      </c>
      <c r="AS178">
        <v>0.04</v>
      </c>
      <c r="AT178">
        <v>0.01</v>
      </c>
      <c r="AU178">
        <v>0.02</v>
      </c>
      <c r="AV178">
        <v>2.5499999999999998</v>
      </c>
      <c r="AW178">
        <v>1.56</v>
      </c>
      <c r="AX178">
        <v>0.21</v>
      </c>
      <c r="AY178">
        <v>0.53</v>
      </c>
      <c r="AZ178">
        <v>0</v>
      </c>
      <c r="BA178">
        <v>1.31</v>
      </c>
      <c r="BB178">
        <v>0.08</v>
      </c>
      <c r="BC178">
        <v>0.17</v>
      </c>
      <c r="BD178">
        <v>0.27</v>
      </c>
      <c r="BE178">
        <v>6.83</v>
      </c>
      <c r="BF178">
        <v>6.14</v>
      </c>
      <c r="BG178">
        <v>0.24</v>
      </c>
      <c r="BH178">
        <v>0.45</v>
      </c>
      <c r="BI178">
        <v>0</v>
      </c>
      <c r="BJ178">
        <v>0.04</v>
      </c>
      <c r="BK178">
        <v>6.1</v>
      </c>
      <c r="BL178">
        <v>0</v>
      </c>
      <c r="BM178">
        <v>2.0699999999999998</v>
      </c>
      <c r="BN178">
        <v>0.21</v>
      </c>
      <c r="BO178">
        <v>0.46</v>
      </c>
      <c r="BP178">
        <v>1.4</v>
      </c>
      <c r="BQ178">
        <v>1.22</v>
      </c>
      <c r="BR178">
        <v>0.06</v>
      </c>
      <c r="BS178">
        <v>0.12</v>
      </c>
      <c r="BT178">
        <v>0</v>
      </c>
      <c r="BU178">
        <v>7.24</v>
      </c>
      <c r="BV178">
        <v>6.18</v>
      </c>
      <c r="BW178">
        <v>0.34</v>
      </c>
      <c r="BX178">
        <v>0.72</v>
      </c>
      <c r="BY178">
        <v>0</v>
      </c>
      <c r="BZ178">
        <v>0.04</v>
      </c>
      <c r="CA178">
        <v>6.14</v>
      </c>
      <c r="CB178">
        <v>0</v>
      </c>
      <c r="CC178">
        <f t="shared" si="4"/>
        <v>2.75</v>
      </c>
      <c r="CD178">
        <v>3.96</v>
      </c>
      <c r="CE178">
        <v>0.34230769230769231</v>
      </c>
      <c r="CF178">
        <v>0.44500000000000001</v>
      </c>
      <c r="CG178">
        <v>0.1492537313432836</v>
      </c>
      <c r="CH178">
        <v>0.35139860139860141</v>
      </c>
      <c r="CI178">
        <v>0</v>
      </c>
      <c r="CJ178">
        <v>3679</v>
      </c>
      <c r="CK178" t="s">
        <v>141</v>
      </c>
      <c r="CL178" t="s">
        <v>914</v>
      </c>
      <c r="CM178" t="s">
        <v>143</v>
      </c>
      <c r="CN178">
        <v>0.217235270801</v>
      </c>
      <c r="CO178">
        <v>0.7399532249342492</v>
      </c>
      <c r="CP178">
        <v>177</v>
      </c>
      <c r="CQ178" t="s">
        <v>1022</v>
      </c>
      <c r="CR178">
        <v>143</v>
      </c>
      <c r="CS178" t="s">
        <v>799</v>
      </c>
      <c r="CT178" t="s">
        <v>651</v>
      </c>
      <c r="CU178" t="s">
        <v>800</v>
      </c>
      <c r="CV178" t="s">
        <v>801</v>
      </c>
      <c r="CW178" t="s">
        <v>802</v>
      </c>
      <c r="CX178" t="s">
        <v>803</v>
      </c>
      <c r="CY178" t="s">
        <v>804</v>
      </c>
      <c r="CZ178" t="s">
        <v>645</v>
      </c>
      <c r="DA178" t="s">
        <v>152</v>
      </c>
      <c r="DB178" t="s">
        <v>178</v>
      </c>
      <c r="DC178" t="s">
        <v>656</v>
      </c>
      <c r="DD178" t="s">
        <v>657</v>
      </c>
      <c r="DE178">
        <v>21400</v>
      </c>
      <c r="DF178">
        <v>-83.760228999999995</v>
      </c>
      <c r="DG178">
        <v>40.092838999999998</v>
      </c>
      <c r="DH178">
        <v>3000</v>
      </c>
      <c r="DI178">
        <v>200</v>
      </c>
      <c r="DL178">
        <v>12</v>
      </c>
      <c r="DM178">
        <v>10</v>
      </c>
      <c r="DN178">
        <v>14</v>
      </c>
      <c r="DO178">
        <v>125</v>
      </c>
      <c r="DP178">
        <v>60</v>
      </c>
      <c r="DQ178">
        <v>250</v>
      </c>
      <c r="DS178" t="s">
        <v>658</v>
      </c>
      <c r="DT178">
        <v>1.2500000000000001E-2</v>
      </c>
      <c r="DU178">
        <v>1.2500000000000001E-2</v>
      </c>
      <c r="DV178">
        <v>0.32500000000000001</v>
      </c>
      <c r="DW178">
        <v>0.32500000000000001</v>
      </c>
      <c r="DX178">
        <v>0.32500000000000001</v>
      </c>
      <c r="DY178">
        <v>0</v>
      </c>
      <c r="DZ178" s="4">
        <v>3.8639999999999999</v>
      </c>
      <c r="EA178" s="4" t="s">
        <v>788</v>
      </c>
      <c r="EB178" s="4" t="s">
        <v>1023</v>
      </c>
      <c r="EC178">
        <v>4.7919999999999998</v>
      </c>
      <c r="ED178">
        <v>610</v>
      </c>
      <c r="EE178" t="s">
        <v>1021</v>
      </c>
      <c r="EF178">
        <v>0</v>
      </c>
      <c r="EH178">
        <f t="shared" si="5"/>
        <v>0.58000000000000007</v>
      </c>
      <c r="EI178">
        <v>3.38</v>
      </c>
      <c r="EJ178">
        <v>3.65</v>
      </c>
    </row>
    <row r="179" spans="1:140" x14ac:dyDescent="0.35">
      <c r="A179" s="1">
        <v>177</v>
      </c>
      <c r="B179">
        <v>-80.74489863317919</v>
      </c>
      <c r="C179">
        <v>38.967043950069133</v>
      </c>
      <c r="D179" t="s">
        <v>1024</v>
      </c>
      <c r="E179">
        <v>0.02</v>
      </c>
      <c r="F179" t="s">
        <v>160</v>
      </c>
      <c r="G179">
        <v>3.7100000000000001E-2</v>
      </c>
      <c r="H179" t="s">
        <v>161</v>
      </c>
      <c r="I179">
        <v>-8988481</v>
      </c>
      <c r="J179">
        <v>4716952</v>
      </c>
      <c r="K179" t="s">
        <v>916</v>
      </c>
      <c r="L179" t="s">
        <v>660</v>
      </c>
      <c r="M179">
        <v>11</v>
      </c>
      <c r="N179">
        <v>3.6989999999999998</v>
      </c>
      <c r="O179">
        <v>3</v>
      </c>
      <c r="P179">
        <v>5</v>
      </c>
      <c r="Q179">
        <v>54</v>
      </c>
      <c r="R179">
        <v>21</v>
      </c>
      <c r="S179">
        <v>7417</v>
      </c>
      <c r="T179" t="s">
        <v>917</v>
      </c>
      <c r="U179">
        <v>5.0787862128921724</v>
      </c>
      <c r="V179" t="s">
        <v>916</v>
      </c>
      <c r="W179">
        <v>0.1105</v>
      </c>
      <c r="X179">
        <v>10</v>
      </c>
      <c r="Y179">
        <v>8.9</v>
      </c>
      <c r="Z179">
        <v>8.9</v>
      </c>
      <c r="AA179">
        <v>20</v>
      </c>
      <c r="AB179">
        <v>26</v>
      </c>
      <c r="AC179">
        <v>1.9119999999999999</v>
      </c>
      <c r="AD179">
        <v>67</v>
      </c>
      <c r="AE179">
        <v>0.30387794024157649</v>
      </c>
      <c r="AF179">
        <v>2.86</v>
      </c>
      <c r="AG179" t="s">
        <v>917</v>
      </c>
      <c r="AH179" t="s">
        <v>916</v>
      </c>
      <c r="AI179">
        <v>91</v>
      </c>
      <c r="AJ179">
        <v>3.033333333333333E-2</v>
      </c>
      <c r="AK179">
        <v>30.333333333333329</v>
      </c>
      <c r="AL179" t="s">
        <v>1025</v>
      </c>
      <c r="AM179">
        <v>18317.324082655068</v>
      </c>
      <c r="AN179">
        <v>1.24</v>
      </c>
      <c r="AO179">
        <v>0.09</v>
      </c>
      <c r="AP179">
        <v>0.19</v>
      </c>
      <c r="AQ179">
        <v>0.95</v>
      </c>
      <c r="AR179">
        <v>0.8</v>
      </c>
      <c r="AS179">
        <v>0.13</v>
      </c>
      <c r="AT179">
        <v>0.01</v>
      </c>
      <c r="AU179">
        <v>0.02</v>
      </c>
      <c r="AV179">
        <v>2.2599999999999998</v>
      </c>
      <c r="AW179">
        <v>1.26</v>
      </c>
      <c r="AX179">
        <v>0.21</v>
      </c>
      <c r="AY179">
        <v>0.53</v>
      </c>
      <c r="AZ179">
        <v>0</v>
      </c>
      <c r="BA179">
        <v>0.85</v>
      </c>
      <c r="BB179">
        <v>0.24</v>
      </c>
      <c r="BC179">
        <v>0.17</v>
      </c>
      <c r="BD179">
        <v>0.27</v>
      </c>
      <c r="BE179">
        <v>6.91</v>
      </c>
      <c r="BF179">
        <v>6.22</v>
      </c>
      <c r="BG179">
        <v>0.24</v>
      </c>
      <c r="BH179">
        <v>0.45</v>
      </c>
      <c r="BI179">
        <v>0</v>
      </c>
      <c r="BJ179">
        <v>0.11</v>
      </c>
      <c r="BK179">
        <v>6.1</v>
      </c>
      <c r="BL179">
        <v>0</v>
      </c>
      <c r="BM179">
        <v>1.76</v>
      </c>
      <c r="BN179">
        <v>0.21</v>
      </c>
      <c r="BO179">
        <v>0.46</v>
      </c>
      <c r="BP179">
        <v>1.0900000000000001</v>
      </c>
      <c r="BQ179">
        <v>0.79</v>
      </c>
      <c r="BR179">
        <v>0.17</v>
      </c>
      <c r="BS179">
        <v>0.12</v>
      </c>
      <c r="BT179">
        <v>0</v>
      </c>
      <c r="BU179">
        <v>7.31</v>
      </c>
      <c r="BV179">
        <v>6.25</v>
      </c>
      <c r="BW179">
        <v>0.34</v>
      </c>
      <c r="BX179">
        <v>0.72</v>
      </c>
      <c r="BY179">
        <v>0</v>
      </c>
      <c r="BZ179">
        <v>0.11</v>
      </c>
      <c r="CA179">
        <v>6.14</v>
      </c>
      <c r="CB179">
        <v>0</v>
      </c>
      <c r="CC179">
        <f t="shared" si="4"/>
        <v>2.75</v>
      </c>
      <c r="CD179">
        <v>3.96</v>
      </c>
      <c r="CE179">
        <v>0.34230769230769231</v>
      </c>
      <c r="CF179">
        <v>0.44500000000000001</v>
      </c>
      <c r="CG179">
        <v>0.1492537313432836</v>
      </c>
      <c r="CH179">
        <v>0.6685314685314685</v>
      </c>
      <c r="CI179">
        <v>0</v>
      </c>
      <c r="CJ179">
        <v>3877</v>
      </c>
      <c r="CK179" t="s">
        <v>141</v>
      </c>
      <c r="CL179" t="s">
        <v>914</v>
      </c>
      <c r="CM179" t="s">
        <v>143</v>
      </c>
      <c r="CN179">
        <v>0.22226122864799999</v>
      </c>
      <c r="CO179">
        <v>1.108502701099543</v>
      </c>
      <c r="CP179">
        <v>178</v>
      </c>
      <c r="CQ179" t="s">
        <v>798</v>
      </c>
      <c r="CR179">
        <v>143</v>
      </c>
      <c r="CS179" t="s">
        <v>799</v>
      </c>
      <c r="CT179" t="s">
        <v>651</v>
      </c>
      <c r="CU179" t="s">
        <v>800</v>
      </c>
      <c r="CV179" t="s">
        <v>801</v>
      </c>
      <c r="CW179" t="s">
        <v>802</v>
      </c>
      <c r="CX179" t="s">
        <v>803</v>
      </c>
      <c r="CY179" t="s">
        <v>804</v>
      </c>
      <c r="CZ179" t="s">
        <v>645</v>
      </c>
      <c r="DA179" t="s">
        <v>152</v>
      </c>
      <c r="DB179" t="s">
        <v>178</v>
      </c>
      <c r="DC179" t="s">
        <v>656</v>
      </c>
      <c r="DD179" t="s">
        <v>657</v>
      </c>
      <c r="DE179">
        <v>21400</v>
      </c>
      <c r="DF179">
        <v>-83.760228999999995</v>
      </c>
      <c r="DG179">
        <v>40.092838999999998</v>
      </c>
      <c r="DH179">
        <v>3000</v>
      </c>
      <c r="DI179">
        <v>200</v>
      </c>
      <c r="DL179">
        <v>12</v>
      </c>
      <c r="DM179">
        <v>10</v>
      </c>
      <c r="DN179">
        <v>14</v>
      </c>
      <c r="DO179">
        <v>125</v>
      </c>
      <c r="DP179">
        <v>60</v>
      </c>
      <c r="DQ179">
        <v>250</v>
      </c>
      <c r="DS179" t="s">
        <v>658</v>
      </c>
      <c r="DT179">
        <v>1.2500000000000001E-2</v>
      </c>
      <c r="DU179">
        <v>1.2500000000000001E-2</v>
      </c>
      <c r="DV179">
        <v>0.32500000000000001</v>
      </c>
      <c r="DW179">
        <v>0.32500000000000001</v>
      </c>
      <c r="DX179">
        <v>0.32500000000000001</v>
      </c>
      <c r="DY179">
        <v>0</v>
      </c>
      <c r="DZ179" s="4">
        <v>3.77</v>
      </c>
      <c r="EA179" s="4" t="s">
        <v>919</v>
      </c>
      <c r="EB179" s="4" t="s">
        <v>920</v>
      </c>
      <c r="EC179">
        <v>4.7469999999999999</v>
      </c>
      <c r="ED179">
        <v>369</v>
      </c>
      <c r="EE179" t="s">
        <v>1025</v>
      </c>
      <c r="EF179">
        <v>0.1294025455123225</v>
      </c>
      <c r="EH179">
        <f t="shared" si="5"/>
        <v>0.58000000000000007</v>
      </c>
      <c r="EI179">
        <v>3.38</v>
      </c>
      <c r="EJ179">
        <v>3.65</v>
      </c>
    </row>
    <row r="180" spans="1:140" x14ac:dyDescent="0.35">
      <c r="A180" s="1">
        <v>178</v>
      </c>
      <c r="B180">
        <v>-78.948268064940152</v>
      </c>
      <c r="C180">
        <v>38.967043950069133</v>
      </c>
      <c r="D180" t="s">
        <v>1026</v>
      </c>
      <c r="E180">
        <v>0.02</v>
      </c>
      <c r="F180" t="s">
        <v>160</v>
      </c>
      <c r="G180">
        <v>3.7100000000000001E-2</v>
      </c>
      <c r="H180" t="s">
        <v>161</v>
      </c>
      <c r="I180">
        <v>-8788481</v>
      </c>
      <c r="J180">
        <v>4716952</v>
      </c>
      <c r="K180" t="s">
        <v>916</v>
      </c>
      <c r="L180" t="s">
        <v>1027</v>
      </c>
      <c r="M180">
        <v>16</v>
      </c>
      <c r="N180">
        <v>3.7690000000000001</v>
      </c>
      <c r="O180">
        <v>3</v>
      </c>
      <c r="P180">
        <v>5</v>
      </c>
      <c r="Q180">
        <v>54</v>
      </c>
      <c r="R180">
        <v>31</v>
      </c>
      <c r="S180">
        <v>14298</v>
      </c>
      <c r="T180" t="s">
        <v>917</v>
      </c>
      <c r="U180">
        <v>5.0787862128921724</v>
      </c>
      <c r="V180" t="s">
        <v>916</v>
      </c>
      <c r="W180">
        <v>0.1105</v>
      </c>
      <c r="X180">
        <v>10</v>
      </c>
      <c r="Y180">
        <v>8.9</v>
      </c>
      <c r="Z180">
        <v>8.9</v>
      </c>
      <c r="AA180">
        <v>20</v>
      </c>
      <c r="AB180">
        <v>26</v>
      </c>
      <c r="AC180">
        <v>1.9119999999999999</v>
      </c>
      <c r="AD180">
        <v>67</v>
      </c>
      <c r="AE180">
        <v>0.30387794024157649</v>
      </c>
      <c r="AF180">
        <v>2.86</v>
      </c>
      <c r="AG180" t="s">
        <v>917</v>
      </c>
      <c r="AH180" t="s">
        <v>916</v>
      </c>
      <c r="AI180">
        <v>91</v>
      </c>
      <c r="AJ180">
        <v>3.033333333333333E-2</v>
      </c>
      <c r="AK180">
        <v>30.333333333333329</v>
      </c>
      <c r="AL180" t="s">
        <v>1028</v>
      </c>
      <c r="AM180">
        <v>17486.688829228249</v>
      </c>
      <c r="AN180">
        <v>1.24</v>
      </c>
      <c r="AO180">
        <v>0.09</v>
      </c>
      <c r="AP180">
        <v>0.19</v>
      </c>
      <c r="AQ180">
        <v>0.95</v>
      </c>
      <c r="AR180">
        <v>0.8</v>
      </c>
      <c r="AS180">
        <v>0.13</v>
      </c>
      <c r="AT180">
        <v>0.01</v>
      </c>
      <c r="AU180">
        <v>0.02</v>
      </c>
      <c r="AV180">
        <v>2.2599999999999998</v>
      </c>
      <c r="AW180">
        <v>1.26</v>
      </c>
      <c r="AX180">
        <v>0.21</v>
      </c>
      <c r="AY180">
        <v>0.53</v>
      </c>
      <c r="AZ180">
        <v>0</v>
      </c>
      <c r="BA180">
        <v>0.85</v>
      </c>
      <c r="BB180">
        <v>0.24</v>
      </c>
      <c r="BC180">
        <v>0.17</v>
      </c>
      <c r="BD180">
        <v>0.27</v>
      </c>
      <c r="BE180">
        <v>6.91</v>
      </c>
      <c r="BF180">
        <v>6.22</v>
      </c>
      <c r="BG180">
        <v>0.24</v>
      </c>
      <c r="BH180">
        <v>0.45</v>
      </c>
      <c r="BI180">
        <v>0</v>
      </c>
      <c r="BJ180">
        <v>0.11</v>
      </c>
      <c r="BK180">
        <v>6.1</v>
      </c>
      <c r="BL180">
        <v>0</v>
      </c>
      <c r="BM180">
        <v>1.76</v>
      </c>
      <c r="BN180">
        <v>0.21</v>
      </c>
      <c r="BO180">
        <v>0.46</v>
      </c>
      <c r="BP180">
        <v>1.0900000000000001</v>
      </c>
      <c r="BQ180">
        <v>0.79</v>
      </c>
      <c r="BR180">
        <v>0.17</v>
      </c>
      <c r="BS180">
        <v>0.12</v>
      </c>
      <c r="BT180">
        <v>0</v>
      </c>
      <c r="BU180">
        <v>7.31</v>
      </c>
      <c r="BV180">
        <v>6.25</v>
      </c>
      <c r="BW180">
        <v>0.34</v>
      </c>
      <c r="BX180">
        <v>0.72</v>
      </c>
      <c r="BY180">
        <v>0</v>
      </c>
      <c r="BZ180">
        <v>0.11</v>
      </c>
      <c r="CA180">
        <v>6.14</v>
      </c>
      <c r="CB180">
        <v>0</v>
      </c>
      <c r="CC180">
        <f t="shared" si="4"/>
        <v>2.75</v>
      </c>
      <c r="CD180">
        <v>3.96</v>
      </c>
      <c r="CE180">
        <v>0.34230769230769231</v>
      </c>
      <c r="CF180">
        <v>0.44500000000000001</v>
      </c>
      <c r="CG180">
        <v>0.1492537313432836</v>
      </c>
      <c r="CH180">
        <v>0.6685314685314685</v>
      </c>
      <c r="CI180">
        <v>0</v>
      </c>
      <c r="CJ180">
        <v>3883</v>
      </c>
      <c r="CK180" t="s">
        <v>141</v>
      </c>
      <c r="CL180" t="s">
        <v>914</v>
      </c>
      <c r="CM180" t="s">
        <v>143</v>
      </c>
      <c r="CN180">
        <v>0.28043643244100003</v>
      </c>
      <c r="CO180">
        <v>5.0813277619558423</v>
      </c>
      <c r="CP180">
        <v>179</v>
      </c>
      <c r="CQ180" t="s">
        <v>798</v>
      </c>
      <c r="CR180">
        <v>143</v>
      </c>
      <c r="CS180" t="s">
        <v>799</v>
      </c>
      <c r="CT180" t="s">
        <v>651</v>
      </c>
      <c r="CU180" t="s">
        <v>800</v>
      </c>
      <c r="CV180" t="s">
        <v>801</v>
      </c>
      <c r="CW180" t="s">
        <v>802</v>
      </c>
      <c r="CX180" t="s">
        <v>803</v>
      </c>
      <c r="CY180" t="s">
        <v>804</v>
      </c>
      <c r="CZ180" t="s">
        <v>645</v>
      </c>
      <c r="DA180" t="s">
        <v>152</v>
      </c>
      <c r="DB180" t="s">
        <v>178</v>
      </c>
      <c r="DC180" t="s">
        <v>656</v>
      </c>
      <c r="DD180" t="s">
        <v>657</v>
      </c>
      <c r="DE180">
        <v>21400</v>
      </c>
      <c r="DF180">
        <v>-83.760228999999995</v>
      </c>
      <c r="DG180">
        <v>40.092838999999998</v>
      </c>
      <c r="DH180">
        <v>3000</v>
      </c>
      <c r="DI180">
        <v>200</v>
      </c>
      <c r="DL180">
        <v>12</v>
      </c>
      <c r="DM180">
        <v>10</v>
      </c>
      <c r="DN180">
        <v>14</v>
      </c>
      <c r="DO180">
        <v>125</v>
      </c>
      <c r="DP180">
        <v>60</v>
      </c>
      <c r="DQ180">
        <v>250</v>
      </c>
      <c r="DS180" t="s">
        <v>658</v>
      </c>
      <c r="DT180">
        <v>1.2500000000000001E-2</v>
      </c>
      <c r="DU180">
        <v>1.2500000000000001E-2</v>
      </c>
      <c r="DV180">
        <v>0.32500000000000001</v>
      </c>
      <c r="DW180">
        <v>0.32500000000000001</v>
      </c>
      <c r="DX180">
        <v>0.32500000000000001</v>
      </c>
      <c r="DY180">
        <v>0</v>
      </c>
      <c r="DZ180" s="4">
        <v>3.77</v>
      </c>
      <c r="EA180" s="4" t="s">
        <v>919</v>
      </c>
      <c r="EB180" s="4" t="s">
        <v>920</v>
      </c>
      <c r="EC180">
        <v>4.7469999999999999</v>
      </c>
      <c r="ED180">
        <v>135</v>
      </c>
      <c r="EE180" t="s">
        <v>1028</v>
      </c>
      <c r="EF180">
        <v>0.1255649441033492</v>
      </c>
      <c r="EH180">
        <f t="shared" si="5"/>
        <v>0.58000000000000007</v>
      </c>
      <c r="EI180">
        <v>3.38</v>
      </c>
      <c r="EJ180">
        <v>3.65</v>
      </c>
    </row>
    <row r="181" spans="1:140" x14ac:dyDescent="0.35">
      <c r="A181" s="1">
        <v>179</v>
      </c>
      <c r="B181">
        <v>-77.151637496701113</v>
      </c>
      <c r="C181">
        <v>38.967043950069133</v>
      </c>
      <c r="D181" t="s">
        <v>1029</v>
      </c>
      <c r="E181">
        <v>0.1</v>
      </c>
      <c r="F181" t="s">
        <v>135</v>
      </c>
      <c r="G181">
        <v>3.7100000000000001E-2</v>
      </c>
      <c r="H181" t="s">
        <v>161</v>
      </c>
      <c r="I181">
        <v>-8588481</v>
      </c>
      <c r="J181">
        <v>4716952</v>
      </c>
      <c r="K181" t="s">
        <v>1030</v>
      </c>
      <c r="L181" t="s">
        <v>998</v>
      </c>
      <c r="M181">
        <v>16</v>
      </c>
      <c r="N181">
        <v>3.9609999999999999</v>
      </c>
      <c r="O181">
        <v>3</v>
      </c>
      <c r="P181">
        <v>5</v>
      </c>
      <c r="Q181">
        <v>24</v>
      </c>
      <c r="R181">
        <v>31</v>
      </c>
      <c r="S181">
        <v>1062054</v>
      </c>
      <c r="T181" t="s">
        <v>683</v>
      </c>
      <c r="U181">
        <v>10.08866008866009</v>
      </c>
      <c r="V181" t="s">
        <v>1030</v>
      </c>
      <c r="W181">
        <v>0.15040000000000001</v>
      </c>
      <c r="X181">
        <v>10</v>
      </c>
      <c r="Y181">
        <v>8.9</v>
      </c>
      <c r="Z181">
        <v>8.9</v>
      </c>
      <c r="AA181">
        <v>20</v>
      </c>
      <c r="AB181">
        <v>26</v>
      </c>
      <c r="AC181">
        <v>0.60399999999999998</v>
      </c>
      <c r="AD181">
        <v>67</v>
      </c>
      <c r="AE181">
        <v>9.5994914176732352E-2</v>
      </c>
      <c r="AF181">
        <v>2.86</v>
      </c>
      <c r="AG181" t="s">
        <v>683</v>
      </c>
      <c r="AH181" t="s">
        <v>1030</v>
      </c>
      <c r="AI181">
        <v>46</v>
      </c>
      <c r="AJ181">
        <v>1.5333333333333331E-2</v>
      </c>
      <c r="AK181">
        <v>15.33333333333333</v>
      </c>
      <c r="AL181" t="s">
        <v>1031</v>
      </c>
      <c r="AM181">
        <v>0</v>
      </c>
      <c r="AN181">
        <v>1.99</v>
      </c>
      <c r="AO181">
        <v>0.09</v>
      </c>
      <c r="AP181">
        <v>0.19</v>
      </c>
      <c r="AQ181">
        <v>1.7</v>
      </c>
      <c r="AR181">
        <v>1.59</v>
      </c>
      <c r="AS181">
        <v>0.09</v>
      </c>
      <c r="AT181">
        <v>0.02</v>
      </c>
      <c r="AU181">
        <v>0.02</v>
      </c>
      <c r="AV181">
        <v>3.08</v>
      </c>
      <c r="AW181">
        <v>2.08</v>
      </c>
      <c r="AX181">
        <v>0.21</v>
      </c>
      <c r="AY181">
        <v>0.53</v>
      </c>
      <c r="AZ181">
        <v>0</v>
      </c>
      <c r="BA181">
        <v>1.7</v>
      </c>
      <c r="BB181">
        <v>0.16</v>
      </c>
      <c r="BC181">
        <v>0.23</v>
      </c>
      <c r="BD181">
        <v>0.27</v>
      </c>
      <c r="BE181">
        <v>9.09</v>
      </c>
      <c r="BF181">
        <v>8.4</v>
      </c>
      <c r="BG181">
        <v>0.24</v>
      </c>
      <c r="BH181">
        <v>0.45</v>
      </c>
      <c r="BI181">
        <v>0</v>
      </c>
      <c r="BJ181">
        <v>0.08</v>
      </c>
      <c r="BK181">
        <v>8.32</v>
      </c>
      <c r="BL181">
        <v>0</v>
      </c>
      <c r="BM181">
        <v>2.5299999999999998</v>
      </c>
      <c r="BN181">
        <v>0.21</v>
      </c>
      <c r="BO181">
        <v>0.46</v>
      </c>
      <c r="BP181">
        <v>1.86</v>
      </c>
      <c r="BQ181">
        <v>1.57</v>
      </c>
      <c r="BR181">
        <v>0.12</v>
      </c>
      <c r="BS181">
        <v>0.17</v>
      </c>
      <c r="BT181">
        <v>0</v>
      </c>
      <c r="BU181">
        <v>9.51</v>
      </c>
      <c r="BV181">
        <v>8.4499999999999993</v>
      </c>
      <c r="BW181">
        <v>0.34</v>
      </c>
      <c r="BX181">
        <v>0.72</v>
      </c>
      <c r="BY181">
        <v>0</v>
      </c>
      <c r="BZ181">
        <v>0.08</v>
      </c>
      <c r="CA181">
        <v>8.3699999999999992</v>
      </c>
      <c r="CB181">
        <v>0</v>
      </c>
      <c r="CC181">
        <f t="shared" si="4"/>
        <v>2.75</v>
      </c>
      <c r="CD181">
        <v>3.96</v>
      </c>
      <c r="CE181">
        <v>0.34230769230769231</v>
      </c>
      <c r="CF181">
        <v>0.44500000000000001</v>
      </c>
      <c r="CG181">
        <v>0.1492537313432836</v>
      </c>
      <c r="CH181">
        <v>0.21118881118881119</v>
      </c>
      <c r="CI181">
        <v>0</v>
      </c>
      <c r="CJ181">
        <v>28157</v>
      </c>
      <c r="CK181" t="s">
        <v>141</v>
      </c>
      <c r="CL181" t="s">
        <v>187</v>
      </c>
      <c r="CM181" t="s">
        <v>143</v>
      </c>
      <c r="CN181">
        <v>4.3964250692600003E-3</v>
      </c>
      <c r="CO181">
        <v>9.7996450561540804</v>
      </c>
      <c r="CP181">
        <v>180</v>
      </c>
      <c r="CQ181" t="s">
        <v>798</v>
      </c>
      <c r="CR181">
        <v>143</v>
      </c>
      <c r="CS181" t="s">
        <v>799</v>
      </c>
      <c r="CT181" t="s">
        <v>651</v>
      </c>
      <c r="CU181" t="s">
        <v>800</v>
      </c>
      <c r="CV181" t="s">
        <v>801</v>
      </c>
      <c r="CW181" t="s">
        <v>802</v>
      </c>
      <c r="CX181" t="s">
        <v>803</v>
      </c>
      <c r="CY181" t="s">
        <v>804</v>
      </c>
      <c r="CZ181" t="s">
        <v>645</v>
      </c>
      <c r="DA181" t="s">
        <v>152</v>
      </c>
      <c r="DB181" t="s">
        <v>178</v>
      </c>
      <c r="DC181" t="s">
        <v>656</v>
      </c>
      <c r="DD181" t="s">
        <v>657</v>
      </c>
      <c r="DE181">
        <v>21400</v>
      </c>
      <c r="DF181">
        <v>-83.760228999999995</v>
      </c>
      <c r="DG181">
        <v>40.092838999999998</v>
      </c>
      <c r="DH181">
        <v>3000</v>
      </c>
      <c r="DI181">
        <v>200</v>
      </c>
      <c r="DL181">
        <v>12</v>
      </c>
      <c r="DM181">
        <v>10</v>
      </c>
      <c r="DN181">
        <v>14</v>
      </c>
      <c r="DO181">
        <v>125</v>
      </c>
      <c r="DP181">
        <v>60</v>
      </c>
      <c r="DQ181">
        <v>250</v>
      </c>
      <c r="DS181" t="s">
        <v>658</v>
      </c>
      <c r="DT181">
        <v>1.2500000000000001E-2</v>
      </c>
      <c r="DU181">
        <v>1.2500000000000001E-2</v>
      </c>
      <c r="DV181">
        <v>0.32500000000000001</v>
      </c>
      <c r="DW181">
        <v>0.32500000000000001</v>
      </c>
      <c r="DX181">
        <v>0.32500000000000001</v>
      </c>
      <c r="DY181">
        <v>82.586065119557091</v>
      </c>
      <c r="DZ181" s="4">
        <v>3.88</v>
      </c>
      <c r="EA181" s="4" t="s">
        <v>1032</v>
      </c>
      <c r="EB181" s="4" t="s">
        <v>1033</v>
      </c>
      <c r="EC181">
        <v>4.8920000000000003</v>
      </c>
      <c r="ED181">
        <v>237</v>
      </c>
      <c r="EE181" t="s">
        <v>1031</v>
      </c>
      <c r="EF181">
        <v>0</v>
      </c>
      <c r="EH181">
        <f t="shared" si="5"/>
        <v>0.58000000000000007</v>
      </c>
      <c r="EI181">
        <v>3.38</v>
      </c>
      <c r="EJ181">
        <v>3.65</v>
      </c>
    </row>
    <row r="182" spans="1:140" x14ac:dyDescent="0.35">
      <c r="A182" s="1">
        <v>180</v>
      </c>
      <c r="B182">
        <v>-75.355006928462075</v>
      </c>
      <c r="C182">
        <v>38.967043950069133</v>
      </c>
      <c r="D182" t="s">
        <v>1034</v>
      </c>
      <c r="E182">
        <v>0.1</v>
      </c>
      <c r="F182" t="s">
        <v>135</v>
      </c>
      <c r="G182">
        <v>9.7899999999999987E-2</v>
      </c>
      <c r="H182" t="s">
        <v>161</v>
      </c>
      <c r="I182">
        <v>-8388481</v>
      </c>
      <c r="J182">
        <v>4716952</v>
      </c>
      <c r="K182" t="s">
        <v>1035</v>
      </c>
      <c r="L182" t="s">
        <v>1036</v>
      </c>
      <c r="M182">
        <v>1</v>
      </c>
      <c r="N182">
        <v>3.827</v>
      </c>
      <c r="O182">
        <v>3</v>
      </c>
      <c r="P182">
        <v>5</v>
      </c>
      <c r="Q182">
        <v>10</v>
      </c>
      <c r="R182">
        <v>1</v>
      </c>
      <c r="S182">
        <v>181856</v>
      </c>
      <c r="T182" t="s">
        <v>1037</v>
      </c>
      <c r="U182">
        <v>10.69415242682569</v>
      </c>
      <c r="V182" t="s">
        <v>1035</v>
      </c>
      <c r="W182">
        <v>0.1356</v>
      </c>
      <c r="X182">
        <v>10</v>
      </c>
      <c r="Y182">
        <v>8.9</v>
      </c>
      <c r="Z182">
        <v>8.9</v>
      </c>
      <c r="AA182">
        <v>20</v>
      </c>
      <c r="AB182">
        <v>26</v>
      </c>
      <c r="AC182">
        <v>1.1259999999999999</v>
      </c>
      <c r="AD182">
        <v>67</v>
      </c>
      <c r="AE182">
        <v>0.17895740623013351</v>
      </c>
      <c r="AF182">
        <v>2.86</v>
      </c>
      <c r="AG182" t="s">
        <v>1037</v>
      </c>
      <c r="AH182" t="s">
        <v>1035</v>
      </c>
      <c r="AI182">
        <v>46</v>
      </c>
      <c r="AJ182">
        <v>1.5333333333333331E-2</v>
      </c>
      <c r="AK182">
        <v>15.33333333333333</v>
      </c>
      <c r="AL182" t="s">
        <v>1038</v>
      </c>
      <c r="AM182">
        <v>0</v>
      </c>
      <c r="AN182">
        <v>2.08</v>
      </c>
      <c r="AO182">
        <v>0.09</v>
      </c>
      <c r="AP182">
        <v>0.19</v>
      </c>
      <c r="AQ182">
        <v>1.79</v>
      </c>
      <c r="AR182">
        <v>1.69</v>
      </c>
      <c r="AS182">
        <v>0.09</v>
      </c>
      <c r="AT182">
        <v>0.02</v>
      </c>
      <c r="AU182">
        <v>0.02</v>
      </c>
      <c r="AV182">
        <v>3.17</v>
      </c>
      <c r="AW182">
        <v>2.17</v>
      </c>
      <c r="AX182">
        <v>0.21</v>
      </c>
      <c r="AY182">
        <v>0.53</v>
      </c>
      <c r="AZ182">
        <v>0</v>
      </c>
      <c r="BA182">
        <v>1.8</v>
      </c>
      <c r="BB182">
        <v>0.16</v>
      </c>
      <c r="BC182">
        <v>0.21</v>
      </c>
      <c r="BD182">
        <v>0.27</v>
      </c>
      <c r="BE182">
        <v>8.5299999999999994</v>
      </c>
      <c r="BF182">
        <v>7.85</v>
      </c>
      <c r="BG182">
        <v>0.24</v>
      </c>
      <c r="BH182">
        <v>0.45</v>
      </c>
      <c r="BI182">
        <v>0</v>
      </c>
      <c r="BJ182">
        <v>0.08</v>
      </c>
      <c r="BK182">
        <v>7.77</v>
      </c>
      <c r="BL182">
        <v>0</v>
      </c>
      <c r="BM182">
        <v>2.61</v>
      </c>
      <c r="BN182">
        <v>0.21</v>
      </c>
      <c r="BO182">
        <v>0.46</v>
      </c>
      <c r="BP182">
        <v>1.94</v>
      </c>
      <c r="BQ182">
        <v>1.67</v>
      </c>
      <c r="BR182">
        <v>0.12</v>
      </c>
      <c r="BS182">
        <v>0.16</v>
      </c>
      <c r="BT182">
        <v>0</v>
      </c>
      <c r="BU182">
        <v>8.9499999999999993</v>
      </c>
      <c r="BV182">
        <v>7.89</v>
      </c>
      <c r="BW182">
        <v>0.34</v>
      </c>
      <c r="BX182">
        <v>0.72</v>
      </c>
      <c r="BY182">
        <v>0</v>
      </c>
      <c r="BZ182">
        <v>0.08</v>
      </c>
      <c r="CA182">
        <v>7.81</v>
      </c>
      <c r="CB182">
        <v>0</v>
      </c>
      <c r="CC182">
        <f t="shared" si="4"/>
        <v>2.75</v>
      </c>
      <c r="CD182">
        <v>3.96</v>
      </c>
      <c r="CE182">
        <v>0.34230769230769231</v>
      </c>
      <c r="CF182">
        <v>0.44500000000000001</v>
      </c>
      <c r="CG182">
        <v>0.1492537313432836</v>
      </c>
      <c r="CH182">
        <v>0.39370629370629368</v>
      </c>
      <c r="CI182">
        <v>0</v>
      </c>
      <c r="CJ182">
        <v>31748</v>
      </c>
      <c r="CK182" t="s">
        <v>141</v>
      </c>
      <c r="CL182" t="s">
        <v>935</v>
      </c>
      <c r="CM182" t="s">
        <v>143</v>
      </c>
      <c r="CN182">
        <v>0.65562440532400001</v>
      </c>
      <c r="CO182">
        <v>5.8243035168611899</v>
      </c>
      <c r="CP182">
        <v>181</v>
      </c>
      <c r="CQ182" t="s">
        <v>931</v>
      </c>
      <c r="CR182">
        <v>218</v>
      </c>
      <c r="CS182" t="s">
        <v>681</v>
      </c>
      <c r="CT182" t="s">
        <v>682</v>
      </c>
      <c r="CU182" t="s">
        <v>683</v>
      </c>
      <c r="CV182" t="s">
        <v>683</v>
      </c>
      <c r="CW182" t="s">
        <v>684</v>
      </c>
      <c r="CX182" t="s">
        <v>685</v>
      </c>
      <c r="CY182" t="s">
        <v>685</v>
      </c>
      <c r="CZ182" t="s">
        <v>686</v>
      </c>
      <c r="DA182" t="s">
        <v>152</v>
      </c>
      <c r="DB182" t="s">
        <v>178</v>
      </c>
      <c r="DC182" t="s">
        <v>365</v>
      </c>
      <c r="DD182" t="s">
        <v>155</v>
      </c>
      <c r="DE182">
        <v>904</v>
      </c>
      <c r="DF182">
        <v>-75.353050999999994</v>
      </c>
      <c r="DG182">
        <v>38.439326999999999</v>
      </c>
      <c r="DH182">
        <v>4500</v>
      </c>
      <c r="DI182">
        <v>800</v>
      </c>
      <c r="DL182">
        <v>10</v>
      </c>
      <c r="DM182">
        <v>9</v>
      </c>
      <c r="DN182">
        <v>27</v>
      </c>
      <c r="DO182">
        <v>80</v>
      </c>
      <c r="DP182">
        <v>16</v>
      </c>
      <c r="DQ182">
        <v>122</v>
      </c>
      <c r="DR182">
        <v>70000</v>
      </c>
      <c r="DS182" t="s">
        <v>687</v>
      </c>
      <c r="DT182">
        <v>1.2500000000000001E-2</v>
      </c>
      <c r="DU182">
        <v>1.2500000000000001E-2</v>
      </c>
      <c r="DV182">
        <v>0.32500000000000001</v>
      </c>
      <c r="DW182">
        <v>0.32500000000000001</v>
      </c>
      <c r="DX182">
        <v>0.32500000000000001</v>
      </c>
      <c r="DY182">
        <v>26.50731958617585</v>
      </c>
      <c r="DZ182" s="4">
        <v>3.8530000000000002</v>
      </c>
      <c r="EA182" s="4" t="s">
        <v>1039</v>
      </c>
      <c r="EB182" s="4" t="s">
        <v>1040</v>
      </c>
      <c r="EC182">
        <v>4.8019999999999996</v>
      </c>
      <c r="ED182">
        <v>933</v>
      </c>
      <c r="EE182" t="s">
        <v>1038</v>
      </c>
      <c r="EF182">
        <v>0</v>
      </c>
      <c r="EH182">
        <f t="shared" si="5"/>
        <v>0.58000000000000007</v>
      </c>
      <c r="EI182">
        <v>3.38</v>
      </c>
      <c r="EJ182">
        <v>3.65</v>
      </c>
    </row>
    <row r="183" spans="1:140" x14ac:dyDescent="0.35">
      <c r="A183" s="1">
        <v>181</v>
      </c>
      <c r="B183">
        <v>-123.8640322709162</v>
      </c>
      <c r="C183">
        <v>40.350120202708297</v>
      </c>
      <c r="D183" t="s">
        <v>1041</v>
      </c>
      <c r="E183">
        <v>0.1</v>
      </c>
      <c r="F183" t="s">
        <v>135</v>
      </c>
      <c r="G183">
        <v>7.3200000000000001E-2</v>
      </c>
      <c r="H183" t="s">
        <v>161</v>
      </c>
      <c r="I183">
        <v>-13788481</v>
      </c>
      <c r="J183">
        <v>4916952</v>
      </c>
      <c r="K183" t="s">
        <v>427</v>
      </c>
      <c r="L183" t="s">
        <v>1042</v>
      </c>
      <c r="M183">
        <v>12</v>
      </c>
      <c r="N183">
        <v>5.8810000000000002</v>
      </c>
      <c r="O183">
        <v>4</v>
      </c>
      <c r="P183">
        <v>9</v>
      </c>
      <c r="Q183">
        <v>6</v>
      </c>
      <c r="R183">
        <v>23</v>
      </c>
      <c r="S183">
        <v>136465</v>
      </c>
      <c r="T183" t="s">
        <v>315</v>
      </c>
      <c r="U183">
        <v>8.1439147775781446</v>
      </c>
      <c r="V183" t="s">
        <v>427</v>
      </c>
      <c r="W183">
        <v>0.27039999999999997</v>
      </c>
      <c r="X183">
        <v>10</v>
      </c>
      <c r="Y183">
        <v>8.9</v>
      </c>
      <c r="Z183">
        <v>8.9</v>
      </c>
      <c r="AA183">
        <v>20</v>
      </c>
      <c r="AB183">
        <v>26</v>
      </c>
      <c r="AC183">
        <v>0.40699999999999997</v>
      </c>
      <c r="AD183">
        <v>67</v>
      </c>
      <c r="AE183">
        <v>6.4685314685314674E-2</v>
      </c>
      <c r="AF183">
        <v>2.86</v>
      </c>
      <c r="AG183" t="s">
        <v>315</v>
      </c>
      <c r="AH183" t="s">
        <v>427</v>
      </c>
      <c r="AI183">
        <v>77</v>
      </c>
      <c r="AJ183">
        <v>2.5666666666666671E-2</v>
      </c>
      <c r="AK183">
        <v>25.666666666666671</v>
      </c>
      <c r="AL183" t="s">
        <v>1043</v>
      </c>
      <c r="AM183">
        <v>0</v>
      </c>
      <c r="AN183">
        <v>1.74</v>
      </c>
      <c r="AO183">
        <v>0.09</v>
      </c>
      <c r="AP183">
        <v>0.19</v>
      </c>
      <c r="AQ183">
        <v>1.45</v>
      </c>
      <c r="AR183">
        <v>1.29</v>
      </c>
      <c r="AS183">
        <v>0.13</v>
      </c>
      <c r="AT183">
        <v>0.04</v>
      </c>
      <c r="AU183">
        <v>0.02</v>
      </c>
      <c r="AV183">
        <v>3.01</v>
      </c>
      <c r="AW183">
        <v>2.02</v>
      </c>
      <c r="AX183">
        <v>0.21</v>
      </c>
      <c r="AY183">
        <v>0.53</v>
      </c>
      <c r="AZ183">
        <v>0</v>
      </c>
      <c r="BA183">
        <v>1.37</v>
      </c>
      <c r="BB183">
        <v>0.24</v>
      </c>
      <c r="BC183">
        <v>0.41</v>
      </c>
      <c r="BD183">
        <v>0.27</v>
      </c>
      <c r="BE183">
        <v>15.79</v>
      </c>
      <c r="BF183">
        <v>15.1</v>
      </c>
      <c r="BG183">
        <v>0.24</v>
      </c>
      <c r="BH183">
        <v>0.45</v>
      </c>
      <c r="BI183">
        <v>0</v>
      </c>
      <c r="BJ183">
        <v>0.11</v>
      </c>
      <c r="BK183">
        <v>14.98</v>
      </c>
      <c r="BL183">
        <v>0</v>
      </c>
      <c r="BM183">
        <v>2.41</v>
      </c>
      <c r="BN183">
        <v>0.21</v>
      </c>
      <c r="BO183">
        <v>0.46</v>
      </c>
      <c r="BP183">
        <v>1.74</v>
      </c>
      <c r="BQ183">
        <v>1.27</v>
      </c>
      <c r="BR183">
        <v>0.17</v>
      </c>
      <c r="BS183">
        <v>0.3</v>
      </c>
      <c r="BT183">
        <v>0</v>
      </c>
      <c r="BU183">
        <v>16.239999999999998</v>
      </c>
      <c r="BV183">
        <v>15.18</v>
      </c>
      <c r="BW183">
        <v>0.34</v>
      </c>
      <c r="BX183">
        <v>0.72</v>
      </c>
      <c r="BY183">
        <v>0</v>
      </c>
      <c r="BZ183">
        <v>0.11</v>
      </c>
      <c r="CA183">
        <v>15.07</v>
      </c>
      <c r="CB183">
        <v>0</v>
      </c>
      <c r="CC183">
        <f t="shared" si="4"/>
        <v>2.75</v>
      </c>
      <c r="CD183">
        <v>3.96</v>
      </c>
      <c r="CE183">
        <v>0.34230769230769231</v>
      </c>
      <c r="CF183">
        <v>0.44500000000000001</v>
      </c>
      <c r="CG183">
        <v>0.1492537313432836</v>
      </c>
      <c r="CH183">
        <v>0.1423076923076923</v>
      </c>
      <c r="CI183">
        <v>0</v>
      </c>
      <c r="CJ183">
        <v>21365</v>
      </c>
      <c r="CK183" t="s">
        <v>169</v>
      </c>
      <c r="CL183" t="s">
        <v>697</v>
      </c>
      <c r="CM183" t="s">
        <v>143</v>
      </c>
      <c r="CN183">
        <v>2.21087789642</v>
      </c>
      <c r="CO183">
        <v>26.213920080736461</v>
      </c>
      <c r="CP183">
        <v>182</v>
      </c>
      <c r="CQ183" t="s">
        <v>1044</v>
      </c>
      <c r="CR183">
        <v>223</v>
      </c>
      <c r="CS183" t="s">
        <v>717</v>
      </c>
      <c r="CT183" t="s">
        <v>718</v>
      </c>
      <c r="CU183" t="s">
        <v>315</v>
      </c>
      <c r="CV183" t="s">
        <v>719</v>
      </c>
      <c r="CW183" t="s">
        <v>720</v>
      </c>
      <c r="CX183" t="s">
        <v>721</v>
      </c>
      <c r="CY183" t="s">
        <v>551</v>
      </c>
      <c r="CZ183" t="s">
        <v>319</v>
      </c>
      <c r="DA183" t="s">
        <v>152</v>
      </c>
      <c r="DB183" t="s">
        <v>178</v>
      </c>
      <c r="DC183" t="s">
        <v>207</v>
      </c>
      <c r="DD183" t="s">
        <v>155</v>
      </c>
      <c r="DE183">
        <v>2069</v>
      </c>
      <c r="DF183">
        <v>-121.36967300000001</v>
      </c>
      <c r="DG183">
        <v>38.049534000000001</v>
      </c>
      <c r="DH183">
        <v>7600</v>
      </c>
      <c r="DI183">
        <v>1000</v>
      </c>
      <c r="DL183">
        <v>18</v>
      </c>
      <c r="DM183">
        <v>15</v>
      </c>
      <c r="DN183">
        <v>30</v>
      </c>
      <c r="DO183">
        <v>5</v>
      </c>
      <c r="DP183">
        <v>10</v>
      </c>
      <c r="DQ183">
        <v>1700</v>
      </c>
      <c r="DS183" t="s">
        <v>322</v>
      </c>
      <c r="DT183">
        <v>1.2500000000000001E-2</v>
      </c>
      <c r="DU183">
        <v>1.2500000000000001E-2</v>
      </c>
      <c r="DV183">
        <v>0.32500000000000001</v>
      </c>
      <c r="DW183">
        <v>0.32500000000000001</v>
      </c>
      <c r="DX183">
        <v>0.32500000000000001</v>
      </c>
      <c r="DY183">
        <v>3.6889859805332592</v>
      </c>
      <c r="DZ183" s="4">
        <v>5.3979999999999997</v>
      </c>
      <c r="EA183" s="4" t="s">
        <v>432</v>
      </c>
      <c r="EB183" s="4" t="s">
        <v>433</v>
      </c>
      <c r="EC183">
        <v>6.4850000000000003</v>
      </c>
      <c r="ED183">
        <v>151</v>
      </c>
      <c r="EE183" t="s">
        <v>1043</v>
      </c>
      <c r="EF183">
        <v>0</v>
      </c>
      <c r="EH183">
        <f t="shared" si="5"/>
        <v>0.58000000000000007</v>
      </c>
      <c r="EI183">
        <v>3.38</v>
      </c>
      <c r="EJ183">
        <v>3.65</v>
      </c>
    </row>
    <row r="184" spans="1:140" x14ac:dyDescent="0.35">
      <c r="A184" s="1">
        <v>182</v>
      </c>
      <c r="B184">
        <v>-122.0674017026772</v>
      </c>
      <c r="C184">
        <v>40.350120202708297</v>
      </c>
      <c r="D184" t="s">
        <v>1045</v>
      </c>
      <c r="E184">
        <v>0.02</v>
      </c>
      <c r="F184" t="s">
        <v>160</v>
      </c>
      <c r="G184">
        <v>0.16800000000000001</v>
      </c>
      <c r="H184" t="s">
        <v>161</v>
      </c>
      <c r="I184">
        <v>-13588481</v>
      </c>
      <c r="J184">
        <v>4916952</v>
      </c>
      <c r="K184" t="s">
        <v>427</v>
      </c>
      <c r="L184" t="s">
        <v>1046</v>
      </c>
      <c r="M184">
        <v>52</v>
      </c>
      <c r="N184">
        <v>5.17</v>
      </c>
      <c r="O184">
        <v>4</v>
      </c>
      <c r="P184">
        <v>9</v>
      </c>
      <c r="Q184">
        <v>6</v>
      </c>
      <c r="R184">
        <v>103</v>
      </c>
      <c r="S184">
        <v>65831</v>
      </c>
      <c r="T184" t="s">
        <v>315</v>
      </c>
      <c r="U184">
        <v>8.1439147775781446</v>
      </c>
      <c r="V184" t="s">
        <v>427</v>
      </c>
      <c r="W184">
        <v>0.27039999999999997</v>
      </c>
      <c r="X184">
        <v>10</v>
      </c>
      <c r="Y184">
        <v>8.9</v>
      </c>
      <c r="Z184">
        <v>8.9</v>
      </c>
      <c r="AA184">
        <v>20</v>
      </c>
      <c r="AB184">
        <v>26</v>
      </c>
      <c r="AC184">
        <v>0.40699999999999997</v>
      </c>
      <c r="AD184">
        <v>67</v>
      </c>
      <c r="AE184">
        <v>6.4685314685314674E-2</v>
      </c>
      <c r="AF184">
        <v>2.86</v>
      </c>
      <c r="AG184" t="s">
        <v>315</v>
      </c>
      <c r="AH184" t="s">
        <v>427</v>
      </c>
      <c r="AI184">
        <v>77</v>
      </c>
      <c r="AJ184">
        <v>2.5666666666666671E-2</v>
      </c>
      <c r="AK184">
        <v>25.666666666666671</v>
      </c>
      <c r="AL184" t="s">
        <v>1047</v>
      </c>
      <c r="AM184">
        <v>0</v>
      </c>
      <c r="AN184">
        <v>1.74</v>
      </c>
      <c r="AO184">
        <v>0.09</v>
      </c>
      <c r="AP184">
        <v>0.19</v>
      </c>
      <c r="AQ184">
        <v>1.45</v>
      </c>
      <c r="AR184">
        <v>1.29</v>
      </c>
      <c r="AS184">
        <v>0.13</v>
      </c>
      <c r="AT184">
        <v>0.04</v>
      </c>
      <c r="AU184">
        <v>0.02</v>
      </c>
      <c r="AV184">
        <v>3.01</v>
      </c>
      <c r="AW184">
        <v>2.02</v>
      </c>
      <c r="AX184">
        <v>0.21</v>
      </c>
      <c r="AY184">
        <v>0.53</v>
      </c>
      <c r="AZ184">
        <v>0</v>
      </c>
      <c r="BA184">
        <v>1.37</v>
      </c>
      <c r="BB184">
        <v>0.24</v>
      </c>
      <c r="BC184">
        <v>0.41</v>
      </c>
      <c r="BD184">
        <v>0.27</v>
      </c>
      <c r="BE184">
        <v>15.79</v>
      </c>
      <c r="BF184">
        <v>15.1</v>
      </c>
      <c r="BG184">
        <v>0.24</v>
      </c>
      <c r="BH184">
        <v>0.45</v>
      </c>
      <c r="BI184">
        <v>0</v>
      </c>
      <c r="BJ184">
        <v>0.11</v>
      </c>
      <c r="BK184">
        <v>14.98</v>
      </c>
      <c r="BL184">
        <v>0</v>
      </c>
      <c r="BM184">
        <v>2.41</v>
      </c>
      <c r="BN184">
        <v>0.21</v>
      </c>
      <c r="BO184">
        <v>0.46</v>
      </c>
      <c r="BP184">
        <v>1.74</v>
      </c>
      <c r="BQ184">
        <v>1.27</v>
      </c>
      <c r="BR184">
        <v>0.17</v>
      </c>
      <c r="BS184">
        <v>0.3</v>
      </c>
      <c r="BT184">
        <v>0</v>
      </c>
      <c r="BU184">
        <v>16.239999999999998</v>
      </c>
      <c r="BV184">
        <v>15.18</v>
      </c>
      <c r="BW184">
        <v>0.34</v>
      </c>
      <c r="BX184">
        <v>0.72</v>
      </c>
      <c r="BY184">
        <v>0</v>
      </c>
      <c r="BZ184">
        <v>0.11</v>
      </c>
      <c r="CA184">
        <v>15.07</v>
      </c>
      <c r="CB184">
        <v>0</v>
      </c>
      <c r="CC184">
        <f t="shared" si="4"/>
        <v>2.75</v>
      </c>
      <c r="CD184">
        <v>3.96</v>
      </c>
      <c r="CE184">
        <v>0.34230769230769231</v>
      </c>
      <c r="CF184">
        <v>0.44500000000000001</v>
      </c>
      <c r="CG184">
        <v>0.1492537313432836</v>
      </c>
      <c r="CH184">
        <v>0.1423076923076923</v>
      </c>
      <c r="CI184">
        <v>0</v>
      </c>
      <c r="CJ184">
        <v>23821</v>
      </c>
      <c r="CK184" t="s">
        <v>169</v>
      </c>
      <c r="CL184" t="s">
        <v>697</v>
      </c>
      <c r="CM184" t="s">
        <v>143</v>
      </c>
      <c r="CN184">
        <v>0.17010483656799999</v>
      </c>
      <c r="CO184">
        <v>0.43112379814601631</v>
      </c>
      <c r="CP184">
        <v>183</v>
      </c>
      <c r="CQ184" t="s">
        <v>702</v>
      </c>
      <c r="CR184">
        <v>204</v>
      </c>
      <c r="CS184" t="s">
        <v>546</v>
      </c>
      <c r="CT184" t="s">
        <v>547</v>
      </c>
      <c r="CU184" t="s">
        <v>315</v>
      </c>
      <c r="CV184" t="s">
        <v>548</v>
      </c>
      <c r="CW184" t="s">
        <v>549</v>
      </c>
      <c r="CX184" t="s">
        <v>550</v>
      </c>
      <c r="CY184" t="s">
        <v>551</v>
      </c>
      <c r="CZ184" t="s">
        <v>319</v>
      </c>
      <c r="DA184" t="s">
        <v>152</v>
      </c>
      <c r="DB184" t="s">
        <v>178</v>
      </c>
      <c r="DC184" t="s">
        <v>207</v>
      </c>
      <c r="DD184" t="s">
        <v>180</v>
      </c>
      <c r="DE184">
        <v>2393</v>
      </c>
      <c r="DF184">
        <v>-119.305311</v>
      </c>
      <c r="DG184">
        <v>35.410406000000002</v>
      </c>
      <c r="DH184">
        <v>7200</v>
      </c>
      <c r="DI184">
        <v>200</v>
      </c>
      <c r="DL184">
        <v>15</v>
      </c>
      <c r="DM184">
        <v>10</v>
      </c>
      <c r="DN184">
        <v>40</v>
      </c>
      <c r="DO184">
        <v>50</v>
      </c>
      <c r="DP184">
        <v>0.2</v>
      </c>
      <c r="DQ184">
        <v>10000</v>
      </c>
      <c r="DS184" t="s">
        <v>322</v>
      </c>
      <c r="DT184">
        <v>1.2500000000000001E-2</v>
      </c>
      <c r="DU184">
        <v>1.2500000000000001E-2</v>
      </c>
      <c r="DV184">
        <v>0.32500000000000001</v>
      </c>
      <c r="DW184">
        <v>0.32500000000000001</v>
      </c>
      <c r="DX184">
        <v>0.32500000000000001</v>
      </c>
      <c r="DY184">
        <v>0</v>
      </c>
      <c r="DZ184" s="4">
        <v>5.3979999999999997</v>
      </c>
      <c r="EA184" s="4" t="s">
        <v>432</v>
      </c>
      <c r="EB184" s="4" t="s">
        <v>433</v>
      </c>
      <c r="EC184">
        <v>6.4850000000000003</v>
      </c>
      <c r="ED184">
        <v>19</v>
      </c>
      <c r="EE184" t="s">
        <v>1047</v>
      </c>
      <c r="EF184">
        <v>0</v>
      </c>
      <c r="EH184">
        <f t="shared" si="5"/>
        <v>0.58000000000000007</v>
      </c>
      <c r="EI184">
        <v>3.38</v>
      </c>
      <c r="EJ184">
        <v>3.65</v>
      </c>
    </row>
    <row r="185" spans="1:140" x14ac:dyDescent="0.35">
      <c r="A185" s="1">
        <v>183</v>
      </c>
      <c r="B185">
        <v>-120.27077113443811</v>
      </c>
      <c r="C185">
        <v>40.350120202708297</v>
      </c>
      <c r="D185" t="s">
        <v>1048</v>
      </c>
      <c r="E185">
        <v>0.02</v>
      </c>
      <c r="F185" t="s">
        <v>160</v>
      </c>
      <c r="G185">
        <v>7.3200000000000001E-2</v>
      </c>
      <c r="H185" t="s">
        <v>161</v>
      </c>
      <c r="I185">
        <v>-13388481</v>
      </c>
      <c r="J185">
        <v>4916952</v>
      </c>
      <c r="K185" t="s">
        <v>427</v>
      </c>
      <c r="L185" t="s">
        <v>1049</v>
      </c>
      <c r="M185">
        <v>18</v>
      </c>
      <c r="N185">
        <v>5.7750000000000004</v>
      </c>
      <c r="O185">
        <v>4</v>
      </c>
      <c r="P185">
        <v>9</v>
      </c>
      <c r="Q185">
        <v>6</v>
      </c>
      <c r="R185">
        <v>35</v>
      </c>
      <c r="S185">
        <v>32730</v>
      </c>
      <c r="T185" t="s">
        <v>315</v>
      </c>
      <c r="U185">
        <v>8.1439147775781446</v>
      </c>
      <c r="V185" t="s">
        <v>427</v>
      </c>
      <c r="W185">
        <v>0.27039999999999997</v>
      </c>
      <c r="X185">
        <v>10</v>
      </c>
      <c r="Y185">
        <v>8.9</v>
      </c>
      <c r="Z185">
        <v>8.9</v>
      </c>
      <c r="AA185">
        <v>20</v>
      </c>
      <c r="AB185">
        <v>26</v>
      </c>
      <c r="AC185">
        <v>0.40699999999999997</v>
      </c>
      <c r="AD185">
        <v>67</v>
      </c>
      <c r="AE185">
        <v>6.4685314685314674E-2</v>
      </c>
      <c r="AF185">
        <v>2.86</v>
      </c>
      <c r="AG185" t="s">
        <v>315</v>
      </c>
      <c r="AH185" t="s">
        <v>427</v>
      </c>
      <c r="AI185">
        <v>77</v>
      </c>
      <c r="AJ185">
        <v>2.5666666666666671E-2</v>
      </c>
      <c r="AK185">
        <v>25.666666666666671</v>
      </c>
      <c r="AL185" t="s">
        <v>1050</v>
      </c>
      <c r="AM185">
        <v>0</v>
      </c>
      <c r="AN185">
        <v>1.74</v>
      </c>
      <c r="AO185">
        <v>0.09</v>
      </c>
      <c r="AP185">
        <v>0.19</v>
      </c>
      <c r="AQ185">
        <v>1.45</v>
      </c>
      <c r="AR185">
        <v>1.29</v>
      </c>
      <c r="AS185">
        <v>0.13</v>
      </c>
      <c r="AT185">
        <v>0.04</v>
      </c>
      <c r="AU185">
        <v>0.02</v>
      </c>
      <c r="AV185">
        <v>3.01</v>
      </c>
      <c r="AW185">
        <v>2.02</v>
      </c>
      <c r="AX185">
        <v>0.21</v>
      </c>
      <c r="AY185">
        <v>0.53</v>
      </c>
      <c r="AZ185">
        <v>0</v>
      </c>
      <c r="BA185">
        <v>1.37</v>
      </c>
      <c r="BB185">
        <v>0.24</v>
      </c>
      <c r="BC185">
        <v>0.41</v>
      </c>
      <c r="BD185">
        <v>0.27</v>
      </c>
      <c r="BE185">
        <v>15.79</v>
      </c>
      <c r="BF185">
        <v>15.1</v>
      </c>
      <c r="BG185">
        <v>0.24</v>
      </c>
      <c r="BH185">
        <v>0.45</v>
      </c>
      <c r="BI185">
        <v>0</v>
      </c>
      <c r="BJ185">
        <v>0.11</v>
      </c>
      <c r="BK185">
        <v>14.98</v>
      </c>
      <c r="BL185">
        <v>0</v>
      </c>
      <c r="BM185">
        <v>2.41</v>
      </c>
      <c r="BN185">
        <v>0.21</v>
      </c>
      <c r="BO185">
        <v>0.46</v>
      </c>
      <c r="BP185">
        <v>1.74</v>
      </c>
      <c r="BQ185">
        <v>1.27</v>
      </c>
      <c r="BR185">
        <v>0.17</v>
      </c>
      <c r="BS185">
        <v>0.3</v>
      </c>
      <c r="BT185">
        <v>0</v>
      </c>
      <c r="BU185">
        <v>16.239999999999998</v>
      </c>
      <c r="BV185">
        <v>15.18</v>
      </c>
      <c r="BW185">
        <v>0.34</v>
      </c>
      <c r="BX185">
        <v>0.72</v>
      </c>
      <c r="BY185">
        <v>0</v>
      </c>
      <c r="BZ185">
        <v>0.11</v>
      </c>
      <c r="CA185">
        <v>15.07</v>
      </c>
      <c r="CB185">
        <v>0</v>
      </c>
      <c r="CC185">
        <f t="shared" si="4"/>
        <v>2.75</v>
      </c>
      <c r="CD185">
        <v>3.96</v>
      </c>
      <c r="CE185">
        <v>0.34230769230769231</v>
      </c>
      <c r="CF185">
        <v>0.44500000000000001</v>
      </c>
      <c r="CG185">
        <v>0.1492537313432836</v>
      </c>
      <c r="CH185">
        <v>0.1423076923076923</v>
      </c>
      <c r="CI185">
        <v>0</v>
      </c>
      <c r="CJ185">
        <v>29666</v>
      </c>
      <c r="CK185" t="s">
        <v>141</v>
      </c>
      <c r="CL185" t="s">
        <v>1051</v>
      </c>
      <c r="CM185" t="s">
        <v>143</v>
      </c>
      <c r="CN185">
        <v>0.32935991217799998</v>
      </c>
      <c r="CO185">
        <v>2.1242660128474502</v>
      </c>
      <c r="CP185">
        <v>184</v>
      </c>
      <c r="CQ185" t="s">
        <v>1052</v>
      </c>
      <c r="CR185">
        <v>223</v>
      </c>
      <c r="CS185" t="s">
        <v>717</v>
      </c>
      <c r="CT185" t="s">
        <v>718</v>
      </c>
      <c r="CU185" t="s">
        <v>315</v>
      </c>
      <c r="CV185" t="s">
        <v>719</v>
      </c>
      <c r="CW185" t="s">
        <v>720</v>
      </c>
      <c r="CX185" t="s">
        <v>721</v>
      </c>
      <c r="CY185" t="s">
        <v>551</v>
      </c>
      <c r="CZ185" t="s">
        <v>319</v>
      </c>
      <c r="DA185" t="s">
        <v>152</v>
      </c>
      <c r="DB185" t="s">
        <v>178</v>
      </c>
      <c r="DC185" t="s">
        <v>207</v>
      </c>
      <c r="DD185" t="s">
        <v>155</v>
      </c>
      <c r="DE185">
        <v>2069</v>
      </c>
      <c r="DF185">
        <v>-121.36967300000001</v>
      </c>
      <c r="DG185">
        <v>38.049534000000001</v>
      </c>
      <c r="DH185">
        <v>7600</v>
      </c>
      <c r="DI185">
        <v>1000</v>
      </c>
      <c r="DL185">
        <v>18</v>
      </c>
      <c r="DM185">
        <v>15</v>
      </c>
      <c r="DN185">
        <v>30</v>
      </c>
      <c r="DO185">
        <v>5</v>
      </c>
      <c r="DP185">
        <v>10</v>
      </c>
      <c r="DQ185">
        <v>1700</v>
      </c>
      <c r="DS185" t="s">
        <v>322</v>
      </c>
      <c r="DT185">
        <v>1.2500000000000001E-2</v>
      </c>
      <c r="DU185">
        <v>1.2500000000000001E-2</v>
      </c>
      <c r="DV185">
        <v>0.32500000000000001</v>
      </c>
      <c r="DW185">
        <v>0.32500000000000001</v>
      </c>
      <c r="DX185">
        <v>0.32500000000000001</v>
      </c>
      <c r="DY185">
        <v>0</v>
      </c>
      <c r="DZ185" s="4">
        <v>5.3979999999999997</v>
      </c>
      <c r="EA185" s="4" t="s">
        <v>432</v>
      </c>
      <c r="EB185" s="4" t="s">
        <v>433</v>
      </c>
      <c r="EC185">
        <v>6.4850000000000003</v>
      </c>
      <c r="ED185">
        <v>623</v>
      </c>
      <c r="EE185" t="s">
        <v>1050</v>
      </c>
      <c r="EF185">
        <v>0</v>
      </c>
      <c r="EH185">
        <f t="shared" si="5"/>
        <v>0.58000000000000007</v>
      </c>
      <c r="EI185">
        <v>3.38</v>
      </c>
      <c r="EJ185">
        <v>3.65</v>
      </c>
    </row>
    <row r="186" spans="1:140" x14ac:dyDescent="0.35">
      <c r="A186" s="1">
        <v>184</v>
      </c>
      <c r="B186">
        <v>-118.4741405661991</v>
      </c>
      <c r="C186">
        <v>40.350120202708297</v>
      </c>
      <c r="D186" t="s">
        <v>1053</v>
      </c>
      <c r="E186">
        <v>0.1</v>
      </c>
      <c r="F186" t="s">
        <v>135</v>
      </c>
      <c r="G186">
        <v>7.3200000000000001E-2</v>
      </c>
      <c r="H186" t="s">
        <v>161</v>
      </c>
      <c r="I186">
        <v>-13188481</v>
      </c>
      <c r="J186">
        <v>4916952</v>
      </c>
      <c r="K186" t="s">
        <v>712</v>
      </c>
      <c r="L186" t="s">
        <v>1054</v>
      </c>
      <c r="M186">
        <v>14</v>
      </c>
      <c r="N186">
        <v>4.5449999999999999</v>
      </c>
      <c r="O186">
        <v>4</v>
      </c>
      <c r="P186">
        <v>8</v>
      </c>
      <c r="Q186">
        <v>32</v>
      </c>
      <c r="R186">
        <v>27</v>
      </c>
      <c r="S186">
        <v>6651</v>
      </c>
      <c r="T186" t="s">
        <v>714</v>
      </c>
      <c r="U186">
        <v>8.0104643432458005</v>
      </c>
      <c r="V186" t="s">
        <v>712</v>
      </c>
      <c r="W186">
        <v>0.1147</v>
      </c>
      <c r="X186">
        <v>10</v>
      </c>
      <c r="Y186">
        <v>8.9</v>
      </c>
      <c r="Z186">
        <v>8.9</v>
      </c>
      <c r="AA186">
        <v>20</v>
      </c>
      <c r="AB186">
        <v>26</v>
      </c>
      <c r="AC186">
        <v>0.63100000000000001</v>
      </c>
      <c r="AD186">
        <v>67</v>
      </c>
      <c r="AE186">
        <v>0.1002860775588048</v>
      </c>
      <c r="AF186">
        <v>2.86</v>
      </c>
      <c r="AG186" t="s">
        <v>714</v>
      </c>
      <c r="AH186" t="s">
        <v>712</v>
      </c>
      <c r="AI186">
        <v>26</v>
      </c>
      <c r="AJ186">
        <v>8.6666666666666663E-3</v>
      </c>
      <c r="AK186">
        <v>8.6666666666666661</v>
      </c>
      <c r="AL186" t="s">
        <v>947</v>
      </c>
      <c r="AM186">
        <v>51007.31178670087</v>
      </c>
      <c r="AN186">
        <v>1.61</v>
      </c>
      <c r="AO186">
        <v>0.09</v>
      </c>
      <c r="AP186">
        <v>0.19</v>
      </c>
      <c r="AQ186">
        <v>1.32</v>
      </c>
      <c r="AR186">
        <v>1.27</v>
      </c>
      <c r="AS186">
        <v>0.04</v>
      </c>
      <c r="AT186">
        <v>0.01</v>
      </c>
      <c r="AU186">
        <v>0.02</v>
      </c>
      <c r="AV186">
        <v>2.59</v>
      </c>
      <c r="AW186">
        <v>1.59</v>
      </c>
      <c r="AX186">
        <v>0.21</v>
      </c>
      <c r="AY186">
        <v>0.53</v>
      </c>
      <c r="AZ186">
        <v>0</v>
      </c>
      <c r="BA186">
        <v>1.35</v>
      </c>
      <c r="BB186">
        <v>0.08</v>
      </c>
      <c r="BC186">
        <v>0.17</v>
      </c>
      <c r="BD186">
        <v>0.27</v>
      </c>
      <c r="BE186">
        <v>6.83</v>
      </c>
      <c r="BF186">
        <v>6.14</v>
      </c>
      <c r="BG186">
        <v>0.24</v>
      </c>
      <c r="BH186">
        <v>0.45</v>
      </c>
      <c r="BI186">
        <v>0</v>
      </c>
      <c r="BJ186">
        <v>0.04</v>
      </c>
      <c r="BK186">
        <v>6.1</v>
      </c>
      <c r="BL186">
        <v>0</v>
      </c>
      <c r="BM186">
        <v>2.1</v>
      </c>
      <c r="BN186">
        <v>0.21</v>
      </c>
      <c r="BO186">
        <v>0.46</v>
      </c>
      <c r="BP186">
        <v>1.43</v>
      </c>
      <c r="BQ186">
        <v>1.25</v>
      </c>
      <c r="BR186">
        <v>0.06</v>
      </c>
      <c r="BS186">
        <v>0.12</v>
      </c>
      <c r="BT186">
        <v>0</v>
      </c>
      <c r="BU186">
        <v>7.24</v>
      </c>
      <c r="BV186">
        <v>6.18</v>
      </c>
      <c r="BW186">
        <v>0.34</v>
      </c>
      <c r="BX186">
        <v>0.72</v>
      </c>
      <c r="BY186">
        <v>0</v>
      </c>
      <c r="BZ186">
        <v>0.04</v>
      </c>
      <c r="CA186">
        <v>6.14</v>
      </c>
      <c r="CB186">
        <v>0</v>
      </c>
      <c r="CC186">
        <f t="shared" si="4"/>
        <v>2.75</v>
      </c>
      <c r="CD186">
        <v>3.96</v>
      </c>
      <c r="CE186">
        <v>0.34230769230769231</v>
      </c>
      <c r="CF186">
        <v>0.44500000000000001</v>
      </c>
      <c r="CG186">
        <v>0.1492537313432836</v>
      </c>
      <c r="CH186">
        <v>0.2206293706293706</v>
      </c>
      <c r="CI186">
        <v>0</v>
      </c>
      <c r="CJ186">
        <v>21368</v>
      </c>
      <c r="CK186" t="s">
        <v>169</v>
      </c>
      <c r="CL186" t="s">
        <v>948</v>
      </c>
      <c r="CM186" t="s">
        <v>143</v>
      </c>
      <c r="CN186">
        <v>2.7700984281999999</v>
      </c>
      <c r="CO186">
        <v>1.8051011458626649</v>
      </c>
      <c r="CP186">
        <v>185</v>
      </c>
      <c r="CQ186" t="s">
        <v>712</v>
      </c>
      <c r="CR186">
        <v>223</v>
      </c>
      <c r="CS186" t="s">
        <v>717</v>
      </c>
      <c r="CT186" t="s">
        <v>718</v>
      </c>
      <c r="CU186" t="s">
        <v>315</v>
      </c>
      <c r="CV186" t="s">
        <v>719</v>
      </c>
      <c r="CW186" t="s">
        <v>720</v>
      </c>
      <c r="CX186" t="s">
        <v>721</v>
      </c>
      <c r="CY186" t="s">
        <v>551</v>
      </c>
      <c r="CZ186" t="s">
        <v>319</v>
      </c>
      <c r="DA186" t="s">
        <v>152</v>
      </c>
      <c r="DB186" t="s">
        <v>178</v>
      </c>
      <c r="DC186" t="s">
        <v>207</v>
      </c>
      <c r="DD186" t="s">
        <v>155</v>
      </c>
      <c r="DE186">
        <v>2069</v>
      </c>
      <c r="DF186">
        <v>-121.36967300000001</v>
      </c>
      <c r="DG186">
        <v>38.049534000000001</v>
      </c>
      <c r="DH186">
        <v>7600</v>
      </c>
      <c r="DI186">
        <v>1000</v>
      </c>
      <c r="DL186">
        <v>18</v>
      </c>
      <c r="DM186">
        <v>15</v>
      </c>
      <c r="DN186">
        <v>30</v>
      </c>
      <c r="DO186">
        <v>5</v>
      </c>
      <c r="DP186">
        <v>10</v>
      </c>
      <c r="DQ186">
        <v>1700</v>
      </c>
      <c r="DS186" t="s">
        <v>322</v>
      </c>
      <c r="DT186">
        <v>1.2500000000000001E-2</v>
      </c>
      <c r="DU186">
        <v>1.2500000000000001E-2</v>
      </c>
      <c r="DV186">
        <v>0.32500000000000001</v>
      </c>
      <c r="DW186">
        <v>0.32500000000000001</v>
      </c>
      <c r="DX186">
        <v>0.32500000000000001</v>
      </c>
      <c r="DY186">
        <v>29.45882563241242</v>
      </c>
      <c r="DZ186" s="4">
        <v>4.5750000000000002</v>
      </c>
      <c r="EA186" s="4" t="s">
        <v>722</v>
      </c>
      <c r="EB186" s="4" t="s">
        <v>723</v>
      </c>
      <c r="EC186">
        <v>5.3360000000000003</v>
      </c>
      <c r="ED186">
        <v>395</v>
      </c>
      <c r="EE186" t="s">
        <v>947</v>
      </c>
      <c r="EF186">
        <v>0.35011022212096449</v>
      </c>
      <c r="EH186">
        <f t="shared" si="5"/>
        <v>0.58000000000000007</v>
      </c>
      <c r="EI186">
        <v>3.38</v>
      </c>
      <c r="EJ186">
        <v>3.65</v>
      </c>
    </row>
    <row r="187" spans="1:140" x14ac:dyDescent="0.35">
      <c r="A187" s="1">
        <v>185</v>
      </c>
      <c r="B187">
        <v>-116.6775099979601</v>
      </c>
      <c r="C187">
        <v>40.350120202708297</v>
      </c>
      <c r="D187" t="s">
        <v>1055</v>
      </c>
      <c r="E187">
        <v>0.1</v>
      </c>
      <c r="F187" t="s">
        <v>135</v>
      </c>
      <c r="G187">
        <v>7.3200000000000001E-2</v>
      </c>
      <c r="H187" t="s">
        <v>161</v>
      </c>
      <c r="I187">
        <v>-12988481</v>
      </c>
      <c r="J187">
        <v>4916952</v>
      </c>
      <c r="K187" t="s">
        <v>712</v>
      </c>
      <c r="L187" t="s">
        <v>1056</v>
      </c>
      <c r="M187">
        <v>9</v>
      </c>
      <c r="N187">
        <v>3.8690000000000002</v>
      </c>
      <c r="O187">
        <v>4</v>
      </c>
      <c r="P187">
        <v>8</v>
      </c>
      <c r="Q187">
        <v>32</v>
      </c>
      <c r="R187">
        <v>15</v>
      </c>
      <c r="S187">
        <v>5732</v>
      </c>
      <c r="T187" t="s">
        <v>714</v>
      </c>
      <c r="U187">
        <v>8.0104643432458005</v>
      </c>
      <c r="V187" t="s">
        <v>712</v>
      </c>
      <c r="W187">
        <v>0.1147</v>
      </c>
      <c r="X187">
        <v>10</v>
      </c>
      <c r="Y187">
        <v>8.9</v>
      </c>
      <c r="Z187">
        <v>8.9</v>
      </c>
      <c r="AA187">
        <v>20</v>
      </c>
      <c r="AB187">
        <v>26</v>
      </c>
      <c r="AC187">
        <v>0.63100000000000001</v>
      </c>
      <c r="AD187">
        <v>67</v>
      </c>
      <c r="AE187">
        <v>0.1002860775588048</v>
      </c>
      <c r="AF187">
        <v>2.86</v>
      </c>
      <c r="AG187" t="s">
        <v>714</v>
      </c>
      <c r="AH187" t="s">
        <v>712</v>
      </c>
      <c r="AI187">
        <v>26</v>
      </c>
      <c r="AJ187">
        <v>8.6666666666666663E-3</v>
      </c>
      <c r="AK187">
        <v>8.6666666666666661</v>
      </c>
      <c r="AL187" t="s">
        <v>1057</v>
      </c>
      <c r="AM187">
        <v>9255.8405100188374</v>
      </c>
      <c r="AN187">
        <v>1.61</v>
      </c>
      <c r="AO187">
        <v>0.09</v>
      </c>
      <c r="AP187">
        <v>0.19</v>
      </c>
      <c r="AQ187">
        <v>1.32</v>
      </c>
      <c r="AR187">
        <v>1.27</v>
      </c>
      <c r="AS187">
        <v>0.04</v>
      </c>
      <c r="AT187">
        <v>0.01</v>
      </c>
      <c r="AU187">
        <v>0.02</v>
      </c>
      <c r="AV187">
        <v>2.59</v>
      </c>
      <c r="AW187">
        <v>1.59</v>
      </c>
      <c r="AX187">
        <v>0.21</v>
      </c>
      <c r="AY187">
        <v>0.53</v>
      </c>
      <c r="AZ187">
        <v>0</v>
      </c>
      <c r="BA187">
        <v>1.35</v>
      </c>
      <c r="BB187">
        <v>0.08</v>
      </c>
      <c r="BC187">
        <v>0.17</v>
      </c>
      <c r="BD187">
        <v>0.27</v>
      </c>
      <c r="BE187">
        <v>6.83</v>
      </c>
      <c r="BF187">
        <v>6.14</v>
      </c>
      <c r="BG187">
        <v>0.24</v>
      </c>
      <c r="BH187">
        <v>0.45</v>
      </c>
      <c r="BI187">
        <v>0</v>
      </c>
      <c r="BJ187">
        <v>0.04</v>
      </c>
      <c r="BK187">
        <v>6.1</v>
      </c>
      <c r="BL187">
        <v>0</v>
      </c>
      <c r="BM187">
        <v>2.1</v>
      </c>
      <c r="BN187">
        <v>0.21</v>
      </c>
      <c r="BO187">
        <v>0.46</v>
      </c>
      <c r="BP187">
        <v>1.43</v>
      </c>
      <c r="BQ187">
        <v>1.25</v>
      </c>
      <c r="BR187">
        <v>0.06</v>
      </c>
      <c r="BS187">
        <v>0.12</v>
      </c>
      <c r="BT187">
        <v>0</v>
      </c>
      <c r="BU187">
        <v>7.24</v>
      </c>
      <c r="BV187">
        <v>6.18</v>
      </c>
      <c r="BW187">
        <v>0.34</v>
      </c>
      <c r="BX187">
        <v>0.72</v>
      </c>
      <c r="BY187">
        <v>0</v>
      </c>
      <c r="BZ187">
        <v>0.04</v>
      </c>
      <c r="CA187">
        <v>6.14</v>
      </c>
      <c r="CB187">
        <v>0</v>
      </c>
      <c r="CC187">
        <f t="shared" si="4"/>
        <v>2.75</v>
      </c>
      <c r="CD187">
        <v>3.96</v>
      </c>
      <c r="CE187">
        <v>0.34230769230769231</v>
      </c>
      <c r="CF187">
        <v>0.44500000000000001</v>
      </c>
      <c r="CG187">
        <v>0.1492537313432836</v>
      </c>
      <c r="CH187">
        <v>0.2206293706293706</v>
      </c>
      <c r="CI187">
        <v>0</v>
      </c>
      <c r="CJ187">
        <v>21370</v>
      </c>
      <c r="CK187" t="s">
        <v>169</v>
      </c>
      <c r="CL187" t="s">
        <v>948</v>
      </c>
      <c r="CM187" t="s">
        <v>143</v>
      </c>
      <c r="CN187">
        <v>1.5075350809500001</v>
      </c>
      <c r="CO187">
        <v>20.19011466483154</v>
      </c>
      <c r="CP187">
        <v>186</v>
      </c>
      <c r="CQ187" t="s">
        <v>712</v>
      </c>
      <c r="CR187">
        <v>223</v>
      </c>
      <c r="CS187" t="s">
        <v>717</v>
      </c>
      <c r="CT187" t="s">
        <v>718</v>
      </c>
      <c r="CU187" t="s">
        <v>315</v>
      </c>
      <c r="CV187" t="s">
        <v>719</v>
      </c>
      <c r="CW187" t="s">
        <v>720</v>
      </c>
      <c r="CX187" t="s">
        <v>721</v>
      </c>
      <c r="CY187" t="s">
        <v>551</v>
      </c>
      <c r="CZ187" t="s">
        <v>319</v>
      </c>
      <c r="DA187" t="s">
        <v>152</v>
      </c>
      <c r="DB187" t="s">
        <v>178</v>
      </c>
      <c r="DC187" t="s">
        <v>207</v>
      </c>
      <c r="DD187" t="s">
        <v>155</v>
      </c>
      <c r="DE187">
        <v>2069</v>
      </c>
      <c r="DF187">
        <v>-121.36967300000001</v>
      </c>
      <c r="DG187">
        <v>38.049534000000001</v>
      </c>
      <c r="DH187">
        <v>7600</v>
      </c>
      <c r="DI187">
        <v>1000</v>
      </c>
      <c r="DL187">
        <v>18</v>
      </c>
      <c r="DM187">
        <v>15</v>
      </c>
      <c r="DN187">
        <v>30</v>
      </c>
      <c r="DO187">
        <v>5</v>
      </c>
      <c r="DP187">
        <v>10</v>
      </c>
      <c r="DQ187">
        <v>1700</v>
      </c>
      <c r="DS187" t="s">
        <v>322</v>
      </c>
      <c r="DT187">
        <v>1.2500000000000001E-2</v>
      </c>
      <c r="DU187">
        <v>1.2500000000000001E-2</v>
      </c>
      <c r="DV187">
        <v>0.32500000000000001</v>
      </c>
      <c r="DW187">
        <v>0.32500000000000001</v>
      </c>
      <c r="DX187">
        <v>0.32500000000000001</v>
      </c>
      <c r="DY187">
        <v>31.745752295701092</v>
      </c>
      <c r="DZ187" s="4">
        <v>4.5750000000000002</v>
      </c>
      <c r="EA187" s="4" t="s">
        <v>722</v>
      </c>
      <c r="EB187" s="4" t="s">
        <v>723</v>
      </c>
      <c r="EC187">
        <v>5.3360000000000003</v>
      </c>
      <c r="ED187">
        <v>734</v>
      </c>
      <c r="EE187" t="s">
        <v>1057</v>
      </c>
      <c r="EF187">
        <v>8.3146083997632986E-2</v>
      </c>
      <c r="EH187">
        <f t="shared" si="5"/>
        <v>0.58000000000000007</v>
      </c>
      <c r="EI187">
        <v>3.38</v>
      </c>
      <c r="EJ187">
        <v>3.65</v>
      </c>
    </row>
    <row r="188" spans="1:140" x14ac:dyDescent="0.35">
      <c r="A188" s="1">
        <v>186</v>
      </c>
      <c r="B188">
        <v>-114.88087942972101</v>
      </c>
      <c r="C188">
        <v>40.350120202708297</v>
      </c>
      <c r="D188" t="s">
        <v>1058</v>
      </c>
      <c r="E188">
        <v>0.1</v>
      </c>
      <c r="F188" t="s">
        <v>135</v>
      </c>
      <c r="G188">
        <v>7.3200000000000001E-2</v>
      </c>
      <c r="H188" t="s">
        <v>161</v>
      </c>
      <c r="I188">
        <v>-12788481</v>
      </c>
      <c r="J188">
        <v>4916952</v>
      </c>
      <c r="K188" t="s">
        <v>712</v>
      </c>
      <c r="L188" t="s">
        <v>1059</v>
      </c>
      <c r="M188">
        <v>5</v>
      </c>
      <c r="N188">
        <v>4.032</v>
      </c>
      <c r="O188">
        <v>4</v>
      </c>
      <c r="P188">
        <v>8</v>
      </c>
      <c r="Q188">
        <v>32</v>
      </c>
      <c r="R188">
        <v>7</v>
      </c>
      <c r="S188">
        <v>53703</v>
      </c>
      <c r="T188" t="s">
        <v>714</v>
      </c>
      <c r="U188">
        <v>8.0104643432458005</v>
      </c>
      <c r="V188" t="s">
        <v>712</v>
      </c>
      <c r="W188">
        <v>0.1147</v>
      </c>
      <c r="X188">
        <v>10</v>
      </c>
      <c r="Y188">
        <v>8.9</v>
      </c>
      <c r="Z188">
        <v>8.9</v>
      </c>
      <c r="AA188">
        <v>20</v>
      </c>
      <c r="AB188">
        <v>26</v>
      </c>
      <c r="AC188">
        <v>0.63100000000000001</v>
      </c>
      <c r="AD188">
        <v>67</v>
      </c>
      <c r="AE188">
        <v>0.1002860775588048</v>
      </c>
      <c r="AF188">
        <v>2.86</v>
      </c>
      <c r="AG188" t="s">
        <v>714</v>
      </c>
      <c r="AH188" t="s">
        <v>712</v>
      </c>
      <c r="AI188">
        <v>26</v>
      </c>
      <c r="AJ188">
        <v>8.6666666666666663E-3</v>
      </c>
      <c r="AK188">
        <v>8.6666666666666661</v>
      </c>
      <c r="AL188" t="s">
        <v>1057</v>
      </c>
      <c r="AM188">
        <v>0</v>
      </c>
      <c r="AN188">
        <v>1.61</v>
      </c>
      <c r="AO188">
        <v>0.09</v>
      </c>
      <c r="AP188">
        <v>0.19</v>
      </c>
      <c r="AQ188">
        <v>1.32</v>
      </c>
      <c r="AR188">
        <v>1.27</v>
      </c>
      <c r="AS188">
        <v>0.04</v>
      </c>
      <c r="AT188">
        <v>0.01</v>
      </c>
      <c r="AU188">
        <v>0.02</v>
      </c>
      <c r="AV188">
        <v>2.59</v>
      </c>
      <c r="AW188">
        <v>1.59</v>
      </c>
      <c r="AX188">
        <v>0.21</v>
      </c>
      <c r="AY188">
        <v>0.53</v>
      </c>
      <c r="AZ188">
        <v>0</v>
      </c>
      <c r="BA188">
        <v>1.35</v>
      </c>
      <c r="BB188">
        <v>0.08</v>
      </c>
      <c r="BC188">
        <v>0.17</v>
      </c>
      <c r="BD188">
        <v>0.27</v>
      </c>
      <c r="BE188">
        <v>6.83</v>
      </c>
      <c r="BF188">
        <v>6.14</v>
      </c>
      <c r="BG188">
        <v>0.24</v>
      </c>
      <c r="BH188">
        <v>0.45</v>
      </c>
      <c r="BI188">
        <v>0</v>
      </c>
      <c r="BJ188">
        <v>0.04</v>
      </c>
      <c r="BK188">
        <v>6.1</v>
      </c>
      <c r="BL188">
        <v>0</v>
      </c>
      <c r="BM188">
        <v>2.1</v>
      </c>
      <c r="BN188">
        <v>0.21</v>
      </c>
      <c r="BO188">
        <v>0.46</v>
      </c>
      <c r="BP188">
        <v>1.43</v>
      </c>
      <c r="BQ188">
        <v>1.25</v>
      </c>
      <c r="BR188">
        <v>0.06</v>
      </c>
      <c r="BS188">
        <v>0.12</v>
      </c>
      <c r="BT188">
        <v>0</v>
      </c>
      <c r="BU188">
        <v>7.24</v>
      </c>
      <c r="BV188">
        <v>6.18</v>
      </c>
      <c r="BW188">
        <v>0.34</v>
      </c>
      <c r="BX188">
        <v>0.72</v>
      </c>
      <c r="BY188">
        <v>0</v>
      </c>
      <c r="BZ188">
        <v>0.04</v>
      </c>
      <c r="CA188">
        <v>6.14</v>
      </c>
      <c r="CB188">
        <v>0</v>
      </c>
      <c r="CC188">
        <f t="shared" si="4"/>
        <v>2.75</v>
      </c>
      <c r="CD188">
        <v>3.96</v>
      </c>
      <c r="CE188">
        <v>0.34230769230769231</v>
      </c>
      <c r="CF188">
        <v>0.44500000000000001</v>
      </c>
      <c r="CG188">
        <v>0.1492537313432836</v>
      </c>
      <c r="CH188">
        <v>0.2206293706293706</v>
      </c>
      <c r="CI188">
        <v>0</v>
      </c>
      <c r="CJ188">
        <v>21371</v>
      </c>
      <c r="CK188" t="s">
        <v>169</v>
      </c>
      <c r="CL188" t="s">
        <v>948</v>
      </c>
      <c r="CM188" t="s">
        <v>143</v>
      </c>
      <c r="CN188">
        <v>0.43845386413199999</v>
      </c>
      <c r="CO188">
        <v>76.448738690479956</v>
      </c>
      <c r="CP188">
        <v>187</v>
      </c>
      <c r="CQ188" t="s">
        <v>712</v>
      </c>
      <c r="CR188">
        <v>223</v>
      </c>
      <c r="CS188" t="s">
        <v>717</v>
      </c>
      <c r="CT188" t="s">
        <v>718</v>
      </c>
      <c r="CU188" t="s">
        <v>315</v>
      </c>
      <c r="CV188" t="s">
        <v>719</v>
      </c>
      <c r="CW188" t="s">
        <v>720</v>
      </c>
      <c r="CX188" t="s">
        <v>721</v>
      </c>
      <c r="CY188" t="s">
        <v>551</v>
      </c>
      <c r="CZ188" t="s">
        <v>319</v>
      </c>
      <c r="DA188" t="s">
        <v>152</v>
      </c>
      <c r="DB188" t="s">
        <v>178</v>
      </c>
      <c r="DC188" t="s">
        <v>207</v>
      </c>
      <c r="DD188" t="s">
        <v>155</v>
      </c>
      <c r="DE188">
        <v>2069</v>
      </c>
      <c r="DF188">
        <v>-121.36967300000001</v>
      </c>
      <c r="DG188">
        <v>38.049534000000001</v>
      </c>
      <c r="DH188">
        <v>7600</v>
      </c>
      <c r="DI188">
        <v>1000</v>
      </c>
      <c r="DL188">
        <v>18</v>
      </c>
      <c r="DM188">
        <v>15</v>
      </c>
      <c r="DN188">
        <v>30</v>
      </c>
      <c r="DO188">
        <v>5</v>
      </c>
      <c r="DP188">
        <v>10</v>
      </c>
      <c r="DQ188">
        <v>1700</v>
      </c>
      <c r="DS188" t="s">
        <v>322</v>
      </c>
      <c r="DT188">
        <v>1.2500000000000001E-2</v>
      </c>
      <c r="DU188">
        <v>1.2500000000000001E-2</v>
      </c>
      <c r="DV188">
        <v>0.32500000000000001</v>
      </c>
      <c r="DW188">
        <v>0.32500000000000001</v>
      </c>
      <c r="DX188">
        <v>0.32500000000000001</v>
      </c>
      <c r="DY188">
        <v>96.257973402686389</v>
      </c>
      <c r="DZ188" s="4">
        <v>4.5750000000000002</v>
      </c>
      <c r="EA188" s="4" t="s">
        <v>722</v>
      </c>
      <c r="EB188" s="4" t="s">
        <v>723</v>
      </c>
      <c r="EC188">
        <v>5.3360000000000003</v>
      </c>
      <c r="ED188">
        <v>734</v>
      </c>
      <c r="EE188" t="s">
        <v>1057</v>
      </c>
      <c r="EF188">
        <v>0</v>
      </c>
      <c r="EH188">
        <f t="shared" si="5"/>
        <v>0.58000000000000007</v>
      </c>
      <c r="EI188">
        <v>3.38</v>
      </c>
      <c r="EJ188">
        <v>3.65</v>
      </c>
    </row>
    <row r="189" spans="1:140" x14ac:dyDescent="0.35">
      <c r="A189" s="1">
        <v>187</v>
      </c>
      <c r="B189">
        <v>-113.084248861482</v>
      </c>
      <c r="C189">
        <v>40.350120202708297</v>
      </c>
      <c r="D189" t="s">
        <v>1060</v>
      </c>
      <c r="E189">
        <v>0.1</v>
      </c>
      <c r="F189" t="s">
        <v>306</v>
      </c>
      <c r="G189">
        <v>4.7399999999999998E-2</v>
      </c>
      <c r="H189" t="s">
        <v>161</v>
      </c>
      <c r="I189">
        <v>-12588481</v>
      </c>
      <c r="J189">
        <v>4916952</v>
      </c>
      <c r="K189" t="s">
        <v>835</v>
      </c>
      <c r="L189" t="s">
        <v>1061</v>
      </c>
      <c r="M189">
        <v>23</v>
      </c>
      <c r="N189">
        <v>3.8490000000000002</v>
      </c>
      <c r="O189">
        <v>4</v>
      </c>
      <c r="P189">
        <v>8</v>
      </c>
      <c r="Q189">
        <v>49</v>
      </c>
      <c r="R189">
        <v>45</v>
      </c>
      <c r="S189">
        <v>72697</v>
      </c>
      <c r="T189" t="s">
        <v>837</v>
      </c>
      <c r="U189">
        <v>5.801348811217232</v>
      </c>
      <c r="V189" t="s">
        <v>835</v>
      </c>
      <c r="W189">
        <v>9.9700000000000011E-2</v>
      </c>
      <c r="X189">
        <v>10</v>
      </c>
      <c r="Y189">
        <v>8.9</v>
      </c>
      <c r="Z189">
        <v>8.9</v>
      </c>
      <c r="AA189">
        <v>20</v>
      </c>
      <c r="AB189">
        <v>26</v>
      </c>
      <c r="AC189">
        <v>1.3220000000000001</v>
      </c>
      <c r="AD189">
        <v>67</v>
      </c>
      <c r="AE189">
        <v>0.21010807374443741</v>
      </c>
      <c r="AF189">
        <v>2.86</v>
      </c>
      <c r="AG189" t="s">
        <v>837</v>
      </c>
      <c r="AH189" t="s">
        <v>835</v>
      </c>
      <c r="AI189">
        <v>38</v>
      </c>
      <c r="AJ189">
        <v>1.266666666666667E-2</v>
      </c>
      <c r="AK189">
        <v>12.66666666666667</v>
      </c>
      <c r="AL189" t="s">
        <v>1062</v>
      </c>
      <c r="AM189">
        <v>0</v>
      </c>
      <c r="AN189">
        <v>1.26</v>
      </c>
      <c r="AO189">
        <v>0.09</v>
      </c>
      <c r="AP189">
        <v>0.19</v>
      </c>
      <c r="AQ189">
        <v>0.97</v>
      </c>
      <c r="AR189">
        <v>0.92</v>
      </c>
      <c r="AS189">
        <v>0.04</v>
      </c>
      <c r="AT189">
        <v>0.01</v>
      </c>
      <c r="AU189">
        <v>0.02</v>
      </c>
      <c r="AV189">
        <v>2.2000000000000002</v>
      </c>
      <c r="AW189">
        <v>1.21</v>
      </c>
      <c r="AX189">
        <v>0.21</v>
      </c>
      <c r="AY189">
        <v>0.53</v>
      </c>
      <c r="AZ189">
        <v>0</v>
      </c>
      <c r="BA189">
        <v>0.97</v>
      </c>
      <c r="BB189">
        <v>0.08</v>
      </c>
      <c r="BC189">
        <v>0.15</v>
      </c>
      <c r="BD189">
        <v>0.27</v>
      </c>
      <c r="BE189">
        <v>6.28</v>
      </c>
      <c r="BF189">
        <v>5.59</v>
      </c>
      <c r="BG189">
        <v>0.24</v>
      </c>
      <c r="BH189">
        <v>0.45</v>
      </c>
      <c r="BI189">
        <v>0</v>
      </c>
      <c r="BJ189">
        <v>0.04</v>
      </c>
      <c r="BK189">
        <v>5.55</v>
      </c>
      <c r="BL189">
        <v>0</v>
      </c>
      <c r="BM189">
        <v>1.74</v>
      </c>
      <c r="BN189">
        <v>0.21</v>
      </c>
      <c r="BO189">
        <v>0.46</v>
      </c>
      <c r="BP189">
        <v>1.07</v>
      </c>
      <c r="BQ189">
        <v>0.9</v>
      </c>
      <c r="BR189">
        <v>0.06</v>
      </c>
      <c r="BS189">
        <v>0.11</v>
      </c>
      <c r="BT189">
        <v>0</v>
      </c>
      <c r="BU189">
        <v>6.68</v>
      </c>
      <c r="BV189">
        <v>5.62</v>
      </c>
      <c r="BW189">
        <v>0.34</v>
      </c>
      <c r="BX189">
        <v>0.72</v>
      </c>
      <c r="BY189">
        <v>0</v>
      </c>
      <c r="BZ189">
        <v>0.04</v>
      </c>
      <c r="CA189">
        <v>5.58</v>
      </c>
      <c r="CB189">
        <v>0</v>
      </c>
      <c r="CC189">
        <f t="shared" si="4"/>
        <v>2.75</v>
      </c>
      <c r="CD189">
        <v>3.96</v>
      </c>
      <c r="CE189">
        <v>0.34230769230769231</v>
      </c>
      <c r="CF189">
        <v>0.44500000000000001</v>
      </c>
      <c r="CG189">
        <v>0.1492537313432836</v>
      </c>
      <c r="CH189">
        <v>0.46223776223776231</v>
      </c>
      <c r="CI189">
        <v>0</v>
      </c>
      <c r="CJ189">
        <v>12205</v>
      </c>
      <c r="CK189" t="s">
        <v>141</v>
      </c>
      <c r="CL189" t="s">
        <v>709</v>
      </c>
      <c r="CM189" t="s">
        <v>143</v>
      </c>
      <c r="CN189">
        <v>0.80339343335400004</v>
      </c>
      <c r="CO189">
        <v>75.562991366470598</v>
      </c>
      <c r="CP189">
        <v>188</v>
      </c>
      <c r="CQ189" t="s">
        <v>1063</v>
      </c>
      <c r="CR189">
        <v>213</v>
      </c>
      <c r="CS189" t="s">
        <v>1064</v>
      </c>
      <c r="CT189" t="s">
        <v>1063</v>
      </c>
      <c r="CU189" t="s">
        <v>837</v>
      </c>
      <c r="CV189" t="s">
        <v>1065</v>
      </c>
      <c r="CW189" t="s">
        <v>1066</v>
      </c>
      <c r="CX189" t="s">
        <v>1067</v>
      </c>
      <c r="CY189" t="s">
        <v>1068</v>
      </c>
      <c r="CZ189" t="s">
        <v>206</v>
      </c>
      <c r="DA189" t="s">
        <v>152</v>
      </c>
      <c r="DB189" t="s">
        <v>178</v>
      </c>
      <c r="DC189" t="s">
        <v>961</v>
      </c>
      <c r="DD189" t="s">
        <v>208</v>
      </c>
      <c r="DE189">
        <v>4436</v>
      </c>
      <c r="DF189">
        <v>-111.185568</v>
      </c>
      <c r="DG189">
        <v>41.139183000000003</v>
      </c>
      <c r="DH189">
        <v>6780</v>
      </c>
      <c r="DI189">
        <v>420</v>
      </c>
      <c r="DJ189">
        <v>2937</v>
      </c>
      <c r="DK189">
        <v>144</v>
      </c>
      <c r="DL189">
        <v>22</v>
      </c>
      <c r="DO189">
        <v>145</v>
      </c>
      <c r="DP189">
        <v>10</v>
      </c>
      <c r="DQ189">
        <v>200</v>
      </c>
      <c r="DS189" t="s">
        <v>1069</v>
      </c>
      <c r="DT189">
        <v>1.2500000000000001E-2</v>
      </c>
      <c r="DU189">
        <v>1.2500000000000001E-2</v>
      </c>
      <c r="DV189">
        <v>0.32500000000000001</v>
      </c>
      <c r="DW189">
        <v>0.32500000000000001</v>
      </c>
      <c r="DX189">
        <v>0.32500000000000001</v>
      </c>
      <c r="DY189">
        <v>103.0299760874297</v>
      </c>
      <c r="DZ189" s="4">
        <v>3.9889999999999999</v>
      </c>
      <c r="EA189" s="4" t="s">
        <v>839</v>
      </c>
      <c r="EB189" s="4" t="s">
        <v>840</v>
      </c>
      <c r="EC189">
        <v>4.7309999999999999</v>
      </c>
      <c r="ED189">
        <v>145</v>
      </c>
      <c r="EE189" t="s">
        <v>1062</v>
      </c>
      <c r="EF189">
        <v>0</v>
      </c>
      <c r="EH189">
        <f t="shared" si="5"/>
        <v>0.58000000000000007</v>
      </c>
      <c r="EI189">
        <v>3.38</v>
      </c>
      <c r="EJ189">
        <v>3.65</v>
      </c>
    </row>
    <row r="190" spans="1:140" x14ac:dyDescent="0.35">
      <c r="A190" s="1">
        <v>188</v>
      </c>
      <c r="B190">
        <v>-111.2876182932429</v>
      </c>
      <c r="C190">
        <v>40.350120202708297</v>
      </c>
      <c r="D190" t="s">
        <v>1070</v>
      </c>
      <c r="E190">
        <v>0.1</v>
      </c>
      <c r="F190" t="s">
        <v>135</v>
      </c>
      <c r="G190">
        <v>0.16109999999999999</v>
      </c>
      <c r="H190" t="s">
        <v>161</v>
      </c>
      <c r="I190">
        <v>-12388481</v>
      </c>
      <c r="J190">
        <v>4916952</v>
      </c>
      <c r="K190" t="s">
        <v>835</v>
      </c>
      <c r="L190" t="s">
        <v>1071</v>
      </c>
      <c r="M190">
        <v>26</v>
      </c>
      <c r="N190">
        <v>3.8290000000000002</v>
      </c>
      <c r="O190">
        <v>4</v>
      </c>
      <c r="P190">
        <v>8</v>
      </c>
      <c r="Q190">
        <v>49</v>
      </c>
      <c r="R190">
        <v>51</v>
      </c>
      <c r="S190">
        <v>34791</v>
      </c>
      <c r="T190" t="s">
        <v>837</v>
      </c>
      <c r="U190">
        <v>5.801348811217232</v>
      </c>
      <c r="V190" t="s">
        <v>835</v>
      </c>
      <c r="W190">
        <v>9.9700000000000011E-2</v>
      </c>
      <c r="X190">
        <v>10</v>
      </c>
      <c r="Y190">
        <v>8.9</v>
      </c>
      <c r="Z190">
        <v>8.9</v>
      </c>
      <c r="AA190">
        <v>20</v>
      </c>
      <c r="AB190">
        <v>26</v>
      </c>
      <c r="AC190">
        <v>1.3220000000000001</v>
      </c>
      <c r="AD190">
        <v>67</v>
      </c>
      <c r="AE190">
        <v>0.21010807374443741</v>
      </c>
      <c r="AF190">
        <v>2.86</v>
      </c>
      <c r="AG190" t="s">
        <v>837</v>
      </c>
      <c r="AH190" t="s">
        <v>835</v>
      </c>
      <c r="AI190">
        <v>38</v>
      </c>
      <c r="AJ190">
        <v>1.266666666666667E-2</v>
      </c>
      <c r="AK190">
        <v>12.66666666666667</v>
      </c>
      <c r="AL190" t="s">
        <v>1072</v>
      </c>
      <c r="AM190">
        <v>0</v>
      </c>
      <c r="AN190">
        <v>1.26</v>
      </c>
      <c r="AO190">
        <v>0.09</v>
      </c>
      <c r="AP190">
        <v>0.19</v>
      </c>
      <c r="AQ190">
        <v>0.97</v>
      </c>
      <c r="AR190">
        <v>0.92</v>
      </c>
      <c r="AS190">
        <v>0.04</v>
      </c>
      <c r="AT190">
        <v>0.01</v>
      </c>
      <c r="AU190">
        <v>0.02</v>
      </c>
      <c r="AV190">
        <v>2.2000000000000002</v>
      </c>
      <c r="AW190">
        <v>1.21</v>
      </c>
      <c r="AX190">
        <v>0.21</v>
      </c>
      <c r="AY190">
        <v>0.53</v>
      </c>
      <c r="AZ190">
        <v>0</v>
      </c>
      <c r="BA190">
        <v>0.97</v>
      </c>
      <c r="BB190">
        <v>0.08</v>
      </c>
      <c r="BC190">
        <v>0.15</v>
      </c>
      <c r="BD190">
        <v>0.27</v>
      </c>
      <c r="BE190">
        <v>6.28</v>
      </c>
      <c r="BF190">
        <v>5.59</v>
      </c>
      <c r="BG190">
        <v>0.24</v>
      </c>
      <c r="BH190">
        <v>0.45</v>
      </c>
      <c r="BI190">
        <v>0</v>
      </c>
      <c r="BJ190">
        <v>0.04</v>
      </c>
      <c r="BK190">
        <v>5.55</v>
      </c>
      <c r="BL190">
        <v>0</v>
      </c>
      <c r="BM190">
        <v>1.74</v>
      </c>
      <c r="BN190">
        <v>0.21</v>
      </c>
      <c r="BO190">
        <v>0.46</v>
      </c>
      <c r="BP190">
        <v>1.07</v>
      </c>
      <c r="BQ190">
        <v>0.9</v>
      </c>
      <c r="BR190">
        <v>0.06</v>
      </c>
      <c r="BS190">
        <v>0.11</v>
      </c>
      <c r="BT190">
        <v>0</v>
      </c>
      <c r="BU190">
        <v>6.68</v>
      </c>
      <c r="BV190">
        <v>5.62</v>
      </c>
      <c r="BW190">
        <v>0.34</v>
      </c>
      <c r="BX190">
        <v>0.72</v>
      </c>
      <c r="BY190">
        <v>0</v>
      </c>
      <c r="BZ190">
        <v>0.04</v>
      </c>
      <c r="CA190">
        <v>5.58</v>
      </c>
      <c r="CB190">
        <v>0</v>
      </c>
      <c r="CC190">
        <f t="shared" si="4"/>
        <v>2.75</v>
      </c>
      <c r="CD190">
        <v>3.96</v>
      </c>
      <c r="CE190">
        <v>0.34230769230769231</v>
      </c>
      <c r="CF190">
        <v>0.44500000000000001</v>
      </c>
      <c r="CG190">
        <v>0.1492537313432836</v>
      </c>
      <c r="CH190">
        <v>0.46223776223776231</v>
      </c>
      <c r="CI190">
        <v>0</v>
      </c>
      <c r="CJ190">
        <v>31090</v>
      </c>
      <c r="CK190" t="s">
        <v>141</v>
      </c>
      <c r="CL190" t="s">
        <v>965</v>
      </c>
      <c r="CM190" t="s">
        <v>143</v>
      </c>
      <c r="CN190">
        <v>0.51642434918799995</v>
      </c>
      <c r="CO190">
        <v>37.454728498609228</v>
      </c>
      <c r="CP190">
        <v>189</v>
      </c>
      <c r="CQ190" t="s">
        <v>957</v>
      </c>
      <c r="CR190">
        <v>91</v>
      </c>
      <c r="CS190" t="s">
        <v>452</v>
      </c>
      <c r="CT190" t="s">
        <v>453</v>
      </c>
      <c r="CU190" t="s">
        <v>454</v>
      </c>
      <c r="CV190" t="s">
        <v>455</v>
      </c>
      <c r="CW190" t="s">
        <v>456</v>
      </c>
      <c r="CX190" t="s">
        <v>457</v>
      </c>
      <c r="CY190" t="s">
        <v>458</v>
      </c>
      <c r="CZ190" t="s">
        <v>206</v>
      </c>
      <c r="DA190" t="s">
        <v>152</v>
      </c>
      <c r="DB190" t="s">
        <v>153</v>
      </c>
      <c r="DC190" t="s">
        <v>459</v>
      </c>
      <c r="DD190" t="s">
        <v>208</v>
      </c>
      <c r="DE190">
        <v>1466</v>
      </c>
      <c r="DF190">
        <v>-108.330134</v>
      </c>
      <c r="DG190">
        <v>37.163961999999998</v>
      </c>
      <c r="DH190">
        <v>8275</v>
      </c>
      <c r="DI190">
        <v>1000</v>
      </c>
      <c r="DJ190">
        <v>3475</v>
      </c>
      <c r="DK190">
        <v>178</v>
      </c>
      <c r="DL190">
        <v>7.5</v>
      </c>
      <c r="DO190">
        <v>9</v>
      </c>
      <c r="DR190">
        <v>112500</v>
      </c>
      <c r="DS190">
        <v>42</v>
      </c>
      <c r="DT190">
        <v>1.2500000000000001E-2</v>
      </c>
      <c r="DU190">
        <v>1.2500000000000001E-2</v>
      </c>
      <c r="DV190">
        <v>0.32500000000000001</v>
      </c>
      <c r="DW190">
        <v>0.32500000000000001</v>
      </c>
      <c r="DX190">
        <v>0.32500000000000001</v>
      </c>
      <c r="DY190">
        <v>16.2112193379429</v>
      </c>
      <c r="DZ190" s="4">
        <v>3.9889999999999999</v>
      </c>
      <c r="EA190" s="4" t="s">
        <v>839</v>
      </c>
      <c r="EB190" s="4" t="s">
        <v>840</v>
      </c>
      <c r="EC190">
        <v>4.7309999999999999</v>
      </c>
      <c r="ED190">
        <v>229</v>
      </c>
      <c r="EE190" t="s">
        <v>1072</v>
      </c>
      <c r="EF190">
        <v>0</v>
      </c>
      <c r="EH190">
        <f t="shared" si="5"/>
        <v>0.58000000000000007</v>
      </c>
      <c r="EI190">
        <v>3.38</v>
      </c>
      <c r="EJ190">
        <v>3.65</v>
      </c>
    </row>
    <row r="191" spans="1:140" x14ac:dyDescent="0.35">
      <c r="A191" s="1">
        <v>189</v>
      </c>
      <c r="B191">
        <v>-109.4909877250039</v>
      </c>
      <c r="C191">
        <v>40.350120202708297</v>
      </c>
      <c r="D191" t="s">
        <v>1073</v>
      </c>
      <c r="E191">
        <v>0.02</v>
      </c>
      <c r="F191" t="s">
        <v>160</v>
      </c>
      <c r="G191">
        <v>0.16109999999999999</v>
      </c>
      <c r="H191" t="s">
        <v>161</v>
      </c>
      <c r="I191">
        <v>-12188481</v>
      </c>
      <c r="J191">
        <v>4916952</v>
      </c>
      <c r="K191" t="s">
        <v>835</v>
      </c>
      <c r="L191" t="s">
        <v>1074</v>
      </c>
      <c r="M191">
        <v>24</v>
      </c>
      <c r="N191">
        <v>4.0019999999999998</v>
      </c>
      <c r="O191">
        <v>4</v>
      </c>
      <c r="P191">
        <v>8</v>
      </c>
      <c r="Q191">
        <v>49</v>
      </c>
      <c r="R191">
        <v>47</v>
      </c>
      <c r="S191">
        <v>35613</v>
      </c>
      <c r="T191" t="s">
        <v>837</v>
      </c>
      <c r="U191">
        <v>5.801348811217232</v>
      </c>
      <c r="V191" t="s">
        <v>835</v>
      </c>
      <c r="W191">
        <v>9.9700000000000011E-2</v>
      </c>
      <c r="X191">
        <v>10</v>
      </c>
      <c r="Y191">
        <v>8.9</v>
      </c>
      <c r="Z191">
        <v>8.9</v>
      </c>
      <c r="AA191">
        <v>20</v>
      </c>
      <c r="AB191">
        <v>26</v>
      </c>
      <c r="AC191">
        <v>1.3220000000000001</v>
      </c>
      <c r="AD191">
        <v>67</v>
      </c>
      <c r="AE191">
        <v>0.21010807374443741</v>
      </c>
      <c r="AF191">
        <v>2.86</v>
      </c>
      <c r="AG191" t="s">
        <v>837</v>
      </c>
      <c r="AH191" t="s">
        <v>835</v>
      </c>
      <c r="AI191">
        <v>38</v>
      </c>
      <c r="AJ191">
        <v>1.266666666666667E-2</v>
      </c>
      <c r="AK191">
        <v>12.66666666666667</v>
      </c>
      <c r="AL191" t="s">
        <v>1075</v>
      </c>
      <c r="AM191">
        <v>0</v>
      </c>
      <c r="AN191">
        <v>1.26</v>
      </c>
      <c r="AO191">
        <v>0.09</v>
      </c>
      <c r="AP191">
        <v>0.19</v>
      </c>
      <c r="AQ191">
        <v>0.97</v>
      </c>
      <c r="AR191">
        <v>0.92</v>
      </c>
      <c r="AS191">
        <v>0.04</v>
      </c>
      <c r="AT191">
        <v>0.01</v>
      </c>
      <c r="AU191">
        <v>0.02</v>
      </c>
      <c r="AV191">
        <v>2.2000000000000002</v>
      </c>
      <c r="AW191">
        <v>1.21</v>
      </c>
      <c r="AX191">
        <v>0.21</v>
      </c>
      <c r="AY191">
        <v>0.53</v>
      </c>
      <c r="AZ191">
        <v>0</v>
      </c>
      <c r="BA191">
        <v>0.97</v>
      </c>
      <c r="BB191">
        <v>0.08</v>
      </c>
      <c r="BC191">
        <v>0.15</v>
      </c>
      <c r="BD191">
        <v>0.27</v>
      </c>
      <c r="BE191">
        <v>6.28</v>
      </c>
      <c r="BF191">
        <v>5.59</v>
      </c>
      <c r="BG191">
        <v>0.24</v>
      </c>
      <c r="BH191">
        <v>0.45</v>
      </c>
      <c r="BI191">
        <v>0</v>
      </c>
      <c r="BJ191">
        <v>0.04</v>
      </c>
      <c r="BK191">
        <v>5.55</v>
      </c>
      <c r="BL191">
        <v>0</v>
      </c>
      <c r="BM191">
        <v>1.74</v>
      </c>
      <c r="BN191">
        <v>0.21</v>
      </c>
      <c r="BO191">
        <v>0.46</v>
      </c>
      <c r="BP191">
        <v>1.07</v>
      </c>
      <c r="BQ191">
        <v>0.9</v>
      </c>
      <c r="BR191">
        <v>0.06</v>
      </c>
      <c r="BS191">
        <v>0.11</v>
      </c>
      <c r="BT191">
        <v>0</v>
      </c>
      <c r="BU191">
        <v>6.68</v>
      </c>
      <c r="BV191">
        <v>5.62</v>
      </c>
      <c r="BW191">
        <v>0.34</v>
      </c>
      <c r="BX191">
        <v>0.72</v>
      </c>
      <c r="BY191">
        <v>0</v>
      </c>
      <c r="BZ191">
        <v>0.04</v>
      </c>
      <c r="CA191">
        <v>5.58</v>
      </c>
      <c r="CB191">
        <v>0</v>
      </c>
      <c r="CC191">
        <f t="shared" si="4"/>
        <v>2.75</v>
      </c>
      <c r="CD191">
        <v>3.96</v>
      </c>
      <c r="CE191">
        <v>0.34230769230769231</v>
      </c>
      <c r="CF191">
        <v>0.44500000000000001</v>
      </c>
      <c r="CG191">
        <v>0.1492537313432836</v>
      </c>
      <c r="CH191">
        <v>0.46223776223776231</v>
      </c>
      <c r="CI191">
        <v>0</v>
      </c>
      <c r="CJ191">
        <v>31045</v>
      </c>
      <c r="CK191" t="s">
        <v>141</v>
      </c>
      <c r="CL191" t="s">
        <v>965</v>
      </c>
      <c r="CM191" t="s">
        <v>143</v>
      </c>
      <c r="CN191">
        <v>1.0858093085</v>
      </c>
      <c r="CO191">
        <v>9.3751017431325643</v>
      </c>
      <c r="CP191">
        <v>190</v>
      </c>
      <c r="CQ191" t="s">
        <v>957</v>
      </c>
      <c r="CR191">
        <v>91</v>
      </c>
      <c r="CS191" t="s">
        <v>452</v>
      </c>
      <c r="CT191" t="s">
        <v>453</v>
      </c>
      <c r="CU191" t="s">
        <v>454</v>
      </c>
      <c r="CV191" t="s">
        <v>455</v>
      </c>
      <c r="CW191" t="s">
        <v>456</v>
      </c>
      <c r="CX191" t="s">
        <v>457</v>
      </c>
      <c r="CY191" t="s">
        <v>458</v>
      </c>
      <c r="CZ191" t="s">
        <v>206</v>
      </c>
      <c r="DA191" t="s">
        <v>152</v>
      </c>
      <c r="DB191" t="s">
        <v>153</v>
      </c>
      <c r="DC191" t="s">
        <v>459</v>
      </c>
      <c r="DD191" t="s">
        <v>208</v>
      </c>
      <c r="DE191">
        <v>1466</v>
      </c>
      <c r="DF191">
        <v>-108.330134</v>
      </c>
      <c r="DG191">
        <v>37.163961999999998</v>
      </c>
      <c r="DH191">
        <v>8275</v>
      </c>
      <c r="DI191">
        <v>1000</v>
      </c>
      <c r="DJ191">
        <v>3475</v>
      </c>
      <c r="DK191">
        <v>178</v>
      </c>
      <c r="DL191">
        <v>7.5</v>
      </c>
      <c r="DO191">
        <v>9</v>
      </c>
      <c r="DR191">
        <v>112500</v>
      </c>
      <c r="DS191">
        <v>42</v>
      </c>
      <c r="DT191">
        <v>1.2500000000000001E-2</v>
      </c>
      <c r="DU191">
        <v>1.2500000000000001E-2</v>
      </c>
      <c r="DV191">
        <v>0.32500000000000001</v>
      </c>
      <c r="DW191">
        <v>0.32500000000000001</v>
      </c>
      <c r="DX191">
        <v>0.32500000000000001</v>
      </c>
      <c r="DY191">
        <v>0</v>
      </c>
      <c r="DZ191" s="4">
        <v>3.9889999999999999</v>
      </c>
      <c r="EA191" s="4" t="s">
        <v>839</v>
      </c>
      <c r="EB191" s="4" t="s">
        <v>840</v>
      </c>
      <c r="EC191">
        <v>4.7309999999999999</v>
      </c>
      <c r="ED191">
        <v>269</v>
      </c>
      <c r="EE191" t="s">
        <v>1075</v>
      </c>
      <c r="EF191">
        <v>0</v>
      </c>
      <c r="EH191">
        <f t="shared" si="5"/>
        <v>0.58000000000000007</v>
      </c>
      <c r="EI191">
        <v>3.38</v>
      </c>
      <c r="EJ191">
        <v>3.65</v>
      </c>
    </row>
    <row r="192" spans="1:140" x14ac:dyDescent="0.35">
      <c r="A192" s="1">
        <v>190</v>
      </c>
      <c r="B192">
        <v>-107.6943571567648</v>
      </c>
      <c r="C192">
        <v>40.350120202708297</v>
      </c>
      <c r="D192" t="s">
        <v>1076</v>
      </c>
      <c r="E192">
        <v>0.02</v>
      </c>
      <c r="F192" t="s">
        <v>160</v>
      </c>
      <c r="G192">
        <v>4.6100000000000002E-2</v>
      </c>
      <c r="H192" t="s">
        <v>161</v>
      </c>
      <c r="I192">
        <v>-11988481</v>
      </c>
      <c r="J192">
        <v>4916952</v>
      </c>
      <c r="K192" t="s">
        <v>847</v>
      </c>
      <c r="L192" t="s">
        <v>1077</v>
      </c>
      <c r="M192">
        <v>42</v>
      </c>
      <c r="N192">
        <v>4.4059999999999997</v>
      </c>
      <c r="O192">
        <v>4</v>
      </c>
      <c r="P192">
        <v>8</v>
      </c>
      <c r="Q192">
        <v>8</v>
      </c>
      <c r="R192">
        <v>81</v>
      </c>
      <c r="S192">
        <v>13291</v>
      </c>
      <c r="T192" t="s">
        <v>454</v>
      </c>
      <c r="U192">
        <v>6.9386621113594797</v>
      </c>
      <c r="V192" t="s">
        <v>847</v>
      </c>
      <c r="W192">
        <v>0.1207</v>
      </c>
      <c r="X192">
        <v>10</v>
      </c>
      <c r="Y192">
        <v>8.9</v>
      </c>
      <c r="Z192">
        <v>8.9</v>
      </c>
      <c r="AA192">
        <v>20</v>
      </c>
      <c r="AB192">
        <v>26</v>
      </c>
      <c r="AC192">
        <v>0.95799999999999996</v>
      </c>
      <c r="AD192">
        <v>67</v>
      </c>
      <c r="AE192">
        <v>0.15225683407501589</v>
      </c>
      <c r="AF192">
        <v>2.86</v>
      </c>
      <c r="AG192" t="s">
        <v>454</v>
      </c>
      <c r="AH192" t="s">
        <v>847</v>
      </c>
      <c r="AI192">
        <v>39</v>
      </c>
      <c r="AJ192">
        <v>1.2999999999999999E-2</v>
      </c>
      <c r="AK192">
        <v>13</v>
      </c>
      <c r="AL192" t="s">
        <v>1078</v>
      </c>
      <c r="AM192">
        <v>0</v>
      </c>
      <c r="AN192">
        <v>1.44</v>
      </c>
      <c r="AO192">
        <v>0.09</v>
      </c>
      <c r="AP192">
        <v>0.19</v>
      </c>
      <c r="AQ192">
        <v>1.1599999999999999</v>
      </c>
      <c r="AR192">
        <v>1.1000000000000001</v>
      </c>
      <c r="AS192">
        <v>0.04</v>
      </c>
      <c r="AT192">
        <v>0.02</v>
      </c>
      <c r="AU192">
        <v>0.02</v>
      </c>
      <c r="AV192">
        <v>2.42</v>
      </c>
      <c r="AW192">
        <v>1.43</v>
      </c>
      <c r="AX192">
        <v>0.21</v>
      </c>
      <c r="AY192">
        <v>0.53</v>
      </c>
      <c r="AZ192">
        <v>0</v>
      </c>
      <c r="BA192">
        <v>1.17</v>
      </c>
      <c r="BB192">
        <v>0.08</v>
      </c>
      <c r="BC192">
        <v>0.18</v>
      </c>
      <c r="BD192">
        <v>0.27</v>
      </c>
      <c r="BE192">
        <v>7.39</v>
      </c>
      <c r="BF192">
        <v>6.7</v>
      </c>
      <c r="BG192">
        <v>0.24</v>
      </c>
      <c r="BH192">
        <v>0.45</v>
      </c>
      <c r="BI192">
        <v>0</v>
      </c>
      <c r="BJ192">
        <v>0.04</v>
      </c>
      <c r="BK192">
        <v>6.66</v>
      </c>
      <c r="BL192">
        <v>0</v>
      </c>
      <c r="BM192">
        <v>1.94</v>
      </c>
      <c r="BN192">
        <v>0.21</v>
      </c>
      <c r="BO192">
        <v>0.46</v>
      </c>
      <c r="BP192">
        <v>1.27</v>
      </c>
      <c r="BQ192">
        <v>1.08</v>
      </c>
      <c r="BR192">
        <v>0.06</v>
      </c>
      <c r="BS192">
        <v>0.13</v>
      </c>
      <c r="BT192">
        <v>0</v>
      </c>
      <c r="BU192">
        <v>7.79</v>
      </c>
      <c r="BV192">
        <v>6.73</v>
      </c>
      <c r="BW192">
        <v>0.34</v>
      </c>
      <c r="BX192">
        <v>0.72</v>
      </c>
      <c r="BY192">
        <v>0</v>
      </c>
      <c r="BZ192">
        <v>0.04</v>
      </c>
      <c r="CA192">
        <v>6.7</v>
      </c>
      <c r="CB192">
        <v>0</v>
      </c>
      <c r="CC192">
        <f t="shared" si="4"/>
        <v>2.75</v>
      </c>
      <c r="CD192">
        <v>3.96</v>
      </c>
      <c r="CE192">
        <v>0.34230769230769231</v>
      </c>
      <c r="CF192">
        <v>0.44500000000000001</v>
      </c>
      <c r="CG192">
        <v>0.1492537313432836</v>
      </c>
      <c r="CH192">
        <v>0.33496503496503499</v>
      </c>
      <c r="CI192">
        <v>0</v>
      </c>
      <c r="CJ192">
        <v>31372</v>
      </c>
      <c r="CK192" t="s">
        <v>141</v>
      </c>
      <c r="CL192" t="s">
        <v>1079</v>
      </c>
      <c r="CM192" t="s">
        <v>143</v>
      </c>
      <c r="CN192">
        <v>1.2585426709200001</v>
      </c>
      <c r="CO192">
        <v>25.22937188447882</v>
      </c>
      <c r="CP192">
        <v>191</v>
      </c>
      <c r="CQ192" t="s">
        <v>1080</v>
      </c>
      <c r="CR192">
        <v>132</v>
      </c>
      <c r="CS192" t="s">
        <v>1081</v>
      </c>
      <c r="CT192" t="s">
        <v>577</v>
      </c>
      <c r="CU192" t="s">
        <v>454</v>
      </c>
      <c r="CV192" t="s">
        <v>1082</v>
      </c>
      <c r="CW192" t="s">
        <v>1083</v>
      </c>
      <c r="CX192" t="s">
        <v>1084</v>
      </c>
      <c r="CY192" t="s">
        <v>1085</v>
      </c>
      <c r="CZ192" t="s">
        <v>206</v>
      </c>
      <c r="DA192" t="s">
        <v>152</v>
      </c>
      <c r="DB192" t="s">
        <v>178</v>
      </c>
      <c r="DC192" t="s">
        <v>365</v>
      </c>
      <c r="DD192" t="s">
        <v>582</v>
      </c>
      <c r="DE192">
        <v>17376</v>
      </c>
      <c r="DF192">
        <v>-107.684203</v>
      </c>
      <c r="DG192">
        <v>40.148758000000001</v>
      </c>
      <c r="DH192">
        <v>6382</v>
      </c>
      <c r="DI192">
        <v>435</v>
      </c>
      <c r="DJ192">
        <v>2765</v>
      </c>
      <c r="DK192">
        <v>137</v>
      </c>
      <c r="DL192">
        <v>14</v>
      </c>
      <c r="DO192">
        <v>30</v>
      </c>
      <c r="DR192">
        <v>49000</v>
      </c>
      <c r="DS192" t="s">
        <v>583</v>
      </c>
      <c r="DT192">
        <v>1.2500000000000001E-2</v>
      </c>
      <c r="DU192">
        <v>1.2500000000000001E-2</v>
      </c>
      <c r="DV192">
        <v>0.32500000000000001</v>
      </c>
      <c r="DW192">
        <v>0.32500000000000001</v>
      </c>
      <c r="DX192">
        <v>0.32500000000000001</v>
      </c>
      <c r="DY192">
        <v>0</v>
      </c>
      <c r="DZ192" s="4">
        <v>3.86</v>
      </c>
      <c r="EA192" s="4" t="s">
        <v>851</v>
      </c>
      <c r="EB192" s="4" t="s">
        <v>852</v>
      </c>
      <c r="EC192">
        <v>4.4279999999999999</v>
      </c>
      <c r="ED192">
        <v>570</v>
      </c>
      <c r="EE192" t="s">
        <v>1078</v>
      </c>
      <c r="EF192">
        <v>0</v>
      </c>
      <c r="EH192">
        <f t="shared" si="5"/>
        <v>0.58000000000000007</v>
      </c>
      <c r="EI192">
        <v>3.38</v>
      </c>
      <c r="EJ192">
        <v>3.65</v>
      </c>
    </row>
    <row r="193" spans="1:140" x14ac:dyDescent="0.35">
      <c r="A193" s="1">
        <v>191</v>
      </c>
      <c r="B193">
        <v>-105.8977265885258</v>
      </c>
      <c r="C193">
        <v>40.350120202708297</v>
      </c>
      <c r="D193" t="s">
        <v>1086</v>
      </c>
      <c r="E193">
        <v>0.02</v>
      </c>
      <c r="F193" t="s">
        <v>160</v>
      </c>
      <c r="G193">
        <v>4.6100000000000002E-2</v>
      </c>
      <c r="H193" t="s">
        <v>161</v>
      </c>
      <c r="I193">
        <v>-11788481</v>
      </c>
      <c r="J193">
        <v>4916952</v>
      </c>
      <c r="K193" t="s">
        <v>847</v>
      </c>
      <c r="L193" t="s">
        <v>967</v>
      </c>
      <c r="M193">
        <v>26</v>
      </c>
      <c r="N193">
        <v>3.8250000000000002</v>
      </c>
      <c r="O193">
        <v>4</v>
      </c>
      <c r="P193">
        <v>8</v>
      </c>
      <c r="Q193">
        <v>8</v>
      </c>
      <c r="R193">
        <v>49</v>
      </c>
      <c r="S193">
        <v>15717</v>
      </c>
      <c r="T193" t="s">
        <v>454</v>
      </c>
      <c r="U193">
        <v>6.9386621113594797</v>
      </c>
      <c r="V193" t="s">
        <v>847</v>
      </c>
      <c r="W193">
        <v>0.1207</v>
      </c>
      <c r="X193">
        <v>10</v>
      </c>
      <c r="Y193">
        <v>8.9</v>
      </c>
      <c r="Z193">
        <v>8.9</v>
      </c>
      <c r="AA193">
        <v>20</v>
      </c>
      <c r="AB193">
        <v>26</v>
      </c>
      <c r="AC193">
        <v>0.95799999999999996</v>
      </c>
      <c r="AD193">
        <v>67</v>
      </c>
      <c r="AE193">
        <v>0.15225683407501589</v>
      </c>
      <c r="AF193">
        <v>2.86</v>
      </c>
      <c r="AG193" t="s">
        <v>454</v>
      </c>
      <c r="AH193" t="s">
        <v>847</v>
      </c>
      <c r="AI193">
        <v>39</v>
      </c>
      <c r="AJ193">
        <v>1.2999999999999999E-2</v>
      </c>
      <c r="AK193">
        <v>13</v>
      </c>
      <c r="AL193" t="s">
        <v>1087</v>
      </c>
      <c r="AM193">
        <v>13029.057390960539</v>
      </c>
      <c r="AN193">
        <v>1.44</v>
      </c>
      <c r="AO193">
        <v>0.09</v>
      </c>
      <c r="AP193">
        <v>0.19</v>
      </c>
      <c r="AQ193">
        <v>1.1599999999999999</v>
      </c>
      <c r="AR193">
        <v>1.1000000000000001</v>
      </c>
      <c r="AS193">
        <v>0.04</v>
      </c>
      <c r="AT193">
        <v>0.02</v>
      </c>
      <c r="AU193">
        <v>0.02</v>
      </c>
      <c r="AV193">
        <v>2.42</v>
      </c>
      <c r="AW193">
        <v>1.43</v>
      </c>
      <c r="AX193">
        <v>0.21</v>
      </c>
      <c r="AY193">
        <v>0.53</v>
      </c>
      <c r="AZ193">
        <v>0</v>
      </c>
      <c r="BA193">
        <v>1.17</v>
      </c>
      <c r="BB193">
        <v>0.08</v>
      </c>
      <c r="BC193">
        <v>0.18</v>
      </c>
      <c r="BD193">
        <v>0.27</v>
      </c>
      <c r="BE193">
        <v>7.39</v>
      </c>
      <c r="BF193">
        <v>6.7</v>
      </c>
      <c r="BG193">
        <v>0.24</v>
      </c>
      <c r="BH193">
        <v>0.45</v>
      </c>
      <c r="BI193">
        <v>0</v>
      </c>
      <c r="BJ193">
        <v>0.04</v>
      </c>
      <c r="BK193">
        <v>6.66</v>
      </c>
      <c r="BL193">
        <v>0</v>
      </c>
      <c r="BM193">
        <v>1.94</v>
      </c>
      <c r="BN193">
        <v>0.21</v>
      </c>
      <c r="BO193">
        <v>0.46</v>
      </c>
      <c r="BP193">
        <v>1.27</v>
      </c>
      <c r="BQ193">
        <v>1.08</v>
      </c>
      <c r="BR193">
        <v>0.06</v>
      </c>
      <c r="BS193">
        <v>0.13</v>
      </c>
      <c r="BT193">
        <v>0</v>
      </c>
      <c r="BU193">
        <v>7.79</v>
      </c>
      <c r="BV193">
        <v>6.73</v>
      </c>
      <c r="BW193">
        <v>0.34</v>
      </c>
      <c r="BX193">
        <v>0.72</v>
      </c>
      <c r="BY193">
        <v>0</v>
      </c>
      <c r="BZ193">
        <v>0.04</v>
      </c>
      <c r="CA193">
        <v>6.7</v>
      </c>
      <c r="CB193">
        <v>0</v>
      </c>
      <c r="CC193">
        <f t="shared" si="4"/>
        <v>2.75</v>
      </c>
      <c r="CD193">
        <v>3.96</v>
      </c>
      <c r="CE193">
        <v>0.34230769230769231</v>
      </c>
      <c r="CF193">
        <v>0.44500000000000001</v>
      </c>
      <c r="CG193">
        <v>0.1492537313432836</v>
      </c>
      <c r="CH193">
        <v>0.33496503496503499</v>
      </c>
      <c r="CI193">
        <v>0</v>
      </c>
      <c r="CJ193">
        <v>3527</v>
      </c>
      <c r="CK193" t="s">
        <v>141</v>
      </c>
      <c r="CL193" t="s">
        <v>738</v>
      </c>
      <c r="CM193" t="s">
        <v>143</v>
      </c>
      <c r="CN193">
        <v>0.128407738104</v>
      </c>
      <c r="CO193">
        <v>74.000266384636461</v>
      </c>
      <c r="CP193">
        <v>192</v>
      </c>
      <c r="CQ193" t="s">
        <v>575</v>
      </c>
      <c r="CR193">
        <v>126</v>
      </c>
      <c r="CS193" t="s">
        <v>576</v>
      </c>
      <c r="CT193" t="s">
        <v>577</v>
      </c>
      <c r="CU193" t="s">
        <v>333</v>
      </c>
      <c r="CV193" t="s">
        <v>578</v>
      </c>
      <c r="CW193" t="s">
        <v>579</v>
      </c>
      <c r="CX193" t="s">
        <v>580</v>
      </c>
      <c r="CY193" t="s">
        <v>581</v>
      </c>
      <c r="CZ193" t="s">
        <v>206</v>
      </c>
      <c r="DA193" t="s">
        <v>152</v>
      </c>
      <c r="DB193" t="s">
        <v>178</v>
      </c>
      <c r="DC193" t="s">
        <v>365</v>
      </c>
      <c r="DD193" t="s">
        <v>582</v>
      </c>
      <c r="DE193">
        <v>8520</v>
      </c>
      <c r="DF193">
        <v>-107.652666</v>
      </c>
      <c r="DG193">
        <v>36.368147</v>
      </c>
      <c r="DH193">
        <v>5511</v>
      </c>
      <c r="DI193">
        <v>883</v>
      </c>
      <c r="DJ193">
        <v>2388</v>
      </c>
      <c r="DK193">
        <v>123</v>
      </c>
      <c r="DL193">
        <v>13</v>
      </c>
      <c r="DO193">
        <v>15</v>
      </c>
      <c r="DR193">
        <v>20000</v>
      </c>
      <c r="DS193" t="s">
        <v>583</v>
      </c>
      <c r="DT193">
        <v>1.2500000000000001E-2</v>
      </c>
      <c r="DU193">
        <v>1.2500000000000001E-2</v>
      </c>
      <c r="DV193">
        <v>0.32500000000000001</v>
      </c>
      <c r="DW193">
        <v>0.32500000000000001</v>
      </c>
      <c r="DX193">
        <v>0.32500000000000001</v>
      </c>
      <c r="DY193">
        <v>0</v>
      </c>
      <c r="DZ193" s="4">
        <v>3.86</v>
      </c>
      <c r="EA193" s="4" t="s">
        <v>851</v>
      </c>
      <c r="EB193" s="4" t="s">
        <v>852</v>
      </c>
      <c r="EC193">
        <v>4.4279999999999999</v>
      </c>
      <c r="ED193">
        <v>196</v>
      </c>
      <c r="EE193" t="s">
        <v>1087</v>
      </c>
      <c r="EF193">
        <v>0.1089982889406894</v>
      </c>
      <c r="EH193">
        <f t="shared" si="5"/>
        <v>0.58000000000000007</v>
      </c>
      <c r="EI193">
        <v>3.38</v>
      </c>
      <c r="EJ193">
        <v>3.65</v>
      </c>
    </row>
    <row r="194" spans="1:140" x14ac:dyDescent="0.35">
      <c r="A194" s="1">
        <v>192</v>
      </c>
      <c r="B194">
        <v>-104.1010960202868</v>
      </c>
      <c r="C194">
        <v>40.350120202708297</v>
      </c>
      <c r="D194" t="s">
        <v>1088</v>
      </c>
      <c r="E194">
        <v>0.02</v>
      </c>
      <c r="F194" t="s">
        <v>160</v>
      </c>
      <c r="G194">
        <v>4.6100000000000002E-2</v>
      </c>
      <c r="H194" t="s">
        <v>161</v>
      </c>
      <c r="I194">
        <v>-11588481</v>
      </c>
      <c r="J194">
        <v>4916952</v>
      </c>
      <c r="K194" t="s">
        <v>847</v>
      </c>
      <c r="L194" t="s">
        <v>1089</v>
      </c>
      <c r="M194">
        <v>45</v>
      </c>
      <c r="N194">
        <v>3.863</v>
      </c>
      <c r="O194">
        <v>4</v>
      </c>
      <c r="P194">
        <v>8</v>
      </c>
      <c r="Q194">
        <v>8</v>
      </c>
      <c r="R194">
        <v>87</v>
      </c>
      <c r="S194">
        <v>29106</v>
      </c>
      <c r="T194" t="s">
        <v>454</v>
      </c>
      <c r="U194">
        <v>6.9386621113594797</v>
      </c>
      <c r="V194" t="s">
        <v>847</v>
      </c>
      <c r="W194">
        <v>0.1207</v>
      </c>
      <c r="X194">
        <v>10</v>
      </c>
      <c r="Y194">
        <v>8.9</v>
      </c>
      <c r="Z194">
        <v>8.9</v>
      </c>
      <c r="AA194">
        <v>20</v>
      </c>
      <c r="AB194">
        <v>26</v>
      </c>
      <c r="AC194">
        <v>0.95799999999999996</v>
      </c>
      <c r="AD194">
        <v>67</v>
      </c>
      <c r="AE194">
        <v>0.15225683407501589</v>
      </c>
      <c r="AF194">
        <v>2.86</v>
      </c>
      <c r="AG194" t="s">
        <v>454</v>
      </c>
      <c r="AH194" t="s">
        <v>847</v>
      </c>
      <c r="AI194">
        <v>39</v>
      </c>
      <c r="AJ194">
        <v>1.2999999999999999E-2</v>
      </c>
      <c r="AK194">
        <v>13</v>
      </c>
      <c r="AL194" t="s">
        <v>1090</v>
      </c>
      <c r="AM194">
        <v>0</v>
      </c>
      <c r="AN194">
        <v>1.44</v>
      </c>
      <c r="AO194">
        <v>0.09</v>
      </c>
      <c r="AP194">
        <v>0.19</v>
      </c>
      <c r="AQ194">
        <v>1.1599999999999999</v>
      </c>
      <c r="AR194">
        <v>1.1000000000000001</v>
      </c>
      <c r="AS194">
        <v>0.04</v>
      </c>
      <c r="AT194">
        <v>0.02</v>
      </c>
      <c r="AU194">
        <v>0.02</v>
      </c>
      <c r="AV194">
        <v>2.42</v>
      </c>
      <c r="AW194">
        <v>1.43</v>
      </c>
      <c r="AX194">
        <v>0.21</v>
      </c>
      <c r="AY194">
        <v>0.53</v>
      </c>
      <c r="AZ194">
        <v>0</v>
      </c>
      <c r="BA194">
        <v>1.17</v>
      </c>
      <c r="BB194">
        <v>0.08</v>
      </c>
      <c r="BC194">
        <v>0.18</v>
      </c>
      <c r="BD194">
        <v>0.27</v>
      </c>
      <c r="BE194">
        <v>7.39</v>
      </c>
      <c r="BF194">
        <v>6.7</v>
      </c>
      <c r="BG194">
        <v>0.24</v>
      </c>
      <c r="BH194">
        <v>0.45</v>
      </c>
      <c r="BI194">
        <v>0</v>
      </c>
      <c r="BJ194">
        <v>0.04</v>
      </c>
      <c r="BK194">
        <v>6.66</v>
      </c>
      <c r="BL194">
        <v>0</v>
      </c>
      <c r="BM194">
        <v>1.94</v>
      </c>
      <c r="BN194">
        <v>0.21</v>
      </c>
      <c r="BO194">
        <v>0.46</v>
      </c>
      <c r="BP194">
        <v>1.27</v>
      </c>
      <c r="BQ194">
        <v>1.08</v>
      </c>
      <c r="BR194">
        <v>0.06</v>
      </c>
      <c r="BS194">
        <v>0.13</v>
      </c>
      <c r="BT194">
        <v>0</v>
      </c>
      <c r="BU194">
        <v>7.79</v>
      </c>
      <c r="BV194">
        <v>6.73</v>
      </c>
      <c r="BW194">
        <v>0.34</v>
      </c>
      <c r="BX194">
        <v>0.72</v>
      </c>
      <c r="BY194">
        <v>0</v>
      </c>
      <c r="BZ194">
        <v>0.04</v>
      </c>
      <c r="CA194">
        <v>6.7</v>
      </c>
      <c r="CB194">
        <v>0</v>
      </c>
      <c r="CC194">
        <f t="shared" si="4"/>
        <v>2.75</v>
      </c>
      <c r="CD194">
        <v>3.96</v>
      </c>
      <c r="CE194">
        <v>0.34230769230769231</v>
      </c>
      <c r="CF194">
        <v>0.44500000000000001</v>
      </c>
      <c r="CG194">
        <v>0.1492537313432836</v>
      </c>
      <c r="CH194">
        <v>0.33496503496503499</v>
      </c>
      <c r="CI194">
        <v>0</v>
      </c>
      <c r="CJ194">
        <v>3352</v>
      </c>
      <c r="CK194" t="s">
        <v>141</v>
      </c>
      <c r="CL194" t="s">
        <v>738</v>
      </c>
      <c r="CM194" t="s">
        <v>143</v>
      </c>
      <c r="CN194">
        <v>0.35878680840900001</v>
      </c>
      <c r="CO194">
        <v>18.275954354145991</v>
      </c>
      <c r="CP194">
        <v>193</v>
      </c>
      <c r="CQ194" t="s">
        <v>575</v>
      </c>
      <c r="CR194">
        <v>126</v>
      </c>
      <c r="CS194" t="s">
        <v>576</v>
      </c>
      <c r="CT194" t="s">
        <v>577</v>
      </c>
      <c r="CU194" t="s">
        <v>333</v>
      </c>
      <c r="CV194" t="s">
        <v>578</v>
      </c>
      <c r="CW194" t="s">
        <v>579</v>
      </c>
      <c r="CX194" t="s">
        <v>580</v>
      </c>
      <c r="CY194" t="s">
        <v>581</v>
      </c>
      <c r="CZ194" t="s">
        <v>206</v>
      </c>
      <c r="DA194" t="s">
        <v>152</v>
      </c>
      <c r="DB194" t="s">
        <v>178</v>
      </c>
      <c r="DC194" t="s">
        <v>365</v>
      </c>
      <c r="DD194" t="s">
        <v>582</v>
      </c>
      <c r="DE194">
        <v>8520</v>
      </c>
      <c r="DF194">
        <v>-107.652666</v>
      </c>
      <c r="DG194">
        <v>36.368147</v>
      </c>
      <c r="DH194">
        <v>5511</v>
      </c>
      <c r="DI194">
        <v>883</v>
      </c>
      <c r="DJ194">
        <v>2388</v>
      </c>
      <c r="DK194">
        <v>123</v>
      </c>
      <c r="DL194">
        <v>13</v>
      </c>
      <c r="DO194">
        <v>15</v>
      </c>
      <c r="DR194">
        <v>20000</v>
      </c>
      <c r="DS194" t="s">
        <v>583</v>
      </c>
      <c r="DT194">
        <v>1.2500000000000001E-2</v>
      </c>
      <c r="DU194">
        <v>1.2500000000000001E-2</v>
      </c>
      <c r="DV194">
        <v>0.32500000000000001</v>
      </c>
      <c r="DW194">
        <v>0.32500000000000001</v>
      </c>
      <c r="DX194">
        <v>0.32500000000000001</v>
      </c>
      <c r="DY194">
        <v>0</v>
      </c>
      <c r="DZ194" s="4">
        <v>3.86</v>
      </c>
      <c r="EA194" s="4" t="s">
        <v>851</v>
      </c>
      <c r="EB194" s="4" t="s">
        <v>852</v>
      </c>
      <c r="EC194">
        <v>4.4279999999999999</v>
      </c>
      <c r="ED194">
        <v>447</v>
      </c>
      <c r="EE194" t="s">
        <v>1090</v>
      </c>
      <c r="EF194">
        <v>0</v>
      </c>
      <c r="EH194">
        <f t="shared" si="5"/>
        <v>0.58000000000000007</v>
      </c>
      <c r="EI194">
        <v>3.38</v>
      </c>
      <c r="EJ194">
        <v>3.65</v>
      </c>
    </row>
    <row r="195" spans="1:140" x14ac:dyDescent="0.35">
      <c r="A195" s="1">
        <v>193</v>
      </c>
      <c r="B195">
        <v>-102.30446545204769</v>
      </c>
      <c r="C195">
        <v>40.350120202708297</v>
      </c>
      <c r="D195" t="s">
        <v>1091</v>
      </c>
      <c r="E195">
        <v>0.02</v>
      </c>
      <c r="F195" t="s">
        <v>160</v>
      </c>
      <c r="G195">
        <v>4.6100000000000002E-2</v>
      </c>
      <c r="H195" t="s">
        <v>161</v>
      </c>
      <c r="I195">
        <v>-11388481</v>
      </c>
      <c r="J195">
        <v>4916952</v>
      </c>
      <c r="K195" t="s">
        <v>847</v>
      </c>
      <c r="L195" t="s">
        <v>1092</v>
      </c>
      <c r="M195">
        <v>64</v>
      </c>
      <c r="N195">
        <v>3.8660000000000001</v>
      </c>
      <c r="O195">
        <v>4</v>
      </c>
      <c r="P195">
        <v>8</v>
      </c>
      <c r="Q195">
        <v>8</v>
      </c>
      <c r="R195">
        <v>125</v>
      </c>
      <c r="S195">
        <v>9990</v>
      </c>
      <c r="T195" t="s">
        <v>454</v>
      </c>
      <c r="U195">
        <v>6.9386621113594797</v>
      </c>
      <c r="V195" t="s">
        <v>847</v>
      </c>
      <c r="W195">
        <v>0.1207</v>
      </c>
      <c r="X195">
        <v>10</v>
      </c>
      <c r="Y195">
        <v>8.9</v>
      </c>
      <c r="Z195">
        <v>8.9</v>
      </c>
      <c r="AA195">
        <v>20</v>
      </c>
      <c r="AB195">
        <v>26</v>
      </c>
      <c r="AC195">
        <v>0.95799999999999996</v>
      </c>
      <c r="AD195">
        <v>67</v>
      </c>
      <c r="AE195">
        <v>0.15225683407501589</v>
      </c>
      <c r="AF195">
        <v>2.86</v>
      </c>
      <c r="AG195" t="s">
        <v>454</v>
      </c>
      <c r="AH195" t="s">
        <v>847</v>
      </c>
      <c r="AI195">
        <v>39</v>
      </c>
      <c r="AJ195">
        <v>1.2999999999999999E-2</v>
      </c>
      <c r="AK195">
        <v>13</v>
      </c>
      <c r="AL195" t="s">
        <v>1093</v>
      </c>
      <c r="AM195">
        <v>42140.267613352837</v>
      </c>
      <c r="AN195">
        <v>1.44</v>
      </c>
      <c r="AO195">
        <v>0.09</v>
      </c>
      <c r="AP195">
        <v>0.19</v>
      </c>
      <c r="AQ195">
        <v>1.1599999999999999</v>
      </c>
      <c r="AR195">
        <v>1.1000000000000001</v>
      </c>
      <c r="AS195">
        <v>0.04</v>
      </c>
      <c r="AT195">
        <v>0.02</v>
      </c>
      <c r="AU195">
        <v>0.02</v>
      </c>
      <c r="AV195">
        <v>2.42</v>
      </c>
      <c r="AW195">
        <v>1.43</v>
      </c>
      <c r="AX195">
        <v>0.21</v>
      </c>
      <c r="AY195">
        <v>0.53</v>
      </c>
      <c r="AZ195">
        <v>0</v>
      </c>
      <c r="BA195">
        <v>1.17</v>
      </c>
      <c r="BB195">
        <v>0.08</v>
      </c>
      <c r="BC195">
        <v>0.18</v>
      </c>
      <c r="BD195">
        <v>0.27</v>
      </c>
      <c r="BE195">
        <v>7.39</v>
      </c>
      <c r="BF195">
        <v>6.7</v>
      </c>
      <c r="BG195">
        <v>0.24</v>
      </c>
      <c r="BH195">
        <v>0.45</v>
      </c>
      <c r="BI195">
        <v>0</v>
      </c>
      <c r="BJ195">
        <v>0.04</v>
      </c>
      <c r="BK195">
        <v>6.66</v>
      </c>
      <c r="BL195">
        <v>0</v>
      </c>
      <c r="BM195">
        <v>1.94</v>
      </c>
      <c r="BN195">
        <v>0.21</v>
      </c>
      <c r="BO195">
        <v>0.46</v>
      </c>
      <c r="BP195">
        <v>1.27</v>
      </c>
      <c r="BQ195">
        <v>1.08</v>
      </c>
      <c r="BR195">
        <v>0.06</v>
      </c>
      <c r="BS195">
        <v>0.13</v>
      </c>
      <c r="BT195">
        <v>0</v>
      </c>
      <c r="BU195">
        <v>7.79</v>
      </c>
      <c r="BV195">
        <v>6.73</v>
      </c>
      <c r="BW195">
        <v>0.34</v>
      </c>
      <c r="BX195">
        <v>0.72</v>
      </c>
      <c r="BY195">
        <v>0</v>
      </c>
      <c r="BZ195">
        <v>0.04</v>
      </c>
      <c r="CA195">
        <v>6.7</v>
      </c>
      <c r="CB195">
        <v>0</v>
      </c>
      <c r="CC195">
        <f t="shared" ref="CC195:CC258" si="6">6.71-CD195</f>
        <v>2.75</v>
      </c>
      <c r="CD195">
        <v>3.96</v>
      </c>
      <c r="CE195">
        <v>0.34230769230769231</v>
      </c>
      <c r="CF195">
        <v>0.44500000000000001</v>
      </c>
      <c r="CG195">
        <v>0.1492537313432836</v>
      </c>
      <c r="CH195">
        <v>0.33496503496503499</v>
      </c>
      <c r="CI195">
        <v>0</v>
      </c>
      <c r="CJ195">
        <v>31756</v>
      </c>
      <c r="CK195" t="s">
        <v>141</v>
      </c>
      <c r="CL195" t="s">
        <v>757</v>
      </c>
      <c r="CM195" t="s">
        <v>143</v>
      </c>
      <c r="CN195">
        <v>0.63680447572400001</v>
      </c>
      <c r="CO195">
        <v>6.2667900389835181</v>
      </c>
      <c r="CP195">
        <v>194</v>
      </c>
      <c r="CQ195" t="s">
        <v>575</v>
      </c>
      <c r="CR195">
        <v>126</v>
      </c>
      <c r="CS195" t="s">
        <v>576</v>
      </c>
      <c r="CT195" t="s">
        <v>577</v>
      </c>
      <c r="CU195" t="s">
        <v>333</v>
      </c>
      <c r="CV195" t="s">
        <v>578</v>
      </c>
      <c r="CW195" t="s">
        <v>579</v>
      </c>
      <c r="CX195" t="s">
        <v>580</v>
      </c>
      <c r="CY195" t="s">
        <v>581</v>
      </c>
      <c r="CZ195" t="s">
        <v>206</v>
      </c>
      <c r="DA195" t="s">
        <v>152</v>
      </c>
      <c r="DB195" t="s">
        <v>178</v>
      </c>
      <c r="DC195" t="s">
        <v>365</v>
      </c>
      <c r="DD195" t="s">
        <v>582</v>
      </c>
      <c r="DE195">
        <v>8520</v>
      </c>
      <c r="DF195">
        <v>-107.652666</v>
      </c>
      <c r="DG195">
        <v>36.368147</v>
      </c>
      <c r="DH195">
        <v>5511</v>
      </c>
      <c r="DI195">
        <v>883</v>
      </c>
      <c r="DJ195">
        <v>2388</v>
      </c>
      <c r="DK195">
        <v>123</v>
      </c>
      <c r="DL195">
        <v>13</v>
      </c>
      <c r="DO195">
        <v>15</v>
      </c>
      <c r="DR195">
        <v>20000</v>
      </c>
      <c r="DS195" t="s">
        <v>583</v>
      </c>
      <c r="DT195">
        <v>1.2500000000000001E-2</v>
      </c>
      <c r="DU195">
        <v>1.2500000000000001E-2</v>
      </c>
      <c r="DV195">
        <v>0.32500000000000001</v>
      </c>
      <c r="DW195">
        <v>0.32500000000000001</v>
      </c>
      <c r="DX195">
        <v>0.32500000000000001</v>
      </c>
      <c r="DY195">
        <v>0</v>
      </c>
      <c r="DZ195" s="4">
        <v>3.86</v>
      </c>
      <c r="EA195" s="4" t="s">
        <v>851</v>
      </c>
      <c r="EB195" s="4" t="s">
        <v>852</v>
      </c>
      <c r="EC195">
        <v>4.4279999999999999</v>
      </c>
      <c r="ED195">
        <v>542</v>
      </c>
      <c r="EE195" t="s">
        <v>1093</v>
      </c>
      <c r="EF195">
        <v>0.37101224498609742</v>
      </c>
      <c r="EH195">
        <f t="shared" ref="EH195:EH258" si="7">0.39+0.19</f>
        <v>0.58000000000000007</v>
      </c>
      <c r="EI195">
        <v>3.38</v>
      </c>
      <c r="EJ195">
        <v>3.65</v>
      </c>
    </row>
    <row r="196" spans="1:140" x14ac:dyDescent="0.35">
      <c r="A196" s="1">
        <v>194</v>
      </c>
      <c r="B196">
        <v>-100.5078348838087</v>
      </c>
      <c r="C196">
        <v>40.350120202708297</v>
      </c>
      <c r="D196" t="s">
        <v>1094</v>
      </c>
      <c r="E196">
        <v>0.1</v>
      </c>
      <c r="F196" t="s">
        <v>135</v>
      </c>
      <c r="G196">
        <v>4.8399999999999999E-2</v>
      </c>
      <c r="H196" t="s">
        <v>161</v>
      </c>
      <c r="I196">
        <v>-11188481</v>
      </c>
      <c r="J196">
        <v>4916952</v>
      </c>
      <c r="K196" t="s">
        <v>1095</v>
      </c>
      <c r="L196" t="s">
        <v>1096</v>
      </c>
      <c r="M196">
        <v>73</v>
      </c>
      <c r="N196">
        <v>3.778</v>
      </c>
      <c r="O196">
        <v>2</v>
      </c>
      <c r="P196">
        <v>4</v>
      </c>
      <c r="Q196">
        <v>31</v>
      </c>
      <c r="R196">
        <v>145</v>
      </c>
      <c r="S196">
        <v>10705</v>
      </c>
      <c r="T196" t="s">
        <v>1097</v>
      </c>
      <c r="U196">
        <v>5.5212672729120094</v>
      </c>
      <c r="V196" t="s">
        <v>1095</v>
      </c>
      <c r="W196">
        <v>9.0700000000000003E-2</v>
      </c>
      <c r="X196">
        <v>10</v>
      </c>
      <c r="Y196">
        <v>8.9</v>
      </c>
      <c r="Z196">
        <v>8.9</v>
      </c>
      <c r="AA196">
        <v>20</v>
      </c>
      <c r="AB196">
        <v>26</v>
      </c>
      <c r="AC196">
        <v>1.0820000000000001</v>
      </c>
      <c r="AD196">
        <v>67</v>
      </c>
      <c r="AE196">
        <v>0.1719643992371265</v>
      </c>
      <c r="AF196">
        <v>2.86</v>
      </c>
      <c r="AG196" t="s">
        <v>1097</v>
      </c>
      <c r="AH196" t="s">
        <v>1095</v>
      </c>
      <c r="AI196">
        <v>23</v>
      </c>
      <c r="AJ196">
        <v>7.6666666666666662E-3</v>
      </c>
      <c r="AK196">
        <v>7.6666666666666661</v>
      </c>
      <c r="AL196" t="s">
        <v>1098</v>
      </c>
      <c r="AM196">
        <v>45954.397425261617</v>
      </c>
      <c r="AN196">
        <v>1.22</v>
      </c>
      <c r="AO196">
        <v>0.09</v>
      </c>
      <c r="AP196">
        <v>0.19</v>
      </c>
      <c r="AQ196">
        <v>0.93</v>
      </c>
      <c r="AR196">
        <v>0.87</v>
      </c>
      <c r="AS196">
        <v>0.04</v>
      </c>
      <c r="AT196">
        <v>0.01</v>
      </c>
      <c r="AU196">
        <v>0.02</v>
      </c>
      <c r="AV196">
        <v>2.14</v>
      </c>
      <c r="AW196">
        <v>1.1399999999999999</v>
      </c>
      <c r="AX196">
        <v>0.21</v>
      </c>
      <c r="AY196">
        <v>0.53</v>
      </c>
      <c r="AZ196">
        <v>0</v>
      </c>
      <c r="BA196">
        <v>0.93</v>
      </c>
      <c r="BB196">
        <v>0.08</v>
      </c>
      <c r="BC196">
        <v>0.14000000000000001</v>
      </c>
      <c r="BD196">
        <v>0.27</v>
      </c>
      <c r="BE196">
        <v>5.72</v>
      </c>
      <c r="BF196">
        <v>5.03</v>
      </c>
      <c r="BG196">
        <v>0.24</v>
      </c>
      <c r="BH196">
        <v>0.45</v>
      </c>
      <c r="BI196">
        <v>0</v>
      </c>
      <c r="BJ196">
        <v>0.04</v>
      </c>
      <c r="BK196">
        <v>4.99</v>
      </c>
      <c r="BL196">
        <v>0</v>
      </c>
      <c r="BM196">
        <v>1.69</v>
      </c>
      <c r="BN196">
        <v>0.21</v>
      </c>
      <c r="BO196">
        <v>0.46</v>
      </c>
      <c r="BP196">
        <v>1.02</v>
      </c>
      <c r="BQ196">
        <v>0.86</v>
      </c>
      <c r="BR196">
        <v>0.06</v>
      </c>
      <c r="BS196">
        <v>0.1</v>
      </c>
      <c r="BT196">
        <v>0</v>
      </c>
      <c r="BU196">
        <v>6.12</v>
      </c>
      <c r="BV196">
        <v>5.0599999999999996</v>
      </c>
      <c r="BW196">
        <v>0.34</v>
      </c>
      <c r="BX196">
        <v>0.72</v>
      </c>
      <c r="BY196">
        <v>0</v>
      </c>
      <c r="BZ196">
        <v>0.04</v>
      </c>
      <c r="CA196">
        <v>5.0199999999999996</v>
      </c>
      <c r="CB196">
        <v>0</v>
      </c>
      <c r="CC196">
        <f t="shared" si="6"/>
        <v>2.75</v>
      </c>
      <c r="CD196">
        <v>3.96</v>
      </c>
      <c r="CE196">
        <v>0.34230769230769231</v>
      </c>
      <c r="CF196">
        <v>0.44500000000000001</v>
      </c>
      <c r="CG196">
        <v>0.1492537313432836</v>
      </c>
      <c r="CH196">
        <v>0.37832167832167829</v>
      </c>
      <c r="CI196">
        <v>0</v>
      </c>
      <c r="CJ196">
        <v>25909</v>
      </c>
      <c r="CK196" t="s">
        <v>141</v>
      </c>
      <c r="CL196" t="s">
        <v>1099</v>
      </c>
      <c r="CM196" t="s">
        <v>143</v>
      </c>
      <c r="CN196">
        <v>0.35861262264499999</v>
      </c>
      <c r="CO196">
        <v>37.657869834414939</v>
      </c>
      <c r="CP196">
        <v>195</v>
      </c>
      <c r="CQ196" t="s">
        <v>859</v>
      </c>
      <c r="CR196">
        <v>4</v>
      </c>
      <c r="CS196" t="s">
        <v>860</v>
      </c>
      <c r="CT196" t="s">
        <v>486</v>
      </c>
      <c r="CU196" t="s">
        <v>861</v>
      </c>
      <c r="CV196" t="s">
        <v>862</v>
      </c>
      <c r="CW196" t="s">
        <v>863</v>
      </c>
      <c r="CX196" t="s">
        <v>864</v>
      </c>
      <c r="CY196" t="s">
        <v>865</v>
      </c>
      <c r="CZ196" t="s">
        <v>206</v>
      </c>
      <c r="DA196" t="s">
        <v>152</v>
      </c>
      <c r="DB196" t="s">
        <v>491</v>
      </c>
      <c r="DC196" t="s">
        <v>459</v>
      </c>
      <c r="DD196" t="s">
        <v>492</v>
      </c>
      <c r="DE196">
        <v>32460</v>
      </c>
      <c r="DF196">
        <v>-99.205699999999993</v>
      </c>
      <c r="DG196">
        <v>37.695</v>
      </c>
      <c r="DH196">
        <v>5365</v>
      </c>
      <c r="DI196">
        <v>720</v>
      </c>
      <c r="DJ196">
        <v>2333</v>
      </c>
      <c r="DK196">
        <v>114</v>
      </c>
      <c r="DL196">
        <v>10</v>
      </c>
      <c r="DO196">
        <v>50</v>
      </c>
      <c r="DP196">
        <v>0.1</v>
      </c>
      <c r="DQ196">
        <v>1500</v>
      </c>
      <c r="DR196" t="s">
        <v>866</v>
      </c>
      <c r="DS196" t="s">
        <v>867</v>
      </c>
      <c r="DT196">
        <v>1.2500000000000001E-2</v>
      </c>
      <c r="DU196">
        <v>1.2500000000000001E-2</v>
      </c>
      <c r="DV196">
        <v>0.32500000000000001</v>
      </c>
      <c r="DW196">
        <v>0.32500000000000001</v>
      </c>
      <c r="DX196">
        <v>0.32500000000000001</v>
      </c>
      <c r="DY196">
        <v>32.155099404349677</v>
      </c>
      <c r="DZ196" s="4">
        <v>3.6080000000000001</v>
      </c>
      <c r="EA196" s="4" t="s">
        <v>1100</v>
      </c>
      <c r="EB196" s="4" t="s">
        <v>1101</v>
      </c>
      <c r="EC196">
        <v>4.3140000000000001</v>
      </c>
      <c r="ED196">
        <v>473</v>
      </c>
      <c r="EE196" t="s">
        <v>1102</v>
      </c>
      <c r="EF196">
        <v>0.3501609420017478</v>
      </c>
      <c r="EH196">
        <f t="shared" si="7"/>
        <v>0.58000000000000007</v>
      </c>
      <c r="EI196">
        <v>3.38</v>
      </c>
      <c r="EJ196">
        <v>3.65</v>
      </c>
    </row>
    <row r="197" spans="1:140" x14ac:dyDescent="0.35">
      <c r="A197" s="1">
        <v>195</v>
      </c>
      <c r="B197">
        <v>-98.711204315569631</v>
      </c>
      <c r="C197">
        <v>40.350120202708297</v>
      </c>
      <c r="D197" t="s">
        <v>1103</v>
      </c>
      <c r="E197">
        <v>0.1</v>
      </c>
      <c r="F197" t="s">
        <v>135</v>
      </c>
      <c r="G197">
        <v>4.8399999999999999E-2</v>
      </c>
      <c r="H197" t="s">
        <v>161</v>
      </c>
      <c r="I197">
        <v>-10988481</v>
      </c>
      <c r="J197">
        <v>4916952</v>
      </c>
      <c r="K197" t="s">
        <v>1095</v>
      </c>
      <c r="L197" t="s">
        <v>1104</v>
      </c>
      <c r="M197">
        <v>91</v>
      </c>
      <c r="N197">
        <v>3.5920000000000001</v>
      </c>
      <c r="O197">
        <v>2</v>
      </c>
      <c r="P197">
        <v>4</v>
      </c>
      <c r="Q197">
        <v>31</v>
      </c>
      <c r="R197">
        <v>181</v>
      </c>
      <c r="S197">
        <v>3396</v>
      </c>
      <c r="T197" t="s">
        <v>1097</v>
      </c>
      <c r="U197">
        <v>5.5212672729120094</v>
      </c>
      <c r="V197" t="s">
        <v>1095</v>
      </c>
      <c r="W197">
        <v>9.0700000000000003E-2</v>
      </c>
      <c r="X197">
        <v>10</v>
      </c>
      <c r="Y197">
        <v>8.9</v>
      </c>
      <c r="Z197">
        <v>8.9</v>
      </c>
      <c r="AA197">
        <v>20</v>
      </c>
      <c r="AB197">
        <v>26</v>
      </c>
      <c r="AC197">
        <v>1.0820000000000001</v>
      </c>
      <c r="AD197">
        <v>67</v>
      </c>
      <c r="AE197">
        <v>0.1719643992371265</v>
      </c>
      <c r="AF197">
        <v>2.86</v>
      </c>
      <c r="AG197" t="s">
        <v>1097</v>
      </c>
      <c r="AH197" t="s">
        <v>1095</v>
      </c>
      <c r="AI197">
        <v>23</v>
      </c>
      <c r="AJ197">
        <v>7.6666666666666662E-3</v>
      </c>
      <c r="AK197">
        <v>7.6666666666666661</v>
      </c>
      <c r="AL197" t="s">
        <v>1105</v>
      </c>
      <c r="AM197">
        <v>36.220019420396021</v>
      </c>
      <c r="AN197">
        <v>1.22</v>
      </c>
      <c r="AO197">
        <v>0.09</v>
      </c>
      <c r="AP197">
        <v>0.19</v>
      </c>
      <c r="AQ197">
        <v>0.93</v>
      </c>
      <c r="AR197">
        <v>0.87</v>
      </c>
      <c r="AS197">
        <v>0.04</v>
      </c>
      <c r="AT197">
        <v>0.01</v>
      </c>
      <c r="AU197">
        <v>0.02</v>
      </c>
      <c r="AV197">
        <v>2.14</v>
      </c>
      <c r="AW197">
        <v>1.1399999999999999</v>
      </c>
      <c r="AX197">
        <v>0.21</v>
      </c>
      <c r="AY197">
        <v>0.53</v>
      </c>
      <c r="AZ197">
        <v>0</v>
      </c>
      <c r="BA197">
        <v>0.93</v>
      </c>
      <c r="BB197">
        <v>0.08</v>
      </c>
      <c r="BC197">
        <v>0.14000000000000001</v>
      </c>
      <c r="BD197">
        <v>0.27</v>
      </c>
      <c r="BE197">
        <v>5.72</v>
      </c>
      <c r="BF197">
        <v>5.03</v>
      </c>
      <c r="BG197">
        <v>0.24</v>
      </c>
      <c r="BH197">
        <v>0.45</v>
      </c>
      <c r="BI197">
        <v>0</v>
      </c>
      <c r="BJ197">
        <v>0.04</v>
      </c>
      <c r="BK197">
        <v>4.99</v>
      </c>
      <c r="BL197">
        <v>0</v>
      </c>
      <c r="BM197">
        <v>1.69</v>
      </c>
      <c r="BN197">
        <v>0.21</v>
      </c>
      <c r="BO197">
        <v>0.46</v>
      </c>
      <c r="BP197">
        <v>1.02</v>
      </c>
      <c r="BQ197">
        <v>0.86</v>
      </c>
      <c r="BR197">
        <v>0.06</v>
      </c>
      <c r="BS197">
        <v>0.1</v>
      </c>
      <c r="BT197">
        <v>0</v>
      </c>
      <c r="BU197">
        <v>6.12</v>
      </c>
      <c r="BV197">
        <v>5.0599999999999996</v>
      </c>
      <c r="BW197">
        <v>0.34</v>
      </c>
      <c r="BX197">
        <v>0.72</v>
      </c>
      <c r="BY197">
        <v>0</v>
      </c>
      <c r="BZ197">
        <v>0.04</v>
      </c>
      <c r="CA197">
        <v>5.0199999999999996</v>
      </c>
      <c r="CB197">
        <v>0</v>
      </c>
      <c r="CC197">
        <f t="shared" si="6"/>
        <v>2.75</v>
      </c>
      <c r="CD197">
        <v>3.96</v>
      </c>
      <c r="CE197">
        <v>0.34230769230769231</v>
      </c>
      <c r="CF197">
        <v>0.44500000000000001</v>
      </c>
      <c r="CG197">
        <v>0.1492537313432836</v>
      </c>
      <c r="CH197">
        <v>0.37832167832167829</v>
      </c>
      <c r="CI197">
        <v>0</v>
      </c>
      <c r="CJ197">
        <v>31103</v>
      </c>
      <c r="CK197" t="s">
        <v>141</v>
      </c>
      <c r="CL197" t="s">
        <v>1106</v>
      </c>
      <c r="CM197" t="s">
        <v>143</v>
      </c>
      <c r="CN197">
        <v>0.124794792972</v>
      </c>
      <c r="CO197">
        <v>3.299272194894217</v>
      </c>
      <c r="CP197">
        <v>196</v>
      </c>
      <c r="CQ197" t="s">
        <v>859</v>
      </c>
      <c r="CR197">
        <v>4</v>
      </c>
      <c r="CS197" t="s">
        <v>860</v>
      </c>
      <c r="CT197" t="s">
        <v>486</v>
      </c>
      <c r="CU197" t="s">
        <v>861</v>
      </c>
      <c r="CV197" t="s">
        <v>862</v>
      </c>
      <c r="CW197" t="s">
        <v>863</v>
      </c>
      <c r="CX197" t="s">
        <v>864</v>
      </c>
      <c r="CY197" t="s">
        <v>865</v>
      </c>
      <c r="CZ197" t="s">
        <v>206</v>
      </c>
      <c r="DA197" t="s">
        <v>152</v>
      </c>
      <c r="DB197" t="s">
        <v>491</v>
      </c>
      <c r="DC197" t="s">
        <v>459</v>
      </c>
      <c r="DD197" t="s">
        <v>492</v>
      </c>
      <c r="DE197">
        <v>32460</v>
      </c>
      <c r="DF197">
        <v>-99.205699999999993</v>
      </c>
      <c r="DG197">
        <v>37.695</v>
      </c>
      <c r="DH197">
        <v>5365</v>
      </c>
      <c r="DI197">
        <v>720</v>
      </c>
      <c r="DJ197">
        <v>2333</v>
      </c>
      <c r="DK197">
        <v>114</v>
      </c>
      <c r="DL197">
        <v>10</v>
      </c>
      <c r="DO197">
        <v>50</v>
      </c>
      <c r="DP197">
        <v>0.1</v>
      </c>
      <c r="DQ197">
        <v>1500</v>
      </c>
      <c r="DR197" t="s">
        <v>866</v>
      </c>
      <c r="DS197" t="s">
        <v>867</v>
      </c>
      <c r="DT197">
        <v>1.2500000000000001E-2</v>
      </c>
      <c r="DU197">
        <v>1.2500000000000001E-2</v>
      </c>
      <c r="DV197">
        <v>0.32500000000000001</v>
      </c>
      <c r="DW197">
        <v>0.32500000000000001</v>
      </c>
      <c r="DX197">
        <v>0.32500000000000001</v>
      </c>
      <c r="DY197">
        <v>31.916555232269179</v>
      </c>
      <c r="DZ197" s="4">
        <v>3.6080000000000001</v>
      </c>
      <c r="EA197" s="4" t="s">
        <v>1100</v>
      </c>
      <c r="EB197" s="4" t="s">
        <v>1101</v>
      </c>
      <c r="EC197">
        <v>4.3140000000000001</v>
      </c>
      <c r="ED197">
        <v>577</v>
      </c>
      <c r="EE197" t="s">
        <v>1105</v>
      </c>
      <c r="EF197">
        <v>2.4796500752491461E-4</v>
      </c>
      <c r="EH197">
        <f t="shared" si="7"/>
        <v>0.58000000000000007</v>
      </c>
      <c r="EI197">
        <v>3.38</v>
      </c>
      <c r="EJ197">
        <v>3.65</v>
      </c>
    </row>
    <row r="198" spans="1:140" x14ac:dyDescent="0.35">
      <c r="A198" s="1">
        <v>196</v>
      </c>
      <c r="B198">
        <v>-96.914573747330593</v>
      </c>
      <c r="C198">
        <v>40.350120202708297</v>
      </c>
      <c r="D198" t="s">
        <v>1107</v>
      </c>
      <c r="E198">
        <v>0.1</v>
      </c>
      <c r="F198" t="s">
        <v>135</v>
      </c>
      <c r="G198">
        <v>4.8399999999999999E-2</v>
      </c>
      <c r="H198" t="s">
        <v>161</v>
      </c>
      <c r="I198">
        <v>-10788481</v>
      </c>
      <c r="J198">
        <v>4916952</v>
      </c>
      <c r="K198" t="s">
        <v>1095</v>
      </c>
      <c r="L198" t="s">
        <v>1108</v>
      </c>
      <c r="M198">
        <v>34</v>
      </c>
      <c r="N198">
        <v>3.7149999999999999</v>
      </c>
      <c r="O198">
        <v>2</v>
      </c>
      <c r="P198">
        <v>4</v>
      </c>
      <c r="Q198">
        <v>31</v>
      </c>
      <c r="R198">
        <v>67</v>
      </c>
      <c r="S198">
        <v>21706</v>
      </c>
      <c r="T198" t="s">
        <v>1097</v>
      </c>
      <c r="U198">
        <v>5.5212672729120094</v>
      </c>
      <c r="V198" t="s">
        <v>1095</v>
      </c>
      <c r="W198">
        <v>9.0700000000000003E-2</v>
      </c>
      <c r="X198">
        <v>10</v>
      </c>
      <c r="Y198">
        <v>8.9</v>
      </c>
      <c r="Z198">
        <v>8.9</v>
      </c>
      <c r="AA198">
        <v>20</v>
      </c>
      <c r="AB198">
        <v>26</v>
      </c>
      <c r="AC198">
        <v>1.0820000000000001</v>
      </c>
      <c r="AD198">
        <v>67</v>
      </c>
      <c r="AE198">
        <v>0.1719643992371265</v>
      </c>
      <c r="AF198">
        <v>2.86</v>
      </c>
      <c r="AG198" t="s">
        <v>1097</v>
      </c>
      <c r="AH198" t="s">
        <v>1095</v>
      </c>
      <c r="AI198">
        <v>23</v>
      </c>
      <c r="AJ198">
        <v>7.6666666666666662E-3</v>
      </c>
      <c r="AK198">
        <v>7.6666666666666661</v>
      </c>
      <c r="AL198" t="s">
        <v>1109</v>
      </c>
      <c r="AM198">
        <v>58.130478609875119</v>
      </c>
      <c r="AN198">
        <v>1.22</v>
      </c>
      <c r="AO198">
        <v>0.09</v>
      </c>
      <c r="AP198">
        <v>0.19</v>
      </c>
      <c r="AQ198">
        <v>0.93</v>
      </c>
      <c r="AR198">
        <v>0.87</v>
      </c>
      <c r="AS198">
        <v>0.04</v>
      </c>
      <c r="AT198">
        <v>0.01</v>
      </c>
      <c r="AU198">
        <v>0.02</v>
      </c>
      <c r="AV198">
        <v>2.14</v>
      </c>
      <c r="AW198">
        <v>1.1399999999999999</v>
      </c>
      <c r="AX198">
        <v>0.21</v>
      </c>
      <c r="AY198">
        <v>0.53</v>
      </c>
      <c r="AZ198">
        <v>0</v>
      </c>
      <c r="BA198">
        <v>0.93</v>
      </c>
      <c r="BB198">
        <v>0.08</v>
      </c>
      <c r="BC198">
        <v>0.14000000000000001</v>
      </c>
      <c r="BD198">
        <v>0.27</v>
      </c>
      <c r="BE198">
        <v>5.72</v>
      </c>
      <c r="BF198">
        <v>5.03</v>
      </c>
      <c r="BG198">
        <v>0.24</v>
      </c>
      <c r="BH198">
        <v>0.45</v>
      </c>
      <c r="BI198">
        <v>0</v>
      </c>
      <c r="BJ198">
        <v>0.04</v>
      </c>
      <c r="BK198">
        <v>4.99</v>
      </c>
      <c r="BL198">
        <v>0</v>
      </c>
      <c r="BM198">
        <v>1.69</v>
      </c>
      <c r="BN198">
        <v>0.21</v>
      </c>
      <c r="BO198">
        <v>0.46</v>
      </c>
      <c r="BP198">
        <v>1.02</v>
      </c>
      <c r="BQ198">
        <v>0.86</v>
      </c>
      <c r="BR198">
        <v>0.06</v>
      </c>
      <c r="BS198">
        <v>0.1</v>
      </c>
      <c r="BT198">
        <v>0</v>
      </c>
      <c r="BU198">
        <v>6.12</v>
      </c>
      <c r="BV198">
        <v>5.0599999999999996</v>
      </c>
      <c r="BW198">
        <v>0.34</v>
      </c>
      <c r="BX198">
        <v>0.72</v>
      </c>
      <c r="BY198">
        <v>0</v>
      </c>
      <c r="BZ198">
        <v>0.04</v>
      </c>
      <c r="CA198">
        <v>5.0199999999999996</v>
      </c>
      <c r="CB198">
        <v>0</v>
      </c>
      <c r="CC198">
        <f t="shared" si="6"/>
        <v>2.75</v>
      </c>
      <c r="CD198">
        <v>3.96</v>
      </c>
      <c r="CE198">
        <v>0.34230769230769231</v>
      </c>
      <c r="CF198">
        <v>0.44500000000000001</v>
      </c>
      <c r="CG198">
        <v>0.1492537313432836</v>
      </c>
      <c r="CH198">
        <v>0.37832167832167829</v>
      </c>
      <c r="CI198">
        <v>0</v>
      </c>
      <c r="CJ198">
        <v>25892</v>
      </c>
      <c r="CK198" t="s">
        <v>141</v>
      </c>
      <c r="CL198" t="s">
        <v>1099</v>
      </c>
      <c r="CM198" t="s">
        <v>143</v>
      </c>
      <c r="CN198">
        <v>0.46647745943199997</v>
      </c>
      <c r="CO198">
        <v>3.0140107833095091</v>
      </c>
      <c r="CP198">
        <v>197</v>
      </c>
      <c r="CQ198" t="s">
        <v>991</v>
      </c>
      <c r="CR198">
        <v>4</v>
      </c>
      <c r="CS198" t="s">
        <v>860</v>
      </c>
      <c r="CT198" t="s">
        <v>486</v>
      </c>
      <c r="CU198" t="s">
        <v>861</v>
      </c>
      <c r="CV198" t="s">
        <v>862</v>
      </c>
      <c r="CW198" t="s">
        <v>863</v>
      </c>
      <c r="CX198" t="s">
        <v>864</v>
      </c>
      <c r="CY198" t="s">
        <v>865</v>
      </c>
      <c r="CZ198" t="s">
        <v>206</v>
      </c>
      <c r="DA198" t="s">
        <v>152</v>
      </c>
      <c r="DB198" t="s">
        <v>491</v>
      </c>
      <c r="DC198" t="s">
        <v>459</v>
      </c>
      <c r="DD198" t="s">
        <v>492</v>
      </c>
      <c r="DE198">
        <v>32460</v>
      </c>
      <c r="DF198">
        <v>-99.205699999999993</v>
      </c>
      <c r="DG198">
        <v>37.695</v>
      </c>
      <c r="DH198">
        <v>5365</v>
      </c>
      <c r="DI198">
        <v>720</v>
      </c>
      <c r="DJ198">
        <v>2333</v>
      </c>
      <c r="DK198">
        <v>114</v>
      </c>
      <c r="DL198">
        <v>10</v>
      </c>
      <c r="DO198">
        <v>50</v>
      </c>
      <c r="DP198">
        <v>0.1</v>
      </c>
      <c r="DQ198">
        <v>1500</v>
      </c>
      <c r="DR198" t="s">
        <v>866</v>
      </c>
      <c r="DS198" t="s">
        <v>867</v>
      </c>
      <c r="DT198">
        <v>1.2500000000000001E-2</v>
      </c>
      <c r="DU198">
        <v>1.2500000000000001E-2</v>
      </c>
      <c r="DV198">
        <v>0.32500000000000001</v>
      </c>
      <c r="DW198">
        <v>0.32500000000000001</v>
      </c>
      <c r="DX198">
        <v>0.32500000000000001</v>
      </c>
      <c r="DY198">
        <v>33.480902299064937</v>
      </c>
      <c r="DZ198" s="4">
        <v>3.6080000000000001</v>
      </c>
      <c r="EA198" s="4" t="s">
        <v>1100</v>
      </c>
      <c r="EB198" s="4" t="s">
        <v>1101</v>
      </c>
      <c r="EC198">
        <v>4.3140000000000001</v>
      </c>
      <c r="ED198">
        <v>673</v>
      </c>
      <c r="EE198" t="s">
        <v>1109</v>
      </c>
      <c r="EF198">
        <v>3.9796862729080969E-4</v>
      </c>
      <c r="EH198">
        <f t="shared" si="7"/>
        <v>0.58000000000000007</v>
      </c>
      <c r="EI198">
        <v>3.38</v>
      </c>
      <c r="EJ198">
        <v>3.65</v>
      </c>
    </row>
    <row r="199" spans="1:140" x14ac:dyDescent="0.35">
      <c r="A199" s="1">
        <v>197</v>
      </c>
      <c r="B199">
        <v>-95.11794317909154</v>
      </c>
      <c r="C199">
        <v>40.350120202708297</v>
      </c>
      <c r="D199" t="s">
        <v>1110</v>
      </c>
      <c r="E199">
        <v>0.1</v>
      </c>
      <c r="F199" t="s">
        <v>306</v>
      </c>
      <c r="G199">
        <v>4.8399999999999999E-2</v>
      </c>
      <c r="H199" t="s">
        <v>161</v>
      </c>
      <c r="I199">
        <v>-10588481</v>
      </c>
      <c r="J199">
        <v>4916952</v>
      </c>
      <c r="K199" t="s">
        <v>770</v>
      </c>
      <c r="L199" t="s">
        <v>1111</v>
      </c>
      <c r="M199">
        <v>74</v>
      </c>
      <c r="N199">
        <v>3.4239999999999999</v>
      </c>
      <c r="O199">
        <v>2</v>
      </c>
      <c r="P199">
        <v>4</v>
      </c>
      <c r="Q199">
        <v>29</v>
      </c>
      <c r="R199">
        <v>147</v>
      </c>
      <c r="S199">
        <v>21240</v>
      </c>
      <c r="T199" t="s">
        <v>772</v>
      </c>
      <c r="U199">
        <v>7.9601135439951216</v>
      </c>
      <c r="V199" t="s">
        <v>770</v>
      </c>
      <c r="W199">
        <v>0.1106</v>
      </c>
      <c r="X199">
        <v>10</v>
      </c>
      <c r="Y199">
        <v>8.9</v>
      </c>
      <c r="Z199">
        <v>8.9</v>
      </c>
      <c r="AA199">
        <v>20</v>
      </c>
      <c r="AB199">
        <v>26</v>
      </c>
      <c r="AC199">
        <v>1.456</v>
      </c>
      <c r="AD199">
        <v>67</v>
      </c>
      <c r="AE199">
        <v>0.23140495867768601</v>
      </c>
      <c r="AF199">
        <v>2.86</v>
      </c>
      <c r="AG199" t="s">
        <v>772</v>
      </c>
      <c r="AH199" t="s">
        <v>770</v>
      </c>
      <c r="AI199">
        <v>39</v>
      </c>
      <c r="AJ199">
        <v>1.2999999999999999E-2</v>
      </c>
      <c r="AK199">
        <v>13</v>
      </c>
      <c r="AL199" t="s">
        <v>1112</v>
      </c>
      <c r="AM199">
        <v>0</v>
      </c>
      <c r="AN199">
        <v>1.6</v>
      </c>
      <c r="AO199">
        <v>0.09</v>
      </c>
      <c r="AP199">
        <v>0.19</v>
      </c>
      <c r="AQ199">
        <v>1.32</v>
      </c>
      <c r="AR199">
        <v>1.26</v>
      </c>
      <c r="AS199">
        <v>0.04</v>
      </c>
      <c r="AT199">
        <v>0.01</v>
      </c>
      <c r="AU199">
        <v>0.02</v>
      </c>
      <c r="AV199">
        <v>2.58</v>
      </c>
      <c r="AW199">
        <v>1.58</v>
      </c>
      <c r="AX199">
        <v>0.21</v>
      </c>
      <c r="AY199">
        <v>0.53</v>
      </c>
      <c r="AZ199">
        <v>0</v>
      </c>
      <c r="BA199">
        <v>1.34</v>
      </c>
      <c r="BB199">
        <v>0.08</v>
      </c>
      <c r="BC199">
        <v>0.17</v>
      </c>
      <c r="BD199">
        <v>0.27</v>
      </c>
      <c r="BE199">
        <v>6.83</v>
      </c>
      <c r="BF199">
        <v>6.14</v>
      </c>
      <c r="BG199">
        <v>0.24</v>
      </c>
      <c r="BH199">
        <v>0.45</v>
      </c>
      <c r="BI199">
        <v>0</v>
      </c>
      <c r="BJ199">
        <v>0.04</v>
      </c>
      <c r="BK199">
        <v>6.1</v>
      </c>
      <c r="BL199">
        <v>0</v>
      </c>
      <c r="BM199">
        <v>2.09</v>
      </c>
      <c r="BN199">
        <v>0.21</v>
      </c>
      <c r="BO199">
        <v>0.46</v>
      </c>
      <c r="BP199">
        <v>1.42</v>
      </c>
      <c r="BQ199">
        <v>1.24</v>
      </c>
      <c r="BR199">
        <v>0.06</v>
      </c>
      <c r="BS199">
        <v>0.12</v>
      </c>
      <c r="BT199">
        <v>0</v>
      </c>
      <c r="BU199">
        <v>7.24</v>
      </c>
      <c r="BV199">
        <v>6.18</v>
      </c>
      <c r="BW199">
        <v>0.34</v>
      </c>
      <c r="BX199">
        <v>0.72</v>
      </c>
      <c r="BY199">
        <v>0</v>
      </c>
      <c r="BZ199">
        <v>0.04</v>
      </c>
      <c r="CA199">
        <v>6.14</v>
      </c>
      <c r="CB199">
        <v>0</v>
      </c>
      <c r="CC199">
        <f t="shared" si="6"/>
        <v>2.75</v>
      </c>
      <c r="CD199">
        <v>3.96</v>
      </c>
      <c r="CE199">
        <v>0.34230769230769231</v>
      </c>
      <c r="CF199">
        <v>0.44500000000000001</v>
      </c>
      <c r="CG199">
        <v>0.1492537313432836</v>
      </c>
      <c r="CH199">
        <v>0.50909090909090915</v>
      </c>
      <c r="CI199">
        <v>0</v>
      </c>
      <c r="CJ199">
        <v>27956</v>
      </c>
      <c r="CK199" t="s">
        <v>141</v>
      </c>
      <c r="CL199" t="s">
        <v>990</v>
      </c>
      <c r="CM199" t="s">
        <v>143</v>
      </c>
      <c r="CN199">
        <v>2.2257727395299999E-2</v>
      </c>
      <c r="CO199">
        <v>13.7200527572507</v>
      </c>
      <c r="CP199">
        <v>198</v>
      </c>
      <c r="CQ199" t="s">
        <v>859</v>
      </c>
      <c r="CR199">
        <v>4</v>
      </c>
      <c r="CS199" t="s">
        <v>860</v>
      </c>
      <c r="CT199" t="s">
        <v>486</v>
      </c>
      <c r="CU199" t="s">
        <v>861</v>
      </c>
      <c r="CV199" t="s">
        <v>862</v>
      </c>
      <c r="CW199" t="s">
        <v>863</v>
      </c>
      <c r="CX199" t="s">
        <v>864</v>
      </c>
      <c r="CY199" t="s">
        <v>865</v>
      </c>
      <c r="CZ199" t="s">
        <v>206</v>
      </c>
      <c r="DA199" t="s">
        <v>152</v>
      </c>
      <c r="DB199" t="s">
        <v>491</v>
      </c>
      <c r="DC199" t="s">
        <v>459</v>
      </c>
      <c r="DD199" t="s">
        <v>492</v>
      </c>
      <c r="DE199">
        <v>32460</v>
      </c>
      <c r="DF199">
        <v>-99.205699999999993</v>
      </c>
      <c r="DG199">
        <v>37.695</v>
      </c>
      <c r="DH199">
        <v>5365</v>
      </c>
      <c r="DI199">
        <v>720</v>
      </c>
      <c r="DJ199">
        <v>2333</v>
      </c>
      <c r="DK199">
        <v>114</v>
      </c>
      <c r="DL199">
        <v>10</v>
      </c>
      <c r="DO199">
        <v>50</v>
      </c>
      <c r="DP199">
        <v>0.1</v>
      </c>
      <c r="DQ199">
        <v>1500</v>
      </c>
      <c r="DR199" t="s">
        <v>866</v>
      </c>
      <c r="DS199" t="s">
        <v>867</v>
      </c>
      <c r="DT199">
        <v>1.2500000000000001E-2</v>
      </c>
      <c r="DU199">
        <v>1.2500000000000001E-2</v>
      </c>
      <c r="DV199">
        <v>0.32500000000000001</v>
      </c>
      <c r="DW199">
        <v>0.32500000000000001</v>
      </c>
      <c r="DX199">
        <v>0.32500000000000001</v>
      </c>
      <c r="DY199">
        <v>127.90094149579809</v>
      </c>
      <c r="DZ199" s="4">
        <v>3.5070000000000001</v>
      </c>
      <c r="EA199" s="4" t="s">
        <v>780</v>
      </c>
      <c r="EB199" s="4" t="s">
        <v>781</v>
      </c>
      <c r="EC199">
        <v>4.2930000000000001</v>
      </c>
      <c r="ED199">
        <v>544</v>
      </c>
      <c r="EE199" t="s">
        <v>1112</v>
      </c>
      <c r="EF199">
        <v>0</v>
      </c>
      <c r="EH199">
        <f t="shared" si="7"/>
        <v>0.58000000000000007</v>
      </c>
      <c r="EI199">
        <v>3.38</v>
      </c>
      <c r="EJ199">
        <v>3.65</v>
      </c>
    </row>
    <row r="200" spans="1:140" x14ac:dyDescent="0.35">
      <c r="A200" s="1">
        <v>198</v>
      </c>
      <c r="B200">
        <v>-93.321312610852502</v>
      </c>
      <c r="C200">
        <v>40.350120202708297</v>
      </c>
      <c r="D200" t="s">
        <v>1113</v>
      </c>
      <c r="E200">
        <v>0.1</v>
      </c>
      <c r="F200" t="s">
        <v>306</v>
      </c>
      <c r="G200">
        <v>8.8000000000000009E-2</v>
      </c>
      <c r="H200" t="s">
        <v>161</v>
      </c>
      <c r="I200">
        <v>-10388481</v>
      </c>
      <c r="J200">
        <v>4916952</v>
      </c>
      <c r="K200" t="s">
        <v>770</v>
      </c>
      <c r="L200" t="s">
        <v>1114</v>
      </c>
      <c r="M200">
        <v>106</v>
      </c>
      <c r="N200">
        <v>3.7490000000000001</v>
      </c>
      <c r="O200">
        <v>2</v>
      </c>
      <c r="P200">
        <v>4</v>
      </c>
      <c r="Q200">
        <v>29</v>
      </c>
      <c r="R200">
        <v>211</v>
      </c>
      <c r="S200">
        <v>5999</v>
      </c>
      <c r="T200" t="s">
        <v>772</v>
      </c>
      <c r="U200">
        <v>7.9601135439951216</v>
      </c>
      <c r="V200" t="s">
        <v>770</v>
      </c>
      <c r="W200">
        <v>0.1106</v>
      </c>
      <c r="X200">
        <v>10</v>
      </c>
      <c r="Y200">
        <v>8.9</v>
      </c>
      <c r="Z200">
        <v>8.9</v>
      </c>
      <c r="AA200">
        <v>20</v>
      </c>
      <c r="AB200">
        <v>26</v>
      </c>
      <c r="AC200">
        <v>1.456</v>
      </c>
      <c r="AD200">
        <v>67</v>
      </c>
      <c r="AE200">
        <v>0.23140495867768601</v>
      </c>
      <c r="AF200">
        <v>2.86</v>
      </c>
      <c r="AG200" t="s">
        <v>772</v>
      </c>
      <c r="AH200" t="s">
        <v>770</v>
      </c>
      <c r="AI200">
        <v>39</v>
      </c>
      <c r="AJ200">
        <v>1.2999999999999999E-2</v>
      </c>
      <c r="AK200">
        <v>13</v>
      </c>
      <c r="AL200" t="s">
        <v>1115</v>
      </c>
      <c r="AM200">
        <v>51850.880973884399</v>
      </c>
      <c r="AN200">
        <v>1.6</v>
      </c>
      <c r="AO200">
        <v>0.09</v>
      </c>
      <c r="AP200">
        <v>0.19</v>
      </c>
      <c r="AQ200">
        <v>1.32</v>
      </c>
      <c r="AR200">
        <v>1.26</v>
      </c>
      <c r="AS200">
        <v>0.04</v>
      </c>
      <c r="AT200">
        <v>0.01</v>
      </c>
      <c r="AU200">
        <v>0.02</v>
      </c>
      <c r="AV200">
        <v>2.58</v>
      </c>
      <c r="AW200">
        <v>1.58</v>
      </c>
      <c r="AX200">
        <v>0.21</v>
      </c>
      <c r="AY200">
        <v>0.53</v>
      </c>
      <c r="AZ200">
        <v>0</v>
      </c>
      <c r="BA200">
        <v>1.34</v>
      </c>
      <c r="BB200">
        <v>0.08</v>
      </c>
      <c r="BC200">
        <v>0.17</v>
      </c>
      <c r="BD200">
        <v>0.27</v>
      </c>
      <c r="BE200">
        <v>6.83</v>
      </c>
      <c r="BF200">
        <v>6.14</v>
      </c>
      <c r="BG200">
        <v>0.24</v>
      </c>
      <c r="BH200">
        <v>0.45</v>
      </c>
      <c r="BI200">
        <v>0</v>
      </c>
      <c r="BJ200">
        <v>0.04</v>
      </c>
      <c r="BK200">
        <v>6.1</v>
      </c>
      <c r="BL200">
        <v>0</v>
      </c>
      <c r="BM200">
        <v>2.09</v>
      </c>
      <c r="BN200">
        <v>0.21</v>
      </c>
      <c r="BO200">
        <v>0.46</v>
      </c>
      <c r="BP200">
        <v>1.42</v>
      </c>
      <c r="BQ200">
        <v>1.24</v>
      </c>
      <c r="BR200">
        <v>0.06</v>
      </c>
      <c r="BS200">
        <v>0.12</v>
      </c>
      <c r="BT200">
        <v>0</v>
      </c>
      <c r="BU200">
        <v>7.24</v>
      </c>
      <c r="BV200">
        <v>6.18</v>
      </c>
      <c r="BW200">
        <v>0.34</v>
      </c>
      <c r="BX200">
        <v>0.72</v>
      </c>
      <c r="BY200">
        <v>0</v>
      </c>
      <c r="BZ200">
        <v>0.04</v>
      </c>
      <c r="CA200">
        <v>6.14</v>
      </c>
      <c r="CB200">
        <v>0</v>
      </c>
      <c r="CC200">
        <f t="shared" si="6"/>
        <v>2.75</v>
      </c>
      <c r="CD200">
        <v>3.96</v>
      </c>
      <c r="CE200">
        <v>0.34230769230769231</v>
      </c>
      <c r="CF200">
        <v>0.44500000000000001</v>
      </c>
      <c r="CG200">
        <v>0.1492537313432836</v>
      </c>
      <c r="CH200">
        <v>0.50909090909090915</v>
      </c>
      <c r="CI200">
        <v>0</v>
      </c>
      <c r="CJ200">
        <v>27893</v>
      </c>
      <c r="CK200" t="s">
        <v>141</v>
      </c>
      <c r="CL200" t="s">
        <v>990</v>
      </c>
      <c r="CM200" t="s">
        <v>143</v>
      </c>
      <c r="CN200">
        <v>1.2834157644500001E-2</v>
      </c>
      <c r="CO200">
        <v>21.93991097238565</v>
      </c>
      <c r="CP200">
        <v>199</v>
      </c>
      <c r="CQ200" t="s">
        <v>774</v>
      </c>
      <c r="CR200">
        <v>93</v>
      </c>
      <c r="CS200" t="s">
        <v>775</v>
      </c>
      <c r="CT200" t="s">
        <v>639</v>
      </c>
      <c r="CU200" t="s">
        <v>776</v>
      </c>
      <c r="CV200" t="s">
        <v>777</v>
      </c>
      <c r="CW200" t="s">
        <v>642</v>
      </c>
      <c r="CX200" t="s">
        <v>778</v>
      </c>
      <c r="CY200" t="s">
        <v>779</v>
      </c>
      <c r="CZ200" t="s">
        <v>645</v>
      </c>
      <c r="DA200" t="s">
        <v>152</v>
      </c>
      <c r="DB200" t="s">
        <v>491</v>
      </c>
      <c r="DC200" t="s">
        <v>459</v>
      </c>
      <c r="DD200" t="s">
        <v>492</v>
      </c>
      <c r="DE200">
        <v>5560</v>
      </c>
      <c r="DF200">
        <v>-88.498699999999999</v>
      </c>
      <c r="DG200">
        <v>38.153100000000002</v>
      </c>
      <c r="DH200">
        <v>7300</v>
      </c>
      <c r="DI200">
        <v>600</v>
      </c>
      <c r="DL200">
        <v>3.5</v>
      </c>
      <c r="DM200">
        <v>4</v>
      </c>
      <c r="DN200">
        <v>4</v>
      </c>
      <c r="DO200">
        <v>65</v>
      </c>
      <c r="DP200">
        <v>1</v>
      </c>
      <c r="DQ200">
        <v>400</v>
      </c>
      <c r="DR200">
        <v>140000</v>
      </c>
      <c r="DS200">
        <v>60</v>
      </c>
      <c r="DT200">
        <v>1.2500000000000001E-2</v>
      </c>
      <c r="DU200">
        <v>1.2500000000000001E-2</v>
      </c>
      <c r="DV200">
        <v>0.32500000000000001</v>
      </c>
      <c r="DW200">
        <v>0.32500000000000001</v>
      </c>
      <c r="DX200">
        <v>0.32500000000000001</v>
      </c>
      <c r="DY200">
        <v>125.9230524991965</v>
      </c>
      <c r="DZ200" s="4">
        <v>3.5070000000000001</v>
      </c>
      <c r="EA200" s="4" t="s">
        <v>780</v>
      </c>
      <c r="EB200" s="4" t="s">
        <v>781</v>
      </c>
      <c r="EC200">
        <v>4.2930000000000001</v>
      </c>
      <c r="ED200">
        <v>18</v>
      </c>
      <c r="EE200" t="s">
        <v>1115</v>
      </c>
      <c r="EF200">
        <v>0.46574215169585109</v>
      </c>
      <c r="EH200">
        <f t="shared" si="7"/>
        <v>0.58000000000000007</v>
      </c>
      <c r="EI200">
        <v>3.38</v>
      </c>
      <c r="EJ200">
        <v>3.65</v>
      </c>
    </row>
    <row r="201" spans="1:140" x14ac:dyDescent="0.35">
      <c r="A201" s="1">
        <v>199</v>
      </c>
      <c r="B201">
        <v>-91.524682042613449</v>
      </c>
      <c r="C201">
        <v>40.350120202708297</v>
      </c>
      <c r="D201" t="s">
        <v>1116</v>
      </c>
      <c r="E201">
        <v>0.1</v>
      </c>
      <c r="F201" t="s">
        <v>135</v>
      </c>
      <c r="G201">
        <v>8.8000000000000009E-2</v>
      </c>
      <c r="H201" t="s">
        <v>161</v>
      </c>
      <c r="I201">
        <v>-10188481</v>
      </c>
      <c r="J201">
        <v>4916952</v>
      </c>
      <c r="K201" t="s">
        <v>770</v>
      </c>
      <c r="L201" t="s">
        <v>713</v>
      </c>
      <c r="M201">
        <v>23</v>
      </c>
      <c r="N201">
        <v>3.516</v>
      </c>
      <c r="O201">
        <v>2</v>
      </c>
      <c r="P201">
        <v>4</v>
      </c>
      <c r="Q201">
        <v>29</v>
      </c>
      <c r="R201">
        <v>45</v>
      </c>
      <c r="S201">
        <v>6640</v>
      </c>
      <c r="T201" t="s">
        <v>772</v>
      </c>
      <c r="U201">
        <v>7.9601135439951216</v>
      </c>
      <c r="V201" t="s">
        <v>770</v>
      </c>
      <c r="W201">
        <v>0.1106</v>
      </c>
      <c r="X201">
        <v>10</v>
      </c>
      <c r="Y201">
        <v>8.9</v>
      </c>
      <c r="Z201">
        <v>8.9</v>
      </c>
      <c r="AA201">
        <v>20</v>
      </c>
      <c r="AB201">
        <v>26</v>
      </c>
      <c r="AC201">
        <v>1.456</v>
      </c>
      <c r="AD201">
        <v>67</v>
      </c>
      <c r="AE201">
        <v>0.23140495867768601</v>
      </c>
      <c r="AF201">
        <v>2.86</v>
      </c>
      <c r="AG201" t="s">
        <v>772</v>
      </c>
      <c r="AH201" t="s">
        <v>770</v>
      </c>
      <c r="AI201">
        <v>39</v>
      </c>
      <c r="AJ201">
        <v>1.2999999999999999E-2</v>
      </c>
      <c r="AK201">
        <v>13</v>
      </c>
      <c r="AL201" t="s">
        <v>1117</v>
      </c>
      <c r="AM201">
        <v>0</v>
      </c>
      <c r="AN201">
        <v>1.6</v>
      </c>
      <c r="AO201">
        <v>0.09</v>
      </c>
      <c r="AP201">
        <v>0.19</v>
      </c>
      <c r="AQ201">
        <v>1.32</v>
      </c>
      <c r="AR201">
        <v>1.26</v>
      </c>
      <c r="AS201">
        <v>0.04</v>
      </c>
      <c r="AT201">
        <v>0.01</v>
      </c>
      <c r="AU201">
        <v>0.02</v>
      </c>
      <c r="AV201">
        <v>2.58</v>
      </c>
      <c r="AW201">
        <v>1.58</v>
      </c>
      <c r="AX201">
        <v>0.21</v>
      </c>
      <c r="AY201">
        <v>0.53</v>
      </c>
      <c r="AZ201">
        <v>0</v>
      </c>
      <c r="BA201">
        <v>1.34</v>
      </c>
      <c r="BB201">
        <v>0.08</v>
      </c>
      <c r="BC201">
        <v>0.17</v>
      </c>
      <c r="BD201">
        <v>0.27</v>
      </c>
      <c r="BE201">
        <v>6.83</v>
      </c>
      <c r="BF201">
        <v>6.14</v>
      </c>
      <c r="BG201">
        <v>0.24</v>
      </c>
      <c r="BH201">
        <v>0.45</v>
      </c>
      <c r="BI201">
        <v>0</v>
      </c>
      <c r="BJ201">
        <v>0.04</v>
      </c>
      <c r="BK201">
        <v>6.1</v>
      </c>
      <c r="BL201">
        <v>0</v>
      </c>
      <c r="BM201">
        <v>2.09</v>
      </c>
      <c r="BN201">
        <v>0.21</v>
      </c>
      <c r="BO201">
        <v>0.46</v>
      </c>
      <c r="BP201">
        <v>1.42</v>
      </c>
      <c r="BQ201">
        <v>1.24</v>
      </c>
      <c r="BR201">
        <v>0.06</v>
      </c>
      <c r="BS201">
        <v>0.12</v>
      </c>
      <c r="BT201">
        <v>0</v>
      </c>
      <c r="BU201">
        <v>7.24</v>
      </c>
      <c r="BV201">
        <v>6.18</v>
      </c>
      <c r="BW201">
        <v>0.34</v>
      </c>
      <c r="BX201">
        <v>0.72</v>
      </c>
      <c r="BY201">
        <v>0</v>
      </c>
      <c r="BZ201">
        <v>0.04</v>
      </c>
      <c r="CA201">
        <v>6.14</v>
      </c>
      <c r="CB201">
        <v>0</v>
      </c>
      <c r="CC201">
        <f t="shared" si="6"/>
        <v>2.75</v>
      </c>
      <c r="CD201">
        <v>3.96</v>
      </c>
      <c r="CE201">
        <v>0.34230769230769231</v>
      </c>
      <c r="CF201">
        <v>0.44500000000000001</v>
      </c>
      <c r="CG201">
        <v>0.1492537313432836</v>
      </c>
      <c r="CH201">
        <v>0.50909090909090915</v>
      </c>
      <c r="CI201">
        <v>0</v>
      </c>
      <c r="CJ201">
        <v>27965</v>
      </c>
      <c r="CK201" t="s">
        <v>141</v>
      </c>
      <c r="CL201" t="s">
        <v>990</v>
      </c>
      <c r="CM201" t="s">
        <v>143</v>
      </c>
      <c r="CN201">
        <v>4.88969802999E-2</v>
      </c>
      <c r="CO201">
        <v>22.438592144839951</v>
      </c>
      <c r="CP201">
        <v>200</v>
      </c>
      <c r="CQ201" t="s">
        <v>774</v>
      </c>
      <c r="CR201">
        <v>93</v>
      </c>
      <c r="CS201" t="s">
        <v>775</v>
      </c>
      <c r="CT201" t="s">
        <v>639</v>
      </c>
      <c r="CU201" t="s">
        <v>776</v>
      </c>
      <c r="CV201" t="s">
        <v>777</v>
      </c>
      <c r="CW201" t="s">
        <v>642</v>
      </c>
      <c r="CX201" t="s">
        <v>778</v>
      </c>
      <c r="CY201" t="s">
        <v>779</v>
      </c>
      <c r="CZ201" t="s">
        <v>645</v>
      </c>
      <c r="DA201" t="s">
        <v>152</v>
      </c>
      <c r="DB201" t="s">
        <v>491</v>
      </c>
      <c r="DC201" t="s">
        <v>459</v>
      </c>
      <c r="DD201" t="s">
        <v>492</v>
      </c>
      <c r="DE201">
        <v>5560</v>
      </c>
      <c r="DF201">
        <v>-88.498699999999999</v>
      </c>
      <c r="DG201">
        <v>38.153100000000002</v>
      </c>
      <c r="DH201">
        <v>7300</v>
      </c>
      <c r="DI201">
        <v>600</v>
      </c>
      <c r="DL201">
        <v>3.5</v>
      </c>
      <c r="DM201">
        <v>4</v>
      </c>
      <c r="DN201">
        <v>4</v>
      </c>
      <c r="DO201">
        <v>65</v>
      </c>
      <c r="DP201">
        <v>1</v>
      </c>
      <c r="DQ201">
        <v>400</v>
      </c>
      <c r="DR201">
        <v>140000</v>
      </c>
      <c r="DS201">
        <v>60</v>
      </c>
      <c r="DT201">
        <v>1.2500000000000001E-2</v>
      </c>
      <c r="DU201">
        <v>1.2500000000000001E-2</v>
      </c>
      <c r="DV201">
        <v>0.32500000000000001</v>
      </c>
      <c r="DW201">
        <v>0.32500000000000001</v>
      </c>
      <c r="DX201">
        <v>0.32500000000000001</v>
      </c>
      <c r="DY201">
        <v>4.2603595339519984</v>
      </c>
      <c r="DZ201" s="4">
        <v>3.5070000000000001</v>
      </c>
      <c r="EA201" s="4" t="s">
        <v>780</v>
      </c>
      <c r="EB201" s="4" t="s">
        <v>781</v>
      </c>
      <c r="EC201">
        <v>4.2930000000000001</v>
      </c>
      <c r="ED201">
        <v>814</v>
      </c>
      <c r="EE201" t="s">
        <v>1117</v>
      </c>
      <c r="EF201">
        <v>0</v>
      </c>
      <c r="EH201">
        <f t="shared" si="7"/>
        <v>0.58000000000000007</v>
      </c>
      <c r="EI201">
        <v>3.38</v>
      </c>
      <c r="EJ201">
        <v>3.65</v>
      </c>
    </row>
    <row r="202" spans="1:140" x14ac:dyDescent="0.35">
      <c r="A202" s="1">
        <v>200</v>
      </c>
      <c r="B202">
        <v>-89.728051474374411</v>
      </c>
      <c r="C202">
        <v>40.350120202708297</v>
      </c>
      <c r="D202" t="s">
        <v>1118</v>
      </c>
      <c r="E202">
        <v>0.02</v>
      </c>
      <c r="F202" t="s">
        <v>160</v>
      </c>
      <c r="G202">
        <v>8.8000000000000009E-2</v>
      </c>
      <c r="H202" t="s">
        <v>161</v>
      </c>
      <c r="I202">
        <v>-9988481</v>
      </c>
      <c r="J202">
        <v>4916952</v>
      </c>
      <c r="K202" t="s">
        <v>642</v>
      </c>
      <c r="L202" t="s">
        <v>1119</v>
      </c>
      <c r="M202">
        <v>60</v>
      </c>
      <c r="N202">
        <v>3.9569999999999999</v>
      </c>
      <c r="O202">
        <v>2</v>
      </c>
      <c r="P202">
        <v>3</v>
      </c>
      <c r="Q202">
        <v>17</v>
      </c>
      <c r="R202">
        <v>125</v>
      </c>
      <c r="S202">
        <v>13091</v>
      </c>
      <c r="T202" t="s">
        <v>776</v>
      </c>
      <c r="U202">
        <v>7.0836720178825443</v>
      </c>
      <c r="V202" t="s">
        <v>642</v>
      </c>
      <c r="W202">
        <v>0.1221</v>
      </c>
      <c r="X202">
        <v>10</v>
      </c>
      <c r="Y202">
        <v>8.9</v>
      </c>
      <c r="Z202">
        <v>8.9</v>
      </c>
      <c r="AA202">
        <v>20</v>
      </c>
      <c r="AB202">
        <v>26</v>
      </c>
      <c r="AC202">
        <v>0.51</v>
      </c>
      <c r="AD202">
        <v>67</v>
      </c>
      <c r="AE202">
        <v>8.1055308328035605E-2</v>
      </c>
      <c r="AF202">
        <v>2.86</v>
      </c>
      <c r="AG202" t="s">
        <v>776</v>
      </c>
      <c r="AH202" t="s">
        <v>642</v>
      </c>
      <c r="AI202">
        <v>26</v>
      </c>
      <c r="AJ202">
        <v>8.6666666666666663E-3</v>
      </c>
      <c r="AK202">
        <v>8.6666666666666661</v>
      </c>
      <c r="AL202" t="s">
        <v>1120</v>
      </c>
      <c r="AM202">
        <v>1401.4135029422141</v>
      </c>
      <c r="AN202">
        <v>1.47</v>
      </c>
      <c r="AO202">
        <v>0.09</v>
      </c>
      <c r="AP202">
        <v>0.19</v>
      </c>
      <c r="AQ202">
        <v>1.18</v>
      </c>
      <c r="AR202">
        <v>1.1200000000000001</v>
      </c>
      <c r="AS202">
        <v>0.04</v>
      </c>
      <c r="AT202">
        <v>0.02</v>
      </c>
      <c r="AU202">
        <v>0.02</v>
      </c>
      <c r="AV202">
        <v>2.4500000000000002</v>
      </c>
      <c r="AW202">
        <v>1.45</v>
      </c>
      <c r="AX202">
        <v>0.21</v>
      </c>
      <c r="AY202">
        <v>0.53</v>
      </c>
      <c r="AZ202">
        <v>0</v>
      </c>
      <c r="BA202">
        <v>1.19</v>
      </c>
      <c r="BB202">
        <v>0.08</v>
      </c>
      <c r="BC202">
        <v>0.18</v>
      </c>
      <c r="BD202">
        <v>0.27</v>
      </c>
      <c r="BE202">
        <v>7.39</v>
      </c>
      <c r="BF202">
        <v>6.7</v>
      </c>
      <c r="BG202">
        <v>0.24</v>
      </c>
      <c r="BH202">
        <v>0.45</v>
      </c>
      <c r="BI202">
        <v>0</v>
      </c>
      <c r="BJ202">
        <v>0.04</v>
      </c>
      <c r="BK202">
        <v>6.66</v>
      </c>
      <c r="BL202">
        <v>0</v>
      </c>
      <c r="BM202">
        <v>1.97</v>
      </c>
      <c r="BN202">
        <v>0.21</v>
      </c>
      <c r="BO202">
        <v>0.46</v>
      </c>
      <c r="BP202">
        <v>1.3</v>
      </c>
      <c r="BQ202">
        <v>1.1000000000000001</v>
      </c>
      <c r="BR202">
        <v>0.06</v>
      </c>
      <c r="BS202">
        <v>0.13</v>
      </c>
      <c r="BT202">
        <v>0</v>
      </c>
      <c r="BU202">
        <v>7.79</v>
      </c>
      <c r="BV202">
        <v>6.73</v>
      </c>
      <c r="BW202">
        <v>0.34</v>
      </c>
      <c r="BX202">
        <v>0.72</v>
      </c>
      <c r="BY202">
        <v>0</v>
      </c>
      <c r="BZ202">
        <v>0.04</v>
      </c>
      <c r="CA202">
        <v>6.7</v>
      </c>
      <c r="CB202">
        <v>0</v>
      </c>
      <c r="CC202">
        <f t="shared" si="6"/>
        <v>2.75</v>
      </c>
      <c r="CD202">
        <v>3.96</v>
      </c>
      <c r="CE202">
        <v>0.34230769230769231</v>
      </c>
      <c r="CF202">
        <v>0.44500000000000001</v>
      </c>
      <c r="CG202">
        <v>0.1492537313432836</v>
      </c>
      <c r="CH202">
        <v>0.17832167832167831</v>
      </c>
      <c r="CI202">
        <v>0</v>
      </c>
      <c r="CJ202">
        <v>31815</v>
      </c>
      <c r="CK202" t="s">
        <v>141</v>
      </c>
      <c r="CL202" t="s">
        <v>1000</v>
      </c>
      <c r="CM202" t="s">
        <v>143</v>
      </c>
      <c r="CN202">
        <v>0.36019200000000001</v>
      </c>
      <c r="CO202">
        <v>14.856521213328859</v>
      </c>
      <c r="CP202">
        <v>201</v>
      </c>
      <c r="CQ202" t="s">
        <v>774</v>
      </c>
      <c r="CR202">
        <v>93</v>
      </c>
      <c r="CS202" t="s">
        <v>775</v>
      </c>
      <c r="CT202" t="s">
        <v>639</v>
      </c>
      <c r="CU202" t="s">
        <v>776</v>
      </c>
      <c r="CV202" t="s">
        <v>777</v>
      </c>
      <c r="CW202" t="s">
        <v>642</v>
      </c>
      <c r="CX202" t="s">
        <v>778</v>
      </c>
      <c r="CY202" t="s">
        <v>779</v>
      </c>
      <c r="CZ202" t="s">
        <v>645</v>
      </c>
      <c r="DA202" t="s">
        <v>152</v>
      </c>
      <c r="DB202" t="s">
        <v>491</v>
      </c>
      <c r="DC202" t="s">
        <v>459</v>
      </c>
      <c r="DD202" t="s">
        <v>492</v>
      </c>
      <c r="DE202">
        <v>5560</v>
      </c>
      <c r="DF202">
        <v>-88.498699999999999</v>
      </c>
      <c r="DG202">
        <v>38.153100000000002</v>
      </c>
      <c r="DH202">
        <v>7300</v>
      </c>
      <c r="DI202">
        <v>600</v>
      </c>
      <c r="DL202">
        <v>3.5</v>
      </c>
      <c r="DM202">
        <v>4</v>
      </c>
      <c r="DN202">
        <v>4</v>
      </c>
      <c r="DO202">
        <v>65</v>
      </c>
      <c r="DP202">
        <v>1</v>
      </c>
      <c r="DQ202">
        <v>400</v>
      </c>
      <c r="DR202">
        <v>140000</v>
      </c>
      <c r="DS202">
        <v>60</v>
      </c>
      <c r="DT202">
        <v>1.2500000000000001E-2</v>
      </c>
      <c r="DU202">
        <v>1.2500000000000001E-2</v>
      </c>
      <c r="DV202">
        <v>0.32500000000000001</v>
      </c>
      <c r="DW202">
        <v>0.32500000000000001</v>
      </c>
      <c r="DX202">
        <v>0.32500000000000001</v>
      </c>
      <c r="DY202">
        <v>0</v>
      </c>
      <c r="DZ202" s="4">
        <v>4.1020000000000003</v>
      </c>
      <c r="EA202" s="4" t="s">
        <v>1004</v>
      </c>
      <c r="EB202" s="4" t="s">
        <v>1005</v>
      </c>
      <c r="EC202">
        <v>4.9260000000000002</v>
      </c>
      <c r="ED202">
        <v>580</v>
      </c>
      <c r="EE202" t="s">
        <v>1120</v>
      </c>
      <c r="EF202">
        <v>1.258812913751795E-2</v>
      </c>
      <c r="EH202">
        <f t="shared" si="7"/>
        <v>0.58000000000000007</v>
      </c>
      <c r="EI202">
        <v>3.38</v>
      </c>
      <c r="EJ202">
        <v>3.65</v>
      </c>
    </row>
    <row r="203" spans="1:140" x14ac:dyDescent="0.35">
      <c r="A203" s="1">
        <v>201</v>
      </c>
      <c r="B203">
        <v>-87.931420906135358</v>
      </c>
      <c r="C203">
        <v>40.350120202708297</v>
      </c>
      <c r="D203" t="s">
        <v>1121</v>
      </c>
      <c r="E203">
        <v>0.02</v>
      </c>
      <c r="F203" t="s">
        <v>160</v>
      </c>
      <c r="G203">
        <v>8.8000000000000009E-2</v>
      </c>
      <c r="H203" t="s">
        <v>161</v>
      </c>
      <c r="I203">
        <v>-9788481</v>
      </c>
      <c r="J203">
        <v>4916952</v>
      </c>
      <c r="K203" t="s">
        <v>642</v>
      </c>
      <c r="L203" t="s">
        <v>1122</v>
      </c>
      <c r="M203">
        <v>92</v>
      </c>
      <c r="N203">
        <v>3.944</v>
      </c>
      <c r="O203">
        <v>2</v>
      </c>
      <c r="P203">
        <v>3</v>
      </c>
      <c r="Q203">
        <v>17</v>
      </c>
      <c r="R203">
        <v>183</v>
      </c>
      <c r="S203">
        <v>74199</v>
      </c>
      <c r="T203" t="s">
        <v>776</v>
      </c>
      <c r="U203">
        <v>7.0836720178825443</v>
      </c>
      <c r="V203" t="s">
        <v>642</v>
      </c>
      <c r="W203">
        <v>0.1221</v>
      </c>
      <c r="X203">
        <v>10</v>
      </c>
      <c r="Y203">
        <v>8.9</v>
      </c>
      <c r="Z203">
        <v>8.9</v>
      </c>
      <c r="AA203">
        <v>20</v>
      </c>
      <c r="AB203">
        <v>26</v>
      </c>
      <c r="AC203">
        <v>0.51</v>
      </c>
      <c r="AD203">
        <v>67</v>
      </c>
      <c r="AE203">
        <v>8.1055308328035605E-2</v>
      </c>
      <c r="AF203">
        <v>2.86</v>
      </c>
      <c r="AG203" t="s">
        <v>776</v>
      </c>
      <c r="AH203" t="s">
        <v>642</v>
      </c>
      <c r="AI203">
        <v>26</v>
      </c>
      <c r="AJ203">
        <v>8.6666666666666663E-3</v>
      </c>
      <c r="AK203">
        <v>8.6666666666666661</v>
      </c>
      <c r="AL203" t="s">
        <v>1123</v>
      </c>
      <c r="AM203">
        <v>0</v>
      </c>
      <c r="AN203">
        <v>1.47</v>
      </c>
      <c r="AO203">
        <v>0.09</v>
      </c>
      <c r="AP203">
        <v>0.19</v>
      </c>
      <c r="AQ203">
        <v>1.18</v>
      </c>
      <c r="AR203">
        <v>1.1200000000000001</v>
      </c>
      <c r="AS203">
        <v>0.04</v>
      </c>
      <c r="AT203">
        <v>0.02</v>
      </c>
      <c r="AU203">
        <v>0.02</v>
      </c>
      <c r="AV203">
        <v>2.4500000000000002</v>
      </c>
      <c r="AW203">
        <v>1.45</v>
      </c>
      <c r="AX203">
        <v>0.21</v>
      </c>
      <c r="AY203">
        <v>0.53</v>
      </c>
      <c r="AZ203">
        <v>0</v>
      </c>
      <c r="BA203">
        <v>1.19</v>
      </c>
      <c r="BB203">
        <v>0.08</v>
      </c>
      <c r="BC203">
        <v>0.18</v>
      </c>
      <c r="BD203">
        <v>0.27</v>
      </c>
      <c r="BE203">
        <v>7.39</v>
      </c>
      <c r="BF203">
        <v>6.7</v>
      </c>
      <c r="BG203">
        <v>0.24</v>
      </c>
      <c r="BH203">
        <v>0.45</v>
      </c>
      <c r="BI203">
        <v>0</v>
      </c>
      <c r="BJ203">
        <v>0.04</v>
      </c>
      <c r="BK203">
        <v>6.66</v>
      </c>
      <c r="BL203">
        <v>0</v>
      </c>
      <c r="BM203">
        <v>1.97</v>
      </c>
      <c r="BN203">
        <v>0.21</v>
      </c>
      <c r="BO203">
        <v>0.46</v>
      </c>
      <c r="BP203">
        <v>1.3</v>
      </c>
      <c r="BQ203">
        <v>1.1000000000000001</v>
      </c>
      <c r="BR203">
        <v>0.06</v>
      </c>
      <c r="BS203">
        <v>0.13</v>
      </c>
      <c r="BT203">
        <v>0</v>
      </c>
      <c r="BU203">
        <v>7.79</v>
      </c>
      <c r="BV203">
        <v>6.73</v>
      </c>
      <c r="BW203">
        <v>0.34</v>
      </c>
      <c r="BX203">
        <v>0.72</v>
      </c>
      <c r="BY203">
        <v>0</v>
      </c>
      <c r="BZ203">
        <v>0.04</v>
      </c>
      <c r="CA203">
        <v>6.7</v>
      </c>
      <c r="CB203">
        <v>0</v>
      </c>
      <c r="CC203">
        <f t="shared" si="6"/>
        <v>2.75</v>
      </c>
      <c r="CD203">
        <v>3.96</v>
      </c>
      <c r="CE203">
        <v>0.34230769230769231</v>
      </c>
      <c r="CF203">
        <v>0.44500000000000001</v>
      </c>
      <c r="CG203">
        <v>0.1492537313432836</v>
      </c>
      <c r="CH203">
        <v>0.17832167832167831</v>
      </c>
      <c r="CI203">
        <v>0</v>
      </c>
      <c r="CJ203">
        <v>18272</v>
      </c>
      <c r="CK203" t="s">
        <v>169</v>
      </c>
      <c r="CL203" t="s">
        <v>1124</v>
      </c>
      <c r="CM203" t="s">
        <v>143</v>
      </c>
      <c r="CN203">
        <v>0.16508800000000001</v>
      </c>
      <c r="CO203">
        <v>2.0532974259315311</v>
      </c>
      <c r="CP203">
        <v>202</v>
      </c>
      <c r="CQ203" t="s">
        <v>774</v>
      </c>
      <c r="CR203">
        <v>93</v>
      </c>
      <c r="CS203" t="s">
        <v>775</v>
      </c>
      <c r="CT203" t="s">
        <v>639</v>
      </c>
      <c r="CU203" t="s">
        <v>776</v>
      </c>
      <c r="CV203" t="s">
        <v>777</v>
      </c>
      <c r="CW203" t="s">
        <v>642</v>
      </c>
      <c r="CX203" t="s">
        <v>778</v>
      </c>
      <c r="CY203" t="s">
        <v>779</v>
      </c>
      <c r="CZ203" t="s">
        <v>645</v>
      </c>
      <c r="DA203" t="s">
        <v>152</v>
      </c>
      <c r="DB203" t="s">
        <v>491</v>
      </c>
      <c r="DC203" t="s">
        <v>459</v>
      </c>
      <c r="DD203" t="s">
        <v>492</v>
      </c>
      <c r="DE203">
        <v>5560</v>
      </c>
      <c r="DF203">
        <v>-88.498699999999999</v>
      </c>
      <c r="DG203">
        <v>38.153100000000002</v>
      </c>
      <c r="DH203">
        <v>7300</v>
      </c>
      <c r="DI203">
        <v>600</v>
      </c>
      <c r="DL203">
        <v>3.5</v>
      </c>
      <c r="DM203">
        <v>4</v>
      </c>
      <c r="DN203">
        <v>4</v>
      </c>
      <c r="DO203">
        <v>65</v>
      </c>
      <c r="DP203">
        <v>1</v>
      </c>
      <c r="DQ203">
        <v>400</v>
      </c>
      <c r="DR203">
        <v>140000</v>
      </c>
      <c r="DS203">
        <v>60</v>
      </c>
      <c r="DT203">
        <v>1.2500000000000001E-2</v>
      </c>
      <c r="DU203">
        <v>1.2500000000000001E-2</v>
      </c>
      <c r="DV203">
        <v>0.32500000000000001</v>
      </c>
      <c r="DW203">
        <v>0.32500000000000001</v>
      </c>
      <c r="DX203">
        <v>0.32500000000000001</v>
      </c>
      <c r="DY203">
        <v>0</v>
      </c>
      <c r="DZ203" s="4">
        <v>4.1020000000000003</v>
      </c>
      <c r="EA203" s="4" t="s">
        <v>1004</v>
      </c>
      <c r="EB203" s="4" t="s">
        <v>1005</v>
      </c>
      <c r="EC203">
        <v>4.9260000000000002</v>
      </c>
      <c r="ED203">
        <v>382</v>
      </c>
      <c r="EE203" t="s">
        <v>1123</v>
      </c>
      <c r="EF203">
        <v>0</v>
      </c>
      <c r="EH203">
        <f t="shared" si="7"/>
        <v>0.58000000000000007</v>
      </c>
      <c r="EI203">
        <v>3.38</v>
      </c>
      <c r="EJ203">
        <v>3.65</v>
      </c>
    </row>
    <row r="204" spans="1:140" x14ac:dyDescent="0.35">
      <c r="A204" s="1">
        <v>202</v>
      </c>
      <c r="B204">
        <v>-86.13479033789632</v>
      </c>
      <c r="C204">
        <v>40.350120202708297</v>
      </c>
      <c r="D204" t="s">
        <v>1125</v>
      </c>
      <c r="E204">
        <v>0.02</v>
      </c>
      <c r="F204" t="s">
        <v>160</v>
      </c>
      <c r="G204">
        <v>3.7100000000000001E-2</v>
      </c>
      <c r="H204" t="s">
        <v>161</v>
      </c>
      <c r="I204">
        <v>-9588481</v>
      </c>
      <c r="J204">
        <v>4916952</v>
      </c>
      <c r="K204" t="s">
        <v>1010</v>
      </c>
      <c r="L204" t="s">
        <v>1126</v>
      </c>
      <c r="M204">
        <v>80</v>
      </c>
      <c r="N204">
        <v>3.2090000000000001</v>
      </c>
      <c r="O204">
        <v>2</v>
      </c>
      <c r="P204">
        <v>3</v>
      </c>
      <c r="Q204">
        <v>18</v>
      </c>
      <c r="R204">
        <v>159</v>
      </c>
      <c r="S204">
        <v>15355</v>
      </c>
      <c r="T204" t="s">
        <v>1011</v>
      </c>
      <c r="U204">
        <v>6.9429307472785728</v>
      </c>
      <c r="V204" t="s">
        <v>1010</v>
      </c>
      <c r="W204">
        <v>0.1138</v>
      </c>
      <c r="X204">
        <v>10</v>
      </c>
      <c r="Y204">
        <v>8.9</v>
      </c>
      <c r="Z204">
        <v>8.9</v>
      </c>
      <c r="AA204">
        <v>20</v>
      </c>
      <c r="AB204">
        <v>26</v>
      </c>
      <c r="AC204">
        <v>1.393</v>
      </c>
      <c r="AD204">
        <v>67</v>
      </c>
      <c r="AE204">
        <v>0.2213922441195168</v>
      </c>
      <c r="AF204">
        <v>2.86</v>
      </c>
      <c r="AG204" t="s">
        <v>1011</v>
      </c>
      <c r="AH204" t="s">
        <v>1010</v>
      </c>
      <c r="AI204">
        <v>30</v>
      </c>
      <c r="AJ204">
        <v>0.01</v>
      </c>
      <c r="AK204">
        <v>10</v>
      </c>
      <c r="AL204" t="s">
        <v>1127</v>
      </c>
      <c r="AM204">
        <v>7906.0634694627624</v>
      </c>
      <c r="AN204">
        <v>1.44</v>
      </c>
      <c r="AO204">
        <v>0.09</v>
      </c>
      <c r="AP204">
        <v>0.19</v>
      </c>
      <c r="AQ204">
        <v>1.1499999999999999</v>
      </c>
      <c r="AR204">
        <v>1.1000000000000001</v>
      </c>
      <c r="AS204">
        <v>0.04</v>
      </c>
      <c r="AT204">
        <v>0.01</v>
      </c>
      <c r="AU204">
        <v>0.02</v>
      </c>
      <c r="AV204">
        <v>2.41</v>
      </c>
      <c r="AW204">
        <v>1.41</v>
      </c>
      <c r="AX204">
        <v>0.21</v>
      </c>
      <c r="AY204">
        <v>0.53</v>
      </c>
      <c r="AZ204">
        <v>0</v>
      </c>
      <c r="BA204">
        <v>1.17</v>
      </c>
      <c r="BB204">
        <v>0.08</v>
      </c>
      <c r="BC204">
        <v>0.17</v>
      </c>
      <c r="BD204">
        <v>0.27</v>
      </c>
      <c r="BE204">
        <v>6.83</v>
      </c>
      <c r="BF204">
        <v>6.14</v>
      </c>
      <c r="BG204">
        <v>0.24</v>
      </c>
      <c r="BH204">
        <v>0.45</v>
      </c>
      <c r="BI204">
        <v>0</v>
      </c>
      <c r="BJ204">
        <v>0.04</v>
      </c>
      <c r="BK204">
        <v>6.1</v>
      </c>
      <c r="BL204">
        <v>0</v>
      </c>
      <c r="BM204">
        <v>1.93</v>
      </c>
      <c r="BN204">
        <v>0.21</v>
      </c>
      <c r="BO204">
        <v>0.46</v>
      </c>
      <c r="BP204">
        <v>1.26</v>
      </c>
      <c r="BQ204">
        <v>1.08</v>
      </c>
      <c r="BR204">
        <v>0.06</v>
      </c>
      <c r="BS204">
        <v>0.12</v>
      </c>
      <c r="BT204">
        <v>0</v>
      </c>
      <c r="BU204">
        <v>7.24</v>
      </c>
      <c r="BV204">
        <v>6.18</v>
      </c>
      <c r="BW204">
        <v>0.34</v>
      </c>
      <c r="BX204">
        <v>0.72</v>
      </c>
      <c r="BY204">
        <v>0</v>
      </c>
      <c r="BZ204">
        <v>0.04</v>
      </c>
      <c r="CA204">
        <v>6.14</v>
      </c>
      <c r="CB204">
        <v>0</v>
      </c>
      <c r="CC204">
        <f t="shared" si="6"/>
        <v>2.75</v>
      </c>
      <c r="CD204">
        <v>3.96</v>
      </c>
      <c r="CE204">
        <v>0.34230769230769231</v>
      </c>
      <c r="CF204">
        <v>0.44500000000000001</v>
      </c>
      <c r="CG204">
        <v>0.1492537313432836</v>
      </c>
      <c r="CH204">
        <v>0.48706293706293707</v>
      </c>
      <c r="CI204">
        <v>0</v>
      </c>
      <c r="CJ204">
        <v>31908</v>
      </c>
      <c r="CK204" t="s">
        <v>141</v>
      </c>
      <c r="CL204" t="s">
        <v>1000</v>
      </c>
      <c r="CM204" t="s">
        <v>143</v>
      </c>
      <c r="CN204">
        <v>0.35717576625500003</v>
      </c>
      <c r="CO204">
        <v>23.396467399369691</v>
      </c>
      <c r="CP204">
        <v>203</v>
      </c>
      <c r="CQ204" t="s">
        <v>1018</v>
      </c>
      <c r="CR204">
        <v>144</v>
      </c>
      <c r="CS204" t="s">
        <v>650</v>
      </c>
      <c r="CT204" t="s">
        <v>651</v>
      </c>
      <c r="CU204" t="s">
        <v>640</v>
      </c>
      <c r="CV204" t="s">
        <v>652</v>
      </c>
      <c r="CW204" t="s">
        <v>653</v>
      </c>
      <c r="CX204" t="s">
        <v>654</v>
      </c>
      <c r="CY204" t="s">
        <v>655</v>
      </c>
      <c r="CZ204" t="s">
        <v>645</v>
      </c>
      <c r="DA204" t="s">
        <v>152</v>
      </c>
      <c r="DB204" t="s">
        <v>178</v>
      </c>
      <c r="DC204" t="s">
        <v>656</v>
      </c>
      <c r="DD204" t="s">
        <v>657</v>
      </c>
      <c r="DE204">
        <v>10350</v>
      </c>
      <c r="DF204">
        <v>-84.596498999999994</v>
      </c>
      <c r="DG204">
        <v>38.291331</v>
      </c>
      <c r="DH204">
        <v>4500</v>
      </c>
      <c r="DI204">
        <v>200</v>
      </c>
      <c r="DL204">
        <v>10</v>
      </c>
      <c r="DM204">
        <v>8</v>
      </c>
      <c r="DN204">
        <v>12</v>
      </c>
      <c r="DO204">
        <v>50</v>
      </c>
      <c r="DP204">
        <v>25</v>
      </c>
      <c r="DQ204">
        <v>100</v>
      </c>
      <c r="DS204" t="s">
        <v>658</v>
      </c>
      <c r="DT204">
        <v>1.2500000000000001E-2</v>
      </c>
      <c r="DU204">
        <v>1.2500000000000001E-2</v>
      </c>
      <c r="DV204">
        <v>0.32500000000000001</v>
      </c>
      <c r="DW204">
        <v>0.32500000000000001</v>
      </c>
      <c r="DX204">
        <v>0.32500000000000001</v>
      </c>
      <c r="DY204">
        <v>0</v>
      </c>
      <c r="DZ204" s="4">
        <v>3.262</v>
      </c>
      <c r="EA204" s="4" t="s">
        <v>1013</v>
      </c>
      <c r="EB204" s="4" t="s">
        <v>1014</v>
      </c>
      <c r="EC204">
        <v>4.8860000000000001</v>
      </c>
      <c r="ED204">
        <v>219</v>
      </c>
      <c r="EE204" t="s">
        <v>1127</v>
      </c>
      <c r="EF204">
        <v>5.4107445495177063E-2</v>
      </c>
      <c r="EH204">
        <f t="shared" si="7"/>
        <v>0.58000000000000007</v>
      </c>
      <c r="EI204">
        <v>3.38</v>
      </c>
      <c r="EJ204">
        <v>3.65</v>
      </c>
    </row>
    <row r="205" spans="1:140" x14ac:dyDescent="0.35">
      <c r="A205" s="1">
        <v>203</v>
      </c>
      <c r="B205">
        <v>-84.338159769657281</v>
      </c>
      <c r="C205">
        <v>40.350120202708297</v>
      </c>
      <c r="D205" t="s">
        <v>1128</v>
      </c>
      <c r="E205">
        <v>0.02</v>
      </c>
      <c r="F205" t="s">
        <v>160</v>
      </c>
      <c r="G205">
        <v>3.7100000000000001E-2</v>
      </c>
      <c r="H205" t="s">
        <v>161</v>
      </c>
      <c r="I205">
        <v>-9388481</v>
      </c>
      <c r="J205">
        <v>4916952</v>
      </c>
      <c r="K205" t="s">
        <v>1020</v>
      </c>
      <c r="L205" t="s">
        <v>1129</v>
      </c>
      <c r="M205">
        <v>75</v>
      </c>
      <c r="N205">
        <v>3.488</v>
      </c>
      <c r="O205">
        <v>2</v>
      </c>
      <c r="P205">
        <v>3</v>
      </c>
      <c r="Q205">
        <v>39</v>
      </c>
      <c r="R205">
        <v>149</v>
      </c>
      <c r="S205">
        <v>48222</v>
      </c>
      <c r="T205" t="s">
        <v>800</v>
      </c>
      <c r="U205">
        <v>7.7910183558024109</v>
      </c>
      <c r="V205" t="s">
        <v>1020</v>
      </c>
      <c r="W205">
        <v>0.1129</v>
      </c>
      <c r="X205">
        <v>10</v>
      </c>
      <c r="Y205">
        <v>8.9</v>
      </c>
      <c r="Z205">
        <v>8.9</v>
      </c>
      <c r="AA205">
        <v>20</v>
      </c>
      <c r="AB205">
        <v>26</v>
      </c>
      <c r="AC205">
        <v>1.0049999999999999</v>
      </c>
      <c r="AD205">
        <v>67</v>
      </c>
      <c r="AE205">
        <v>0.15972663699936421</v>
      </c>
      <c r="AF205">
        <v>2.86</v>
      </c>
      <c r="AG205" t="s">
        <v>800</v>
      </c>
      <c r="AH205" t="s">
        <v>1020</v>
      </c>
      <c r="AI205">
        <v>27</v>
      </c>
      <c r="AJ205">
        <v>8.9999999999999993E-3</v>
      </c>
      <c r="AK205">
        <v>9</v>
      </c>
      <c r="AL205" t="s">
        <v>1130</v>
      </c>
      <c r="AM205">
        <v>0</v>
      </c>
      <c r="AN205">
        <v>1.58</v>
      </c>
      <c r="AO205">
        <v>0.09</v>
      </c>
      <c r="AP205">
        <v>0.19</v>
      </c>
      <c r="AQ205">
        <v>1.29</v>
      </c>
      <c r="AR205">
        <v>1.23</v>
      </c>
      <c r="AS205">
        <v>0.04</v>
      </c>
      <c r="AT205">
        <v>0.01</v>
      </c>
      <c r="AU205">
        <v>0.02</v>
      </c>
      <c r="AV205">
        <v>2.5499999999999998</v>
      </c>
      <c r="AW205">
        <v>1.56</v>
      </c>
      <c r="AX205">
        <v>0.21</v>
      </c>
      <c r="AY205">
        <v>0.53</v>
      </c>
      <c r="AZ205">
        <v>0</v>
      </c>
      <c r="BA205">
        <v>1.31</v>
      </c>
      <c r="BB205">
        <v>0.08</v>
      </c>
      <c r="BC205">
        <v>0.17</v>
      </c>
      <c r="BD205">
        <v>0.27</v>
      </c>
      <c r="BE205">
        <v>6.83</v>
      </c>
      <c r="BF205">
        <v>6.14</v>
      </c>
      <c r="BG205">
        <v>0.24</v>
      </c>
      <c r="BH205">
        <v>0.45</v>
      </c>
      <c r="BI205">
        <v>0</v>
      </c>
      <c r="BJ205">
        <v>0.04</v>
      </c>
      <c r="BK205">
        <v>6.1</v>
      </c>
      <c r="BL205">
        <v>0</v>
      </c>
      <c r="BM205">
        <v>2.0699999999999998</v>
      </c>
      <c r="BN205">
        <v>0.21</v>
      </c>
      <c r="BO205">
        <v>0.46</v>
      </c>
      <c r="BP205">
        <v>1.4</v>
      </c>
      <c r="BQ205">
        <v>1.22</v>
      </c>
      <c r="BR205">
        <v>0.06</v>
      </c>
      <c r="BS205">
        <v>0.12</v>
      </c>
      <c r="BT205">
        <v>0</v>
      </c>
      <c r="BU205">
        <v>7.24</v>
      </c>
      <c r="BV205">
        <v>6.18</v>
      </c>
      <c r="BW205">
        <v>0.34</v>
      </c>
      <c r="BX205">
        <v>0.72</v>
      </c>
      <c r="BY205">
        <v>0</v>
      </c>
      <c r="BZ205">
        <v>0.04</v>
      </c>
      <c r="CA205">
        <v>6.14</v>
      </c>
      <c r="CB205">
        <v>0</v>
      </c>
      <c r="CC205">
        <f t="shared" si="6"/>
        <v>2.75</v>
      </c>
      <c r="CD205">
        <v>3.96</v>
      </c>
      <c r="CE205">
        <v>0.34230769230769231</v>
      </c>
      <c r="CF205">
        <v>0.44500000000000001</v>
      </c>
      <c r="CG205">
        <v>0.1492537313432836</v>
      </c>
      <c r="CH205">
        <v>0.35139860139860141</v>
      </c>
      <c r="CI205">
        <v>0</v>
      </c>
      <c r="CJ205">
        <v>26164</v>
      </c>
      <c r="CK205" t="s">
        <v>169</v>
      </c>
      <c r="CL205" t="s">
        <v>1131</v>
      </c>
      <c r="CM205" t="s">
        <v>143</v>
      </c>
      <c r="CN205">
        <v>0.34146264024799999</v>
      </c>
      <c r="CO205">
        <v>17.915642195797709</v>
      </c>
      <c r="CP205">
        <v>204</v>
      </c>
      <c r="CQ205" t="s">
        <v>1018</v>
      </c>
      <c r="CR205">
        <v>144</v>
      </c>
      <c r="CS205" t="s">
        <v>650</v>
      </c>
      <c r="CT205" t="s">
        <v>651</v>
      </c>
      <c r="CU205" t="s">
        <v>640</v>
      </c>
      <c r="CV205" t="s">
        <v>652</v>
      </c>
      <c r="CW205" t="s">
        <v>653</v>
      </c>
      <c r="CX205" t="s">
        <v>654</v>
      </c>
      <c r="CY205" t="s">
        <v>655</v>
      </c>
      <c r="CZ205" t="s">
        <v>645</v>
      </c>
      <c r="DA205" t="s">
        <v>152</v>
      </c>
      <c r="DB205" t="s">
        <v>178</v>
      </c>
      <c r="DC205" t="s">
        <v>656</v>
      </c>
      <c r="DD205" t="s">
        <v>657</v>
      </c>
      <c r="DE205">
        <v>10350</v>
      </c>
      <c r="DF205">
        <v>-84.596498999999994</v>
      </c>
      <c r="DG205">
        <v>38.291331</v>
      </c>
      <c r="DH205">
        <v>4500</v>
      </c>
      <c r="DI205">
        <v>200</v>
      </c>
      <c r="DL205">
        <v>10</v>
      </c>
      <c r="DM205">
        <v>8</v>
      </c>
      <c r="DN205">
        <v>12</v>
      </c>
      <c r="DO205">
        <v>50</v>
      </c>
      <c r="DP205">
        <v>25</v>
      </c>
      <c r="DQ205">
        <v>100</v>
      </c>
      <c r="DS205" t="s">
        <v>658</v>
      </c>
      <c r="DT205">
        <v>1.2500000000000001E-2</v>
      </c>
      <c r="DU205">
        <v>1.2500000000000001E-2</v>
      </c>
      <c r="DV205">
        <v>0.32500000000000001</v>
      </c>
      <c r="DW205">
        <v>0.32500000000000001</v>
      </c>
      <c r="DX205">
        <v>0.32500000000000001</v>
      </c>
      <c r="DY205">
        <v>0</v>
      </c>
      <c r="DZ205" s="4">
        <v>3.8639999999999999</v>
      </c>
      <c r="EA205" s="4" t="s">
        <v>788</v>
      </c>
      <c r="EB205" s="4" t="s">
        <v>1023</v>
      </c>
      <c r="EC205">
        <v>4.7919999999999998</v>
      </c>
      <c r="ED205">
        <v>902</v>
      </c>
      <c r="EE205" t="s">
        <v>1130</v>
      </c>
      <c r="EF205">
        <v>0</v>
      </c>
      <c r="EH205">
        <f t="shared" si="7"/>
        <v>0.58000000000000007</v>
      </c>
      <c r="EI205">
        <v>3.38</v>
      </c>
      <c r="EJ205">
        <v>3.65</v>
      </c>
    </row>
    <row r="206" spans="1:140" x14ac:dyDescent="0.35">
      <c r="A206" s="1">
        <v>204</v>
      </c>
      <c r="B206">
        <v>-82.541529201418243</v>
      </c>
      <c r="C206">
        <v>40.350120202708297</v>
      </c>
      <c r="D206" t="s">
        <v>1132</v>
      </c>
      <c r="E206">
        <v>0.02</v>
      </c>
      <c r="F206" t="s">
        <v>160</v>
      </c>
      <c r="G206">
        <v>3.7100000000000001E-2</v>
      </c>
      <c r="H206" t="s">
        <v>161</v>
      </c>
      <c r="I206">
        <v>-9188481</v>
      </c>
      <c r="J206">
        <v>4916952</v>
      </c>
      <c r="K206" t="s">
        <v>1020</v>
      </c>
      <c r="L206" t="s">
        <v>639</v>
      </c>
      <c r="M206">
        <v>42</v>
      </c>
      <c r="N206">
        <v>3.7160000000000002</v>
      </c>
      <c r="O206">
        <v>2</v>
      </c>
      <c r="P206">
        <v>3</v>
      </c>
      <c r="Q206">
        <v>39</v>
      </c>
      <c r="R206">
        <v>83</v>
      </c>
      <c r="S206">
        <v>62711</v>
      </c>
      <c r="T206" t="s">
        <v>800</v>
      </c>
      <c r="U206">
        <v>7.7910183558024109</v>
      </c>
      <c r="V206" t="s">
        <v>1020</v>
      </c>
      <c r="W206">
        <v>0.1129</v>
      </c>
      <c r="X206">
        <v>10</v>
      </c>
      <c r="Y206">
        <v>8.9</v>
      </c>
      <c r="Z206">
        <v>8.9</v>
      </c>
      <c r="AA206">
        <v>20</v>
      </c>
      <c r="AB206">
        <v>26</v>
      </c>
      <c r="AC206">
        <v>1.0049999999999999</v>
      </c>
      <c r="AD206">
        <v>67</v>
      </c>
      <c r="AE206">
        <v>0.15972663699936421</v>
      </c>
      <c r="AF206">
        <v>2.86</v>
      </c>
      <c r="AG206" t="s">
        <v>800</v>
      </c>
      <c r="AH206" t="s">
        <v>1020</v>
      </c>
      <c r="AI206">
        <v>27</v>
      </c>
      <c r="AJ206">
        <v>8.9999999999999993E-3</v>
      </c>
      <c r="AK206">
        <v>9</v>
      </c>
      <c r="AL206" t="s">
        <v>1133</v>
      </c>
      <c r="AM206">
        <v>0</v>
      </c>
      <c r="AN206">
        <v>1.58</v>
      </c>
      <c r="AO206">
        <v>0.09</v>
      </c>
      <c r="AP206">
        <v>0.19</v>
      </c>
      <c r="AQ206">
        <v>1.29</v>
      </c>
      <c r="AR206">
        <v>1.23</v>
      </c>
      <c r="AS206">
        <v>0.04</v>
      </c>
      <c r="AT206">
        <v>0.01</v>
      </c>
      <c r="AU206">
        <v>0.02</v>
      </c>
      <c r="AV206">
        <v>2.5499999999999998</v>
      </c>
      <c r="AW206">
        <v>1.56</v>
      </c>
      <c r="AX206">
        <v>0.21</v>
      </c>
      <c r="AY206">
        <v>0.53</v>
      </c>
      <c r="AZ206">
        <v>0</v>
      </c>
      <c r="BA206">
        <v>1.31</v>
      </c>
      <c r="BB206">
        <v>0.08</v>
      </c>
      <c r="BC206">
        <v>0.17</v>
      </c>
      <c r="BD206">
        <v>0.27</v>
      </c>
      <c r="BE206">
        <v>6.83</v>
      </c>
      <c r="BF206">
        <v>6.14</v>
      </c>
      <c r="BG206">
        <v>0.24</v>
      </c>
      <c r="BH206">
        <v>0.45</v>
      </c>
      <c r="BI206">
        <v>0</v>
      </c>
      <c r="BJ206">
        <v>0.04</v>
      </c>
      <c r="BK206">
        <v>6.1</v>
      </c>
      <c r="BL206">
        <v>0</v>
      </c>
      <c r="BM206">
        <v>2.0699999999999998</v>
      </c>
      <c r="BN206">
        <v>0.21</v>
      </c>
      <c r="BO206">
        <v>0.46</v>
      </c>
      <c r="BP206">
        <v>1.4</v>
      </c>
      <c r="BQ206">
        <v>1.22</v>
      </c>
      <c r="BR206">
        <v>0.06</v>
      </c>
      <c r="BS206">
        <v>0.12</v>
      </c>
      <c r="BT206">
        <v>0</v>
      </c>
      <c r="BU206">
        <v>7.24</v>
      </c>
      <c r="BV206">
        <v>6.18</v>
      </c>
      <c r="BW206">
        <v>0.34</v>
      </c>
      <c r="BX206">
        <v>0.72</v>
      </c>
      <c r="BY206">
        <v>0</v>
      </c>
      <c r="BZ206">
        <v>0.04</v>
      </c>
      <c r="CA206">
        <v>6.14</v>
      </c>
      <c r="CB206">
        <v>0</v>
      </c>
      <c r="CC206">
        <f t="shared" si="6"/>
        <v>2.75</v>
      </c>
      <c r="CD206">
        <v>3.96</v>
      </c>
      <c r="CE206">
        <v>0.34230769230769231</v>
      </c>
      <c r="CF206">
        <v>0.44500000000000001</v>
      </c>
      <c r="CG206">
        <v>0.1492537313432836</v>
      </c>
      <c r="CH206">
        <v>0.35139860139860141</v>
      </c>
      <c r="CI206">
        <v>0</v>
      </c>
      <c r="CJ206">
        <v>2440</v>
      </c>
      <c r="CK206" t="s">
        <v>141</v>
      </c>
      <c r="CL206" t="s">
        <v>914</v>
      </c>
      <c r="CM206" t="s">
        <v>143</v>
      </c>
      <c r="CN206">
        <v>0.103131538917</v>
      </c>
      <c r="CO206">
        <v>4.2917793946626279</v>
      </c>
      <c r="CP206">
        <v>205</v>
      </c>
      <c r="CQ206" t="s">
        <v>1134</v>
      </c>
      <c r="CR206">
        <v>141</v>
      </c>
      <c r="CS206" t="s">
        <v>1135</v>
      </c>
      <c r="CT206" t="s">
        <v>651</v>
      </c>
      <c r="CU206" t="s">
        <v>1136</v>
      </c>
      <c r="CV206" t="s">
        <v>1137</v>
      </c>
      <c r="CW206" t="s">
        <v>1138</v>
      </c>
      <c r="CX206" t="s">
        <v>1139</v>
      </c>
      <c r="CY206" t="s">
        <v>1140</v>
      </c>
      <c r="CZ206" t="s">
        <v>686</v>
      </c>
      <c r="DA206" t="s">
        <v>152</v>
      </c>
      <c r="DB206" t="s">
        <v>178</v>
      </c>
      <c r="DC206" t="s">
        <v>656</v>
      </c>
      <c r="DD206" t="s">
        <v>657</v>
      </c>
      <c r="DE206">
        <v>4788</v>
      </c>
      <c r="DF206">
        <v>-83.666839999999993</v>
      </c>
      <c r="DG206">
        <v>42.225355</v>
      </c>
      <c r="DH206">
        <v>4000</v>
      </c>
      <c r="DI206">
        <v>250</v>
      </c>
      <c r="DL206">
        <v>12</v>
      </c>
      <c r="DM206">
        <v>10</v>
      </c>
      <c r="DN206">
        <v>14</v>
      </c>
      <c r="DO206">
        <v>125</v>
      </c>
      <c r="DP206">
        <v>60</v>
      </c>
      <c r="DQ206">
        <v>250</v>
      </c>
      <c r="DS206" t="s">
        <v>658</v>
      </c>
      <c r="DT206">
        <v>1.2500000000000001E-2</v>
      </c>
      <c r="DU206">
        <v>1.2500000000000001E-2</v>
      </c>
      <c r="DV206">
        <v>0.32500000000000001</v>
      </c>
      <c r="DW206">
        <v>0.32500000000000001</v>
      </c>
      <c r="DX206">
        <v>0.32500000000000001</v>
      </c>
      <c r="DY206">
        <v>0</v>
      </c>
      <c r="DZ206" s="4">
        <v>3.8639999999999999</v>
      </c>
      <c r="EA206" s="4" t="s">
        <v>788</v>
      </c>
      <c r="EB206" s="4" t="s">
        <v>1023</v>
      </c>
      <c r="EC206">
        <v>4.7919999999999998</v>
      </c>
      <c r="ED206">
        <v>793</v>
      </c>
      <c r="EE206" t="s">
        <v>1133</v>
      </c>
      <c r="EF206">
        <v>0</v>
      </c>
      <c r="EH206">
        <f t="shared" si="7"/>
        <v>0.58000000000000007</v>
      </c>
      <c r="EI206">
        <v>3.38</v>
      </c>
      <c r="EJ206">
        <v>3.65</v>
      </c>
    </row>
    <row r="207" spans="1:140" x14ac:dyDescent="0.35">
      <c r="A207" s="1">
        <v>205</v>
      </c>
      <c r="B207">
        <v>-80.74489863317919</v>
      </c>
      <c r="C207">
        <v>40.350120202708297</v>
      </c>
      <c r="D207" t="s">
        <v>1141</v>
      </c>
      <c r="E207">
        <v>0.02</v>
      </c>
      <c r="F207" t="s">
        <v>160</v>
      </c>
      <c r="G207">
        <v>3.7100000000000001E-2</v>
      </c>
      <c r="H207" t="s">
        <v>161</v>
      </c>
      <c r="I207">
        <v>-8988481</v>
      </c>
      <c r="J207">
        <v>4916952</v>
      </c>
      <c r="K207" t="s">
        <v>1020</v>
      </c>
      <c r="L207" t="s">
        <v>529</v>
      </c>
      <c r="M207">
        <v>41</v>
      </c>
      <c r="N207">
        <v>3.718</v>
      </c>
      <c r="O207">
        <v>2</v>
      </c>
      <c r="P207">
        <v>3</v>
      </c>
      <c r="Q207">
        <v>39</v>
      </c>
      <c r="R207">
        <v>81</v>
      </c>
      <c r="S207">
        <v>65247</v>
      </c>
      <c r="T207" t="s">
        <v>800</v>
      </c>
      <c r="U207">
        <v>7.7910183558024109</v>
      </c>
      <c r="V207" t="s">
        <v>1020</v>
      </c>
      <c r="W207">
        <v>0.1129</v>
      </c>
      <c r="X207">
        <v>10</v>
      </c>
      <c r="Y207">
        <v>8.9</v>
      </c>
      <c r="Z207">
        <v>8.9</v>
      </c>
      <c r="AA207">
        <v>20</v>
      </c>
      <c r="AB207">
        <v>26</v>
      </c>
      <c r="AC207">
        <v>1.0049999999999999</v>
      </c>
      <c r="AD207">
        <v>67</v>
      </c>
      <c r="AE207">
        <v>0.15972663699936421</v>
      </c>
      <c r="AF207">
        <v>2.86</v>
      </c>
      <c r="AG207" t="s">
        <v>800</v>
      </c>
      <c r="AH207" t="s">
        <v>1020</v>
      </c>
      <c r="AI207">
        <v>27</v>
      </c>
      <c r="AJ207">
        <v>8.9999999999999993E-3</v>
      </c>
      <c r="AK207">
        <v>9</v>
      </c>
      <c r="AL207" t="s">
        <v>1142</v>
      </c>
      <c r="AM207">
        <v>0</v>
      </c>
      <c r="AN207">
        <v>1.58</v>
      </c>
      <c r="AO207">
        <v>0.09</v>
      </c>
      <c r="AP207">
        <v>0.19</v>
      </c>
      <c r="AQ207">
        <v>1.29</v>
      </c>
      <c r="AR207">
        <v>1.23</v>
      </c>
      <c r="AS207">
        <v>0.04</v>
      </c>
      <c r="AT207">
        <v>0.01</v>
      </c>
      <c r="AU207">
        <v>0.02</v>
      </c>
      <c r="AV207">
        <v>2.5499999999999998</v>
      </c>
      <c r="AW207">
        <v>1.56</v>
      </c>
      <c r="AX207">
        <v>0.21</v>
      </c>
      <c r="AY207">
        <v>0.53</v>
      </c>
      <c r="AZ207">
        <v>0</v>
      </c>
      <c r="BA207">
        <v>1.31</v>
      </c>
      <c r="BB207">
        <v>0.08</v>
      </c>
      <c r="BC207">
        <v>0.17</v>
      </c>
      <c r="BD207">
        <v>0.27</v>
      </c>
      <c r="BE207">
        <v>6.83</v>
      </c>
      <c r="BF207">
        <v>6.14</v>
      </c>
      <c r="BG207">
        <v>0.24</v>
      </c>
      <c r="BH207">
        <v>0.45</v>
      </c>
      <c r="BI207">
        <v>0</v>
      </c>
      <c r="BJ207">
        <v>0.04</v>
      </c>
      <c r="BK207">
        <v>6.1</v>
      </c>
      <c r="BL207">
        <v>0</v>
      </c>
      <c r="BM207">
        <v>2.0699999999999998</v>
      </c>
      <c r="BN207">
        <v>0.21</v>
      </c>
      <c r="BO207">
        <v>0.46</v>
      </c>
      <c r="BP207">
        <v>1.4</v>
      </c>
      <c r="BQ207">
        <v>1.22</v>
      </c>
      <c r="BR207">
        <v>0.06</v>
      </c>
      <c r="BS207">
        <v>0.12</v>
      </c>
      <c r="BT207">
        <v>0</v>
      </c>
      <c r="BU207">
        <v>7.24</v>
      </c>
      <c r="BV207">
        <v>6.18</v>
      </c>
      <c r="BW207">
        <v>0.34</v>
      </c>
      <c r="BX207">
        <v>0.72</v>
      </c>
      <c r="BY207">
        <v>0</v>
      </c>
      <c r="BZ207">
        <v>0.04</v>
      </c>
      <c r="CA207">
        <v>6.14</v>
      </c>
      <c r="CB207">
        <v>0</v>
      </c>
      <c r="CC207">
        <f t="shared" si="6"/>
        <v>2.75</v>
      </c>
      <c r="CD207">
        <v>3.96</v>
      </c>
      <c r="CE207">
        <v>0.34230769230769231</v>
      </c>
      <c r="CF207">
        <v>0.44500000000000001</v>
      </c>
      <c r="CG207">
        <v>0.1492537313432836</v>
      </c>
      <c r="CH207">
        <v>0.35139860139860141</v>
      </c>
      <c r="CI207">
        <v>0</v>
      </c>
      <c r="CJ207">
        <v>4005</v>
      </c>
      <c r="CK207" t="s">
        <v>141</v>
      </c>
      <c r="CL207" t="s">
        <v>914</v>
      </c>
      <c r="CM207" t="s">
        <v>143</v>
      </c>
      <c r="CN207">
        <v>0.110109763418</v>
      </c>
      <c r="CO207">
        <v>7.2690436170134314</v>
      </c>
      <c r="CP207">
        <v>206</v>
      </c>
      <c r="CQ207" t="s">
        <v>798</v>
      </c>
      <c r="CR207">
        <v>143</v>
      </c>
      <c r="CS207" t="s">
        <v>799</v>
      </c>
      <c r="CT207" t="s">
        <v>651</v>
      </c>
      <c r="CU207" t="s">
        <v>800</v>
      </c>
      <c r="CV207" t="s">
        <v>801</v>
      </c>
      <c r="CW207" t="s">
        <v>802</v>
      </c>
      <c r="CX207" t="s">
        <v>803</v>
      </c>
      <c r="CY207" t="s">
        <v>804</v>
      </c>
      <c r="CZ207" t="s">
        <v>645</v>
      </c>
      <c r="DA207" t="s">
        <v>152</v>
      </c>
      <c r="DB207" t="s">
        <v>178</v>
      </c>
      <c r="DC207" t="s">
        <v>656</v>
      </c>
      <c r="DD207" t="s">
        <v>657</v>
      </c>
      <c r="DE207">
        <v>21400</v>
      </c>
      <c r="DF207">
        <v>-83.760228999999995</v>
      </c>
      <c r="DG207">
        <v>40.092838999999998</v>
      </c>
      <c r="DH207">
        <v>3000</v>
      </c>
      <c r="DI207">
        <v>200</v>
      </c>
      <c r="DL207">
        <v>12</v>
      </c>
      <c r="DM207">
        <v>10</v>
      </c>
      <c r="DN207">
        <v>14</v>
      </c>
      <c r="DO207">
        <v>125</v>
      </c>
      <c r="DP207">
        <v>60</v>
      </c>
      <c r="DQ207">
        <v>250</v>
      </c>
      <c r="DS207" t="s">
        <v>658</v>
      </c>
      <c r="DT207">
        <v>1.2500000000000001E-2</v>
      </c>
      <c r="DU207">
        <v>1.2500000000000001E-2</v>
      </c>
      <c r="DV207">
        <v>0.32500000000000001</v>
      </c>
      <c r="DW207">
        <v>0.32500000000000001</v>
      </c>
      <c r="DX207">
        <v>0.32500000000000001</v>
      </c>
      <c r="DY207">
        <v>0</v>
      </c>
      <c r="DZ207" s="4">
        <v>3.8639999999999999</v>
      </c>
      <c r="EA207" s="4" t="s">
        <v>788</v>
      </c>
      <c r="EB207" s="4" t="s">
        <v>1023</v>
      </c>
      <c r="EC207">
        <v>4.7919999999999998</v>
      </c>
      <c r="ED207">
        <v>914</v>
      </c>
      <c r="EE207" t="s">
        <v>1142</v>
      </c>
      <c r="EF207">
        <v>0</v>
      </c>
      <c r="EH207">
        <f t="shared" si="7"/>
        <v>0.58000000000000007</v>
      </c>
      <c r="EI207">
        <v>3.38</v>
      </c>
      <c r="EJ207">
        <v>3.65</v>
      </c>
    </row>
    <row r="208" spans="1:140" x14ac:dyDescent="0.35">
      <c r="A208" s="1">
        <v>206</v>
      </c>
      <c r="B208">
        <v>-78.948268064940152</v>
      </c>
      <c r="C208">
        <v>40.350120202708297</v>
      </c>
      <c r="D208" t="s">
        <v>1143</v>
      </c>
      <c r="E208">
        <v>0.02</v>
      </c>
      <c r="F208" t="s">
        <v>160</v>
      </c>
      <c r="G208">
        <v>3.7100000000000001E-2</v>
      </c>
      <c r="H208" t="s">
        <v>161</v>
      </c>
      <c r="I208">
        <v>-8788481</v>
      </c>
      <c r="J208">
        <v>4916952</v>
      </c>
      <c r="K208" t="s">
        <v>1144</v>
      </c>
      <c r="L208" t="s">
        <v>1145</v>
      </c>
      <c r="M208">
        <v>11</v>
      </c>
      <c r="N208">
        <v>4.0019999999999998</v>
      </c>
      <c r="O208">
        <v>1</v>
      </c>
      <c r="P208">
        <v>2</v>
      </c>
      <c r="Q208">
        <v>42</v>
      </c>
      <c r="R208">
        <v>21</v>
      </c>
      <c r="S208">
        <v>133477</v>
      </c>
      <c r="T208" t="s">
        <v>1146</v>
      </c>
      <c r="U208">
        <v>9.0305121245715299</v>
      </c>
      <c r="V208" t="s">
        <v>1144</v>
      </c>
      <c r="W208">
        <v>0.12509999999999999</v>
      </c>
      <c r="X208">
        <v>10</v>
      </c>
      <c r="Y208">
        <v>8.9</v>
      </c>
      <c r="Z208">
        <v>8.9</v>
      </c>
      <c r="AA208">
        <v>20</v>
      </c>
      <c r="AB208">
        <v>26</v>
      </c>
      <c r="AC208">
        <v>0.65900000000000003</v>
      </c>
      <c r="AD208">
        <v>67</v>
      </c>
      <c r="AE208">
        <v>0.1047361729179911</v>
      </c>
      <c r="AF208">
        <v>2.86</v>
      </c>
      <c r="AG208" t="s">
        <v>1146</v>
      </c>
      <c r="AH208" t="s">
        <v>1144</v>
      </c>
      <c r="AI208">
        <v>31</v>
      </c>
      <c r="AJ208">
        <v>1.033333333333333E-2</v>
      </c>
      <c r="AK208">
        <v>10.33333333333333</v>
      </c>
      <c r="AL208" t="s">
        <v>1147</v>
      </c>
      <c r="AM208">
        <v>0</v>
      </c>
      <c r="AN208">
        <v>1.78</v>
      </c>
      <c r="AO208">
        <v>0.09</v>
      </c>
      <c r="AP208">
        <v>0.19</v>
      </c>
      <c r="AQ208">
        <v>1.49</v>
      </c>
      <c r="AR208">
        <v>1.43</v>
      </c>
      <c r="AS208">
        <v>0.04</v>
      </c>
      <c r="AT208">
        <v>0.02</v>
      </c>
      <c r="AU208">
        <v>0.02</v>
      </c>
      <c r="AV208">
        <v>2.79</v>
      </c>
      <c r="AW208">
        <v>1.79</v>
      </c>
      <c r="AX208">
        <v>0.21</v>
      </c>
      <c r="AY208">
        <v>0.53</v>
      </c>
      <c r="AZ208">
        <v>0</v>
      </c>
      <c r="BA208">
        <v>1.52</v>
      </c>
      <c r="BB208">
        <v>0.08</v>
      </c>
      <c r="BC208">
        <v>0.2</v>
      </c>
      <c r="BD208">
        <v>0.27</v>
      </c>
      <c r="BE208">
        <v>7.94</v>
      </c>
      <c r="BF208">
        <v>7.25</v>
      </c>
      <c r="BG208">
        <v>0.24</v>
      </c>
      <c r="BH208">
        <v>0.45</v>
      </c>
      <c r="BI208">
        <v>0</v>
      </c>
      <c r="BJ208">
        <v>0.04</v>
      </c>
      <c r="BK208">
        <v>7.21</v>
      </c>
      <c r="BL208">
        <v>0</v>
      </c>
      <c r="BM208">
        <v>2.2799999999999998</v>
      </c>
      <c r="BN208">
        <v>0.21</v>
      </c>
      <c r="BO208">
        <v>0.46</v>
      </c>
      <c r="BP208">
        <v>1.61</v>
      </c>
      <c r="BQ208">
        <v>1.41</v>
      </c>
      <c r="BR208">
        <v>0.06</v>
      </c>
      <c r="BS208">
        <v>0.14000000000000001</v>
      </c>
      <c r="BT208">
        <v>0</v>
      </c>
      <c r="BU208">
        <v>8.35</v>
      </c>
      <c r="BV208">
        <v>7.29</v>
      </c>
      <c r="BW208">
        <v>0.34</v>
      </c>
      <c r="BX208">
        <v>0.72</v>
      </c>
      <c r="BY208">
        <v>0</v>
      </c>
      <c r="BZ208">
        <v>0.04</v>
      </c>
      <c r="CA208">
        <v>7.25</v>
      </c>
      <c r="CB208">
        <v>0</v>
      </c>
      <c r="CC208">
        <f t="shared" si="6"/>
        <v>2.75</v>
      </c>
      <c r="CD208">
        <v>3.96</v>
      </c>
      <c r="CE208">
        <v>0.34230769230769231</v>
      </c>
      <c r="CF208">
        <v>0.44500000000000001</v>
      </c>
      <c r="CG208">
        <v>0.1492537313432836</v>
      </c>
      <c r="CH208">
        <v>0.23041958041958041</v>
      </c>
      <c r="CI208">
        <v>0</v>
      </c>
      <c r="CJ208">
        <v>9843</v>
      </c>
      <c r="CK208" t="s">
        <v>141</v>
      </c>
      <c r="CL208" t="s">
        <v>1148</v>
      </c>
      <c r="CM208" t="s">
        <v>143</v>
      </c>
      <c r="CN208">
        <v>1.1969082649</v>
      </c>
      <c r="CO208">
        <v>2.992735646062592</v>
      </c>
      <c r="CP208">
        <v>207</v>
      </c>
      <c r="CQ208" t="s">
        <v>1149</v>
      </c>
      <c r="CR208">
        <v>143</v>
      </c>
      <c r="CS208" t="s">
        <v>799</v>
      </c>
      <c r="CT208" t="s">
        <v>651</v>
      </c>
      <c r="CU208" t="s">
        <v>800</v>
      </c>
      <c r="CV208" t="s">
        <v>801</v>
      </c>
      <c r="CW208" t="s">
        <v>802</v>
      </c>
      <c r="CX208" t="s">
        <v>803</v>
      </c>
      <c r="CY208" t="s">
        <v>804</v>
      </c>
      <c r="CZ208" t="s">
        <v>645</v>
      </c>
      <c r="DA208" t="s">
        <v>152</v>
      </c>
      <c r="DB208" t="s">
        <v>178</v>
      </c>
      <c r="DC208" t="s">
        <v>656</v>
      </c>
      <c r="DD208" t="s">
        <v>657</v>
      </c>
      <c r="DE208">
        <v>21400</v>
      </c>
      <c r="DF208">
        <v>-83.760228999999995</v>
      </c>
      <c r="DG208">
        <v>40.092838999999998</v>
      </c>
      <c r="DH208">
        <v>3000</v>
      </c>
      <c r="DI208">
        <v>200</v>
      </c>
      <c r="DL208">
        <v>12</v>
      </c>
      <c r="DM208">
        <v>10</v>
      </c>
      <c r="DN208">
        <v>14</v>
      </c>
      <c r="DO208">
        <v>125</v>
      </c>
      <c r="DP208">
        <v>60</v>
      </c>
      <c r="DQ208">
        <v>250</v>
      </c>
      <c r="DS208" t="s">
        <v>658</v>
      </c>
      <c r="DT208">
        <v>1.2500000000000001E-2</v>
      </c>
      <c r="DU208">
        <v>1.2500000000000001E-2</v>
      </c>
      <c r="DV208">
        <v>0.32500000000000001</v>
      </c>
      <c r="DW208">
        <v>0.32500000000000001</v>
      </c>
      <c r="DX208">
        <v>0.32500000000000001</v>
      </c>
      <c r="DY208">
        <v>0</v>
      </c>
      <c r="DZ208" s="4">
        <v>3.996</v>
      </c>
      <c r="EA208" s="4" t="s">
        <v>1150</v>
      </c>
      <c r="EB208" s="4" t="s">
        <v>1151</v>
      </c>
      <c r="EC208">
        <v>5.3650000000000002</v>
      </c>
      <c r="ED208">
        <v>671</v>
      </c>
      <c r="EE208" t="s">
        <v>1147</v>
      </c>
      <c r="EF208">
        <v>0</v>
      </c>
      <c r="EH208">
        <f t="shared" si="7"/>
        <v>0.58000000000000007</v>
      </c>
      <c r="EI208">
        <v>3.38</v>
      </c>
      <c r="EJ208">
        <v>3.65</v>
      </c>
    </row>
    <row r="209" spans="1:140" x14ac:dyDescent="0.35">
      <c r="A209" s="1">
        <v>207</v>
      </c>
      <c r="B209">
        <v>-77.151637496701113</v>
      </c>
      <c r="C209">
        <v>40.350120202708297</v>
      </c>
      <c r="D209" t="s">
        <v>1152</v>
      </c>
      <c r="E209">
        <v>0.1</v>
      </c>
      <c r="F209" t="s">
        <v>135</v>
      </c>
      <c r="G209">
        <v>3.7100000000000001E-2</v>
      </c>
      <c r="H209" t="s">
        <v>161</v>
      </c>
      <c r="I209">
        <v>-8588481</v>
      </c>
      <c r="J209">
        <v>4916952</v>
      </c>
      <c r="K209" t="s">
        <v>1144</v>
      </c>
      <c r="L209" t="s">
        <v>1153</v>
      </c>
      <c r="M209">
        <v>50</v>
      </c>
      <c r="N209">
        <v>3.8650000000000002</v>
      </c>
      <c r="O209">
        <v>1</v>
      </c>
      <c r="P209">
        <v>2</v>
      </c>
      <c r="Q209">
        <v>42</v>
      </c>
      <c r="R209">
        <v>99</v>
      </c>
      <c r="S209">
        <v>45837</v>
      </c>
      <c r="T209" t="s">
        <v>1146</v>
      </c>
      <c r="U209">
        <v>9.0305121245715299</v>
      </c>
      <c r="V209" t="s">
        <v>1144</v>
      </c>
      <c r="W209">
        <v>0.12509999999999999</v>
      </c>
      <c r="X209">
        <v>10</v>
      </c>
      <c r="Y209">
        <v>8.9</v>
      </c>
      <c r="Z209">
        <v>8.9</v>
      </c>
      <c r="AA209">
        <v>20</v>
      </c>
      <c r="AB209">
        <v>26</v>
      </c>
      <c r="AC209">
        <v>0.65900000000000003</v>
      </c>
      <c r="AD209">
        <v>67</v>
      </c>
      <c r="AE209">
        <v>0.1047361729179911</v>
      </c>
      <c r="AF209">
        <v>2.86</v>
      </c>
      <c r="AG209" t="s">
        <v>1146</v>
      </c>
      <c r="AH209" t="s">
        <v>1144</v>
      </c>
      <c r="AI209">
        <v>31</v>
      </c>
      <c r="AJ209">
        <v>1.033333333333333E-2</v>
      </c>
      <c r="AK209">
        <v>10.33333333333333</v>
      </c>
      <c r="AL209" t="s">
        <v>1154</v>
      </c>
      <c r="AM209">
        <v>0</v>
      </c>
      <c r="AN209">
        <v>1.78</v>
      </c>
      <c r="AO209">
        <v>0.09</v>
      </c>
      <c r="AP209">
        <v>0.19</v>
      </c>
      <c r="AQ209">
        <v>1.49</v>
      </c>
      <c r="AR209">
        <v>1.43</v>
      </c>
      <c r="AS209">
        <v>0.04</v>
      </c>
      <c r="AT209">
        <v>0.02</v>
      </c>
      <c r="AU209">
        <v>0.02</v>
      </c>
      <c r="AV209">
        <v>2.79</v>
      </c>
      <c r="AW209">
        <v>1.79</v>
      </c>
      <c r="AX209">
        <v>0.21</v>
      </c>
      <c r="AY209">
        <v>0.53</v>
      </c>
      <c r="AZ209">
        <v>0</v>
      </c>
      <c r="BA209">
        <v>1.52</v>
      </c>
      <c r="BB209">
        <v>0.08</v>
      </c>
      <c r="BC209">
        <v>0.2</v>
      </c>
      <c r="BD209">
        <v>0.27</v>
      </c>
      <c r="BE209">
        <v>7.94</v>
      </c>
      <c r="BF209">
        <v>7.25</v>
      </c>
      <c r="BG209">
        <v>0.24</v>
      </c>
      <c r="BH209">
        <v>0.45</v>
      </c>
      <c r="BI209">
        <v>0</v>
      </c>
      <c r="BJ209">
        <v>0.04</v>
      </c>
      <c r="BK209">
        <v>7.21</v>
      </c>
      <c r="BL209">
        <v>0</v>
      </c>
      <c r="BM209">
        <v>2.2799999999999998</v>
      </c>
      <c r="BN209">
        <v>0.21</v>
      </c>
      <c r="BO209">
        <v>0.46</v>
      </c>
      <c r="BP209">
        <v>1.61</v>
      </c>
      <c r="BQ209">
        <v>1.41</v>
      </c>
      <c r="BR209">
        <v>0.06</v>
      </c>
      <c r="BS209">
        <v>0.14000000000000001</v>
      </c>
      <c r="BT209">
        <v>0</v>
      </c>
      <c r="BU209">
        <v>8.35</v>
      </c>
      <c r="BV209">
        <v>7.29</v>
      </c>
      <c r="BW209">
        <v>0.34</v>
      </c>
      <c r="BX209">
        <v>0.72</v>
      </c>
      <c r="BY209">
        <v>0</v>
      </c>
      <c r="BZ209">
        <v>0.04</v>
      </c>
      <c r="CA209">
        <v>7.25</v>
      </c>
      <c r="CB209">
        <v>0</v>
      </c>
      <c r="CC209">
        <f t="shared" si="6"/>
        <v>2.75</v>
      </c>
      <c r="CD209">
        <v>3.96</v>
      </c>
      <c r="CE209">
        <v>0.34230769230769231</v>
      </c>
      <c r="CF209">
        <v>0.44500000000000001</v>
      </c>
      <c r="CG209">
        <v>0.1492537313432836</v>
      </c>
      <c r="CH209">
        <v>0.23041958041958041</v>
      </c>
      <c r="CI209">
        <v>0</v>
      </c>
      <c r="CJ209">
        <v>25074</v>
      </c>
      <c r="CK209" t="s">
        <v>141</v>
      </c>
      <c r="CL209" t="s">
        <v>636</v>
      </c>
      <c r="CM209" t="s">
        <v>143</v>
      </c>
      <c r="CN209">
        <v>0.421555088395</v>
      </c>
      <c r="CO209">
        <v>2.8007964661538991</v>
      </c>
      <c r="CP209">
        <v>208</v>
      </c>
      <c r="CQ209" t="s">
        <v>798</v>
      </c>
      <c r="CR209">
        <v>143</v>
      </c>
      <c r="CS209" t="s">
        <v>799</v>
      </c>
      <c r="CT209" t="s">
        <v>651</v>
      </c>
      <c r="CU209" t="s">
        <v>800</v>
      </c>
      <c r="CV209" t="s">
        <v>801</v>
      </c>
      <c r="CW209" t="s">
        <v>802</v>
      </c>
      <c r="CX209" t="s">
        <v>803</v>
      </c>
      <c r="CY209" t="s">
        <v>804</v>
      </c>
      <c r="CZ209" t="s">
        <v>645</v>
      </c>
      <c r="DA209" t="s">
        <v>152</v>
      </c>
      <c r="DB209" t="s">
        <v>178</v>
      </c>
      <c r="DC209" t="s">
        <v>656</v>
      </c>
      <c r="DD209" t="s">
        <v>657</v>
      </c>
      <c r="DE209">
        <v>21400</v>
      </c>
      <c r="DF209">
        <v>-83.760228999999995</v>
      </c>
      <c r="DG209">
        <v>40.092838999999998</v>
      </c>
      <c r="DH209">
        <v>3000</v>
      </c>
      <c r="DI209">
        <v>200</v>
      </c>
      <c r="DL209">
        <v>12</v>
      </c>
      <c r="DM209">
        <v>10</v>
      </c>
      <c r="DN209">
        <v>14</v>
      </c>
      <c r="DO209">
        <v>125</v>
      </c>
      <c r="DP209">
        <v>60</v>
      </c>
      <c r="DQ209">
        <v>250</v>
      </c>
      <c r="DS209" t="s">
        <v>658</v>
      </c>
      <c r="DT209">
        <v>1.2500000000000001E-2</v>
      </c>
      <c r="DU209">
        <v>1.2500000000000001E-2</v>
      </c>
      <c r="DV209">
        <v>0.32500000000000001</v>
      </c>
      <c r="DW209">
        <v>0.32500000000000001</v>
      </c>
      <c r="DX209">
        <v>0.32500000000000001</v>
      </c>
      <c r="DY209">
        <v>18.474177067053269</v>
      </c>
      <c r="DZ209" s="4">
        <v>3.996</v>
      </c>
      <c r="EA209" s="4" t="s">
        <v>1150</v>
      </c>
      <c r="EB209" s="4" t="s">
        <v>1151</v>
      </c>
      <c r="EC209">
        <v>5.3650000000000002</v>
      </c>
      <c r="ED209">
        <v>171</v>
      </c>
      <c r="EE209" t="s">
        <v>1154</v>
      </c>
      <c r="EF209">
        <v>0</v>
      </c>
      <c r="EH209">
        <f t="shared" si="7"/>
        <v>0.58000000000000007</v>
      </c>
      <c r="EI209">
        <v>3.38</v>
      </c>
      <c r="EJ209">
        <v>3.65</v>
      </c>
    </row>
    <row r="210" spans="1:140" x14ac:dyDescent="0.35">
      <c r="A210" s="1">
        <v>208</v>
      </c>
      <c r="B210">
        <v>-75.355006928462075</v>
      </c>
      <c r="C210">
        <v>40.350120202708297</v>
      </c>
      <c r="D210" t="s">
        <v>1155</v>
      </c>
      <c r="E210">
        <v>0.1</v>
      </c>
      <c r="F210" t="s">
        <v>135</v>
      </c>
      <c r="G210">
        <v>3.7100000000000001E-2</v>
      </c>
      <c r="H210" t="s">
        <v>161</v>
      </c>
      <c r="I210">
        <v>-8388481</v>
      </c>
      <c r="J210">
        <v>4916952</v>
      </c>
      <c r="K210" t="s">
        <v>1144</v>
      </c>
      <c r="L210" t="s">
        <v>1156</v>
      </c>
      <c r="M210">
        <v>9</v>
      </c>
      <c r="N210">
        <v>3.9159999999999999</v>
      </c>
      <c r="O210">
        <v>1</v>
      </c>
      <c r="P210">
        <v>2</v>
      </c>
      <c r="Q210">
        <v>42</v>
      </c>
      <c r="R210">
        <v>17</v>
      </c>
      <c r="S210">
        <v>646526</v>
      </c>
      <c r="T210" t="s">
        <v>1146</v>
      </c>
      <c r="U210">
        <v>9.0305121245715299</v>
      </c>
      <c r="V210" t="s">
        <v>1144</v>
      </c>
      <c r="W210">
        <v>0.12509999999999999</v>
      </c>
      <c r="X210">
        <v>10</v>
      </c>
      <c r="Y210">
        <v>8.9</v>
      </c>
      <c r="Z210">
        <v>8.9</v>
      </c>
      <c r="AA210">
        <v>20</v>
      </c>
      <c r="AB210">
        <v>26</v>
      </c>
      <c r="AC210">
        <v>0.65900000000000003</v>
      </c>
      <c r="AD210">
        <v>67</v>
      </c>
      <c r="AE210">
        <v>0.1047361729179911</v>
      </c>
      <c r="AF210">
        <v>2.86</v>
      </c>
      <c r="AG210" t="s">
        <v>1146</v>
      </c>
      <c r="AH210" t="s">
        <v>1144</v>
      </c>
      <c r="AI210">
        <v>31</v>
      </c>
      <c r="AJ210">
        <v>1.033333333333333E-2</v>
      </c>
      <c r="AK210">
        <v>10.33333333333333</v>
      </c>
      <c r="AL210" t="s">
        <v>1157</v>
      </c>
      <c r="AM210">
        <v>0</v>
      </c>
      <c r="AN210">
        <v>1.78</v>
      </c>
      <c r="AO210">
        <v>0.09</v>
      </c>
      <c r="AP210">
        <v>0.19</v>
      </c>
      <c r="AQ210">
        <v>1.49</v>
      </c>
      <c r="AR210">
        <v>1.43</v>
      </c>
      <c r="AS210">
        <v>0.04</v>
      </c>
      <c r="AT210">
        <v>0.02</v>
      </c>
      <c r="AU210">
        <v>0.02</v>
      </c>
      <c r="AV210">
        <v>2.79</v>
      </c>
      <c r="AW210">
        <v>1.79</v>
      </c>
      <c r="AX210">
        <v>0.21</v>
      </c>
      <c r="AY210">
        <v>0.53</v>
      </c>
      <c r="AZ210">
        <v>0</v>
      </c>
      <c r="BA210">
        <v>1.52</v>
      </c>
      <c r="BB210">
        <v>0.08</v>
      </c>
      <c r="BC210">
        <v>0.2</v>
      </c>
      <c r="BD210">
        <v>0.27</v>
      </c>
      <c r="BE210">
        <v>7.94</v>
      </c>
      <c r="BF210">
        <v>7.25</v>
      </c>
      <c r="BG210">
        <v>0.24</v>
      </c>
      <c r="BH210">
        <v>0.45</v>
      </c>
      <c r="BI210">
        <v>0</v>
      </c>
      <c r="BJ210">
        <v>0.04</v>
      </c>
      <c r="BK210">
        <v>7.21</v>
      </c>
      <c r="BL210">
        <v>0</v>
      </c>
      <c r="BM210">
        <v>2.2799999999999998</v>
      </c>
      <c r="BN210">
        <v>0.21</v>
      </c>
      <c r="BO210">
        <v>0.46</v>
      </c>
      <c r="BP210">
        <v>1.61</v>
      </c>
      <c r="BQ210">
        <v>1.41</v>
      </c>
      <c r="BR210">
        <v>0.06</v>
      </c>
      <c r="BS210">
        <v>0.14000000000000001</v>
      </c>
      <c r="BT210">
        <v>0</v>
      </c>
      <c r="BU210">
        <v>8.35</v>
      </c>
      <c r="BV210">
        <v>7.29</v>
      </c>
      <c r="BW210">
        <v>0.34</v>
      </c>
      <c r="BX210">
        <v>0.72</v>
      </c>
      <c r="BY210">
        <v>0</v>
      </c>
      <c r="BZ210">
        <v>0.04</v>
      </c>
      <c r="CA210">
        <v>7.25</v>
      </c>
      <c r="CB210">
        <v>0</v>
      </c>
      <c r="CC210">
        <f t="shared" si="6"/>
        <v>2.75</v>
      </c>
      <c r="CD210">
        <v>3.96</v>
      </c>
      <c r="CE210">
        <v>0.34230769230769231</v>
      </c>
      <c r="CF210">
        <v>0.44500000000000001</v>
      </c>
      <c r="CG210">
        <v>0.1492537313432836</v>
      </c>
      <c r="CH210">
        <v>0.23041958041958041</v>
      </c>
      <c r="CI210">
        <v>0</v>
      </c>
      <c r="CJ210">
        <v>25037</v>
      </c>
      <c r="CK210" t="s">
        <v>141</v>
      </c>
      <c r="CL210" t="s">
        <v>636</v>
      </c>
      <c r="CM210" t="s">
        <v>143</v>
      </c>
      <c r="CN210">
        <v>0.49241057338599997</v>
      </c>
      <c r="CO210">
        <v>7.0006878104933188</v>
      </c>
      <c r="CP210">
        <v>209</v>
      </c>
      <c r="CQ210" t="s">
        <v>1149</v>
      </c>
      <c r="CR210">
        <v>143</v>
      </c>
      <c r="CS210" t="s">
        <v>799</v>
      </c>
      <c r="CT210" t="s">
        <v>651</v>
      </c>
      <c r="CU210" t="s">
        <v>800</v>
      </c>
      <c r="CV210" t="s">
        <v>801</v>
      </c>
      <c r="CW210" t="s">
        <v>802</v>
      </c>
      <c r="CX210" t="s">
        <v>803</v>
      </c>
      <c r="CY210" t="s">
        <v>804</v>
      </c>
      <c r="CZ210" t="s">
        <v>645</v>
      </c>
      <c r="DA210" t="s">
        <v>152</v>
      </c>
      <c r="DB210" t="s">
        <v>178</v>
      </c>
      <c r="DC210" t="s">
        <v>656</v>
      </c>
      <c r="DD210" t="s">
        <v>657</v>
      </c>
      <c r="DE210">
        <v>21400</v>
      </c>
      <c r="DF210">
        <v>-83.760228999999995</v>
      </c>
      <c r="DG210">
        <v>40.092838999999998</v>
      </c>
      <c r="DH210">
        <v>3000</v>
      </c>
      <c r="DI210">
        <v>200</v>
      </c>
      <c r="DL210">
        <v>12</v>
      </c>
      <c r="DM210">
        <v>10</v>
      </c>
      <c r="DN210">
        <v>14</v>
      </c>
      <c r="DO210">
        <v>125</v>
      </c>
      <c r="DP210">
        <v>60</v>
      </c>
      <c r="DQ210">
        <v>250</v>
      </c>
      <c r="DS210" t="s">
        <v>658</v>
      </c>
      <c r="DT210">
        <v>1.2500000000000001E-2</v>
      </c>
      <c r="DU210">
        <v>1.2500000000000001E-2</v>
      </c>
      <c r="DV210">
        <v>0.32500000000000001</v>
      </c>
      <c r="DW210">
        <v>0.32500000000000001</v>
      </c>
      <c r="DX210">
        <v>0.32500000000000001</v>
      </c>
      <c r="DY210">
        <v>57.85149120108143</v>
      </c>
      <c r="DZ210" s="4">
        <v>3.996</v>
      </c>
      <c r="EA210" s="4" t="s">
        <v>1150</v>
      </c>
      <c r="EB210" s="4" t="s">
        <v>1151</v>
      </c>
      <c r="EC210">
        <v>5.3650000000000002</v>
      </c>
      <c r="ED210">
        <v>379</v>
      </c>
      <c r="EE210" t="s">
        <v>1157</v>
      </c>
      <c r="EF210">
        <v>0</v>
      </c>
      <c r="EH210">
        <f t="shared" si="7"/>
        <v>0.58000000000000007</v>
      </c>
      <c r="EI210">
        <v>3.38</v>
      </c>
      <c r="EJ210">
        <v>3.65</v>
      </c>
    </row>
    <row r="211" spans="1:140" x14ac:dyDescent="0.35">
      <c r="A211" s="1">
        <v>209</v>
      </c>
      <c r="B211">
        <v>-73.558376360223022</v>
      </c>
      <c r="C211">
        <v>40.350120202708297</v>
      </c>
      <c r="D211" t="s">
        <v>1158</v>
      </c>
      <c r="E211">
        <v>0.1</v>
      </c>
      <c r="F211" t="s">
        <v>306</v>
      </c>
      <c r="G211">
        <v>3.7100000000000001E-2</v>
      </c>
      <c r="H211" t="s">
        <v>161</v>
      </c>
      <c r="I211">
        <v>-8188481</v>
      </c>
      <c r="J211">
        <v>4916952</v>
      </c>
      <c r="K211" t="s">
        <v>1159</v>
      </c>
      <c r="L211" t="s">
        <v>1160</v>
      </c>
      <c r="M211">
        <v>30</v>
      </c>
      <c r="N211">
        <v>3.8879999999999999</v>
      </c>
      <c r="O211">
        <v>1</v>
      </c>
      <c r="P211">
        <v>2</v>
      </c>
      <c r="Q211">
        <v>36</v>
      </c>
      <c r="R211">
        <v>59</v>
      </c>
      <c r="S211">
        <v>1395777</v>
      </c>
      <c r="T211" t="s">
        <v>1161</v>
      </c>
      <c r="U211">
        <v>8.3286235013208714</v>
      </c>
      <c r="V211" t="s">
        <v>1159</v>
      </c>
      <c r="W211">
        <v>0.1966</v>
      </c>
      <c r="X211">
        <v>10</v>
      </c>
      <c r="Y211">
        <v>8.9</v>
      </c>
      <c r="Z211">
        <v>8.9</v>
      </c>
      <c r="AA211">
        <v>20</v>
      </c>
      <c r="AB211">
        <v>26</v>
      </c>
      <c r="AC211">
        <v>0.53700000000000003</v>
      </c>
      <c r="AD211">
        <v>67</v>
      </c>
      <c r="AE211">
        <v>8.5346471710108077E-2</v>
      </c>
      <c r="AF211">
        <v>2.86</v>
      </c>
      <c r="AG211" t="s">
        <v>1161</v>
      </c>
      <c r="AH211" t="s">
        <v>1159</v>
      </c>
      <c r="AI211">
        <v>30</v>
      </c>
      <c r="AJ211">
        <v>0.01</v>
      </c>
      <c r="AK211">
        <v>10</v>
      </c>
      <c r="AL211" t="s">
        <v>1162</v>
      </c>
      <c r="AM211">
        <v>33385.849794037829</v>
      </c>
      <c r="AN211">
        <v>1.67</v>
      </c>
      <c r="AO211">
        <v>0.09</v>
      </c>
      <c r="AP211">
        <v>0.19</v>
      </c>
      <c r="AQ211">
        <v>1.39</v>
      </c>
      <c r="AR211">
        <v>1.32</v>
      </c>
      <c r="AS211">
        <v>0.04</v>
      </c>
      <c r="AT211">
        <v>0.03</v>
      </c>
      <c r="AU211">
        <v>0.02</v>
      </c>
      <c r="AV211">
        <v>2.78</v>
      </c>
      <c r="AW211">
        <v>1.78</v>
      </c>
      <c r="AX211">
        <v>0.21</v>
      </c>
      <c r="AY211">
        <v>0.53</v>
      </c>
      <c r="AZ211">
        <v>0</v>
      </c>
      <c r="BA211">
        <v>1.4</v>
      </c>
      <c r="BB211">
        <v>0.08</v>
      </c>
      <c r="BC211">
        <v>0.3</v>
      </c>
      <c r="BD211">
        <v>0.27</v>
      </c>
      <c r="BE211">
        <v>11.83</v>
      </c>
      <c r="BF211">
        <v>11.14</v>
      </c>
      <c r="BG211">
        <v>0.24</v>
      </c>
      <c r="BH211">
        <v>0.45</v>
      </c>
      <c r="BI211">
        <v>0</v>
      </c>
      <c r="BJ211">
        <v>0.04</v>
      </c>
      <c r="BK211">
        <v>11.1</v>
      </c>
      <c r="BL211">
        <v>0</v>
      </c>
      <c r="BM211">
        <v>2.25</v>
      </c>
      <c r="BN211">
        <v>0.21</v>
      </c>
      <c r="BO211">
        <v>0.46</v>
      </c>
      <c r="BP211">
        <v>1.58</v>
      </c>
      <c r="BQ211">
        <v>1.3</v>
      </c>
      <c r="BR211">
        <v>0.06</v>
      </c>
      <c r="BS211">
        <v>0.22</v>
      </c>
      <c r="BT211">
        <v>0</v>
      </c>
      <c r="BU211">
        <v>12.26</v>
      </c>
      <c r="BV211">
        <v>11.2</v>
      </c>
      <c r="BW211">
        <v>0.34</v>
      </c>
      <c r="BX211">
        <v>0.72</v>
      </c>
      <c r="BY211">
        <v>0</v>
      </c>
      <c r="BZ211">
        <v>0.04</v>
      </c>
      <c r="CA211">
        <v>11.16</v>
      </c>
      <c r="CB211">
        <v>0</v>
      </c>
      <c r="CC211">
        <f t="shared" si="6"/>
        <v>2.75</v>
      </c>
      <c r="CD211">
        <v>3.96</v>
      </c>
      <c r="CE211">
        <v>0.34230769230769231</v>
      </c>
      <c r="CF211">
        <v>0.44500000000000001</v>
      </c>
      <c r="CG211">
        <v>0.1492537313432836</v>
      </c>
      <c r="CH211">
        <v>0.1877622377622378</v>
      </c>
      <c r="CI211">
        <v>0</v>
      </c>
      <c r="CJ211">
        <v>28485</v>
      </c>
      <c r="CK211" t="s">
        <v>141</v>
      </c>
      <c r="CL211" t="s">
        <v>187</v>
      </c>
      <c r="CM211" t="s">
        <v>143</v>
      </c>
      <c r="CN211">
        <v>0.80928232759899998</v>
      </c>
      <c r="CO211">
        <v>23.53390827601806</v>
      </c>
      <c r="CP211">
        <v>210</v>
      </c>
      <c r="CQ211" t="s">
        <v>1149</v>
      </c>
      <c r="CR211">
        <v>143</v>
      </c>
      <c r="CS211" t="s">
        <v>799</v>
      </c>
      <c r="CT211" t="s">
        <v>651</v>
      </c>
      <c r="CU211" t="s">
        <v>800</v>
      </c>
      <c r="CV211" t="s">
        <v>801</v>
      </c>
      <c r="CW211" t="s">
        <v>802</v>
      </c>
      <c r="CX211" t="s">
        <v>803</v>
      </c>
      <c r="CY211" t="s">
        <v>804</v>
      </c>
      <c r="CZ211" t="s">
        <v>645</v>
      </c>
      <c r="DA211" t="s">
        <v>152</v>
      </c>
      <c r="DB211" t="s">
        <v>178</v>
      </c>
      <c r="DC211" t="s">
        <v>656</v>
      </c>
      <c r="DD211" t="s">
        <v>657</v>
      </c>
      <c r="DE211">
        <v>21400</v>
      </c>
      <c r="DF211">
        <v>-83.760228999999995</v>
      </c>
      <c r="DG211">
        <v>40.092838999999998</v>
      </c>
      <c r="DH211">
        <v>3000</v>
      </c>
      <c r="DI211">
        <v>200</v>
      </c>
      <c r="DL211">
        <v>12</v>
      </c>
      <c r="DM211">
        <v>10</v>
      </c>
      <c r="DN211">
        <v>14</v>
      </c>
      <c r="DO211">
        <v>125</v>
      </c>
      <c r="DP211">
        <v>60</v>
      </c>
      <c r="DQ211">
        <v>250</v>
      </c>
      <c r="DS211" t="s">
        <v>658</v>
      </c>
      <c r="DT211">
        <v>1.2500000000000001E-2</v>
      </c>
      <c r="DU211">
        <v>1.2500000000000001E-2</v>
      </c>
      <c r="DV211">
        <v>0.32500000000000001</v>
      </c>
      <c r="DW211">
        <v>0.32500000000000001</v>
      </c>
      <c r="DX211">
        <v>0.32500000000000001</v>
      </c>
      <c r="DY211">
        <v>136.32997022078251</v>
      </c>
      <c r="DZ211" s="4">
        <v>4.0780000000000003</v>
      </c>
      <c r="EA211" s="4" t="s">
        <v>1163</v>
      </c>
      <c r="EB211" s="4" t="s">
        <v>1164</v>
      </c>
      <c r="EC211">
        <v>5.391</v>
      </c>
      <c r="ED211">
        <v>378</v>
      </c>
      <c r="EE211" t="s">
        <v>1162</v>
      </c>
      <c r="EF211">
        <v>0.228385630308089</v>
      </c>
      <c r="EH211">
        <f t="shared" si="7"/>
        <v>0.58000000000000007</v>
      </c>
      <c r="EI211">
        <v>3.38</v>
      </c>
      <c r="EJ211">
        <v>3.65</v>
      </c>
    </row>
    <row r="212" spans="1:140" x14ac:dyDescent="0.35">
      <c r="A212" s="1">
        <v>210</v>
      </c>
      <c r="B212">
        <v>-71.761745791983984</v>
      </c>
      <c r="C212">
        <v>40.350120202708297</v>
      </c>
      <c r="D212" t="s">
        <v>1165</v>
      </c>
      <c r="E212">
        <v>0.1</v>
      </c>
      <c r="F212" t="s">
        <v>326</v>
      </c>
      <c r="G212">
        <v>3.7100000000000001E-2</v>
      </c>
      <c r="H212" t="s">
        <v>161</v>
      </c>
      <c r="I212">
        <v>-7988481</v>
      </c>
      <c r="J212">
        <v>4916952</v>
      </c>
      <c r="K212" t="s">
        <v>1159</v>
      </c>
      <c r="L212" t="s">
        <v>1166</v>
      </c>
      <c r="M212">
        <v>52</v>
      </c>
      <c r="N212">
        <v>3.9089999999999998</v>
      </c>
      <c r="O212">
        <v>1</v>
      </c>
      <c r="P212">
        <v>2</v>
      </c>
      <c r="Q212">
        <v>36</v>
      </c>
      <c r="R212">
        <v>103</v>
      </c>
      <c r="S212">
        <v>1525936</v>
      </c>
      <c r="T212" t="s">
        <v>1161</v>
      </c>
      <c r="U212">
        <v>8.3286235013208714</v>
      </c>
      <c r="V212" t="s">
        <v>1159</v>
      </c>
      <c r="W212">
        <v>0.1966</v>
      </c>
      <c r="X212">
        <v>10</v>
      </c>
      <c r="Y212">
        <v>8.9</v>
      </c>
      <c r="Z212">
        <v>8.9</v>
      </c>
      <c r="AA212">
        <v>20</v>
      </c>
      <c r="AB212">
        <v>26</v>
      </c>
      <c r="AC212">
        <v>0.53700000000000003</v>
      </c>
      <c r="AD212">
        <v>67</v>
      </c>
      <c r="AE212">
        <v>8.5346471710108077E-2</v>
      </c>
      <c r="AF212">
        <v>2.86</v>
      </c>
      <c r="AG212" t="s">
        <v>1161</v>
      </c>
      <c r="AH212" t="s">
        <v>1159</v>
      </c>
      <c r="AI212">
        <v>30</v>
      </c>
      <c r="AJ212">
        <v>0.01</v>
      </c>
      <c r="AK212">
        <v>10</v>
      </c>
      <c r="AL212" t="s">
        <v>1162</v>
      </c>
      <c r="AM212">
        <v>99254.784657627199</v>
      </c>
      <c r="AN212">
        <v>1.67</v>
      </c>
      <c r="AO212">
        <v>0.09</v>
      </c>
      <c r="AP212">
        <v>0.19</v>
      </c>
      <c r="AQ212">
        <v>1.39</v>
      </c>
      <c r="AR212">
        <v>1.32</v>
      </c>
      <c r="AS212">
        <v>0.04</v>
      </c>
      <c r="AT212">
        <v>0.03</v>
      </c>
      <c r="AU212">
        <v>0.02</v>
      </c>
      <c r="AV212">
        <v>2.78</v>
      </c>
      <c r="AW212">
        <v>1.78</v>
      </c>
      <c r="AX212">
        <v>0.21</v>
      </c>
      <c r="AY212">
        <v>0.53</v>
      </c>
      <c r="AZ212">
        <v>0</v>
      </c>
      <c r="BA212">
        <v>1.4</v>
      </c>
      <c r="BB212">
        <v>0.08</v>
      </c>
      <c r="BC212">
        <v>0.3</v>
      </c>
      <c r="BD212">
        <v>0.27</v>
      </c>
      <c r="BE212">
        <v>11.83</v>
      </c>
      <c r="BF212">
        <v>11.14</v>
      </c>
      <c r="BG212">
        <v>0.24</v>
      </c>
      <c r="BH212">
        <v>0.45</v>
      </c>
      <c r="BI212">
        <v>0</v>
      </c>
      <c r="BJ212">
        <v>0.04</v>
      </c>
      <c r="BK212">
        <v>11.1</v>
      </c>
      <c r="BL212">
        <v>0</v>
      </c>
      <c r="BM212">
        <v>2.25</v>
      </c>
      <c r="BN212">
        <v>0.21</v>
      </c>
      <c r="BO212">
        <v>0.46</v>
      </c>
      <c r="BP212">
        <v>1.58</v>
      </c>
      <c r="BQ212">
        <v>1.3</v>
      </c>
      <c r="BR212">
        <v>0.06</v>
      </c>
      <c r="BS212">
        <v>0.22</v>
      </c>
      <c r="BT212">
        <v>0</v>
      </c>
      <c r="BU212">
        <v>12.26</v>
      </c>
      <c r="BV212">
        <v>11.2</v>
      </c>
      <c r="BW212">
        <v>0.34</v>
      </c>
      <c r="BX212">
        <v>0.72</v>
      </c>
      <c r="BY212">
        <v>0</v>
      </c>
      <c r="BZ212">
        <v>0.04</v>
      </c>
      <c r="CA212">
        <v>11.16</v>
      </c>
      <c r="CB212">
        <v>0</v>
      </c>
      <c r="CC212">
        <f t="shared" si="6"/>
        <v>2.75</v>
      </c>
      <c r="CD212">
        <v>3.96</v>
      </c>
      <c r="CE212">
        <v>0.34230769230769231</v>
      </c>
      <c r="CF212">
        <v>0.44500000000000001</v>
      </c>
      <c r="CG212">
        <v>0.1492537313432836</v>
      </c>
      <c r="CH212">
        <v>0.1877622377622378</v>
      </c>
      <c r="CI212">
        <v>0</v>
      </c>
      <c r="CJ212">
        <v>31208</v>
      </c>
      <c r="CK212" t="s">
        <v>141</v>
      </c>
      <c r="CL212" t="s">
        <v>1167</v>
      </c>
      <c r="CM212" t="s">
        <v>143</v>
      </c>
      <c r="CN212">
        <v>5.6130627076500003E-2</v>
      </c>
      <c r="CO212">
        <v>92.343570275405256</v>
      </c>
      <c r="CP212">
        <v>211</v>
      </c>
      <c r="CQ212" t="s">
        <v>1149</v>
      </c>
      <c r="CR212">
        <v>143</v>
      </c>
      <c r="CS212" t="s">
        <v>799</v>
      </c>
      <c r="CT212" t="s">
        <v>651</v>
      </c>
      <c r="CU212" t="s">
        <v>800</v>
      </c>
      <c r="CV212" t="s">
        <v>801</v>
      </c>
      <c r="CW212" t="s">
        <v>802</v>
      </c>
      <c r="CX212" t="s">
        <v>803</v>
      </c>
      <c r="CY212" t="s">
        <v>804</v>
      </c>
      <c r="CZ212" t="s">
        <v>645</v>
      </c>
      <c r="DA212" t="s">
        <v>152</v>
      </c>
      <c r="DB212" t="s">
        <v>178</v>
      </c>
      <c r="DC212" t="s">
        <v>656</v>
      </c>
      <c r="DD212" t="s">
        <v>657</v>
      </c>
      <c r="DE212">
        <v>21400</v>
      </c>
      <c r="DF212">
        <v>-83.760228999999995</v>
      </c>
      <c r="DG212">
        <v>40.092838999999998</v>
      </c>
      <c r="DH212">
        <v>3000</v>
      </c>
      <c r="DI212">
        <v>200</v>
      </c>
      <c r="DL212">
        <v>12</v>
      </c>
      <c r="DM212">
        <v>10</v>
      </c>
      <c r="DN212">
        <v>14</v>
      </c>
      <c r="DO212">
        <v>125</v>
      </c>
      <c r="DP212">
        <v>60</v>
      </c>
      <c r="DQ212">
        <v>250</v>
      </c>
      <c r="DS212" t="s">
        <v>658</v>
      </c>
      <c r="DT212">
        <v>1.2500000000000001E-2</v>
      </c>
      <c r="DU212">
        <v>1.2500000000000001E-2</v>
      </c>
      <c r="DV212">
        <v>0.32500000000000001</v>
      </c>
      <c r="DW212">
        <v>0.32500000000000001</v>
      </c>
      <c r="DX212">
        <v>0.32500000000000001</v>
      </c>
      <c r="DY212">
        <v>252.91976738508441</v>
      </c>
      <c r="DZ212" s="4">
        <v>4.0780000000000003</v>
      </c>
      <c r="EA212" s="4" t="s">
        <v>1163</v>
      </c>
      <c r="EB212" s="4" t="s">
        <v>1164</v>
      </c>
      <c r="EC212">
        <v>5.391</v>
      </c>
      <c r="ED212">
        <v>378</v>
      </c>
      <c r="EE212" t="s">
        <v>1162</v>
      </c>
      <c r="EF212">
        <v>0.70247515338426203</v>
      </c>
      <c r="EH212">
        <f t="shared" si="7"/>
        <v>0.58000000000000007</v>
      </c>
      <c r="EI212">
        <v>3.38</v>
      </c>
      <c r="EJ212">
        <v>3.65</v>
      </c>
    </row>
    <row r="213" spans="1:140" x14ac:dyDescent="0.35">
      <c r="A213" s="1">
        <v>211</v>
      </c>
      <c r="B213">
        <v>-123.8640322709162</v>
      </c>
      <c r="C213">
        <v>41.7054037722109</v>
      </c>
      <c r="D213" t="s">
        <v>1168</v>
      </c>
      <c r="E213">
        <v>0.1</v>
      </c>
      <c r="F213" t="s">
        <v>135</v>
      </c>
      <c r="G213">
        <v>7.3200000000000001E-2</v>
      </c>
      <c r="H213" t="s">
        <v>161</v>
      </c>
      <c r="I213">
        <v>-13788481</v>
      </c>
      <c r="J213">
        <v>5116952</v>
      </c>
      <c r="K213" t="s">
        <v>427</v>
      </c>
      <c r="L213" t="s">
        <v>1169</v>
      </c>
      <c r="M213">
        <v>8</v>
      </c>
      <c r="N213">
        <v>5.5179999999999998</v>
      </c>
      <c r="O213">
        <v>4</v>
      </c>
      <c r="P213">
        <v>9</v>
      </c>
      <c r="Q213">
        <v>6</v>
      </c>
      <c r="R213">
        <v>15</v>
      </c>
      <c r="S213">
        <v>27745</v>
      </c>
      <c r="T213" t="s">
        <v>315</v>
      </c>
      <c r="U213">
        <v>8.1439147775781446</v>
      </c>
      <c r="V213" t="s">
        <v>427</v>
      </c>
      <c r="W213">
        <v>0.27039999999999997</v>
      </c>
      <c r="X213">
        <v>10</v>
      </c>
      <c r="Y213">
        <v>8.9</v>
      </c>
      <c r="Z213">
        <v>8.9</v>
      </c>
      <c r="AA213">
        <v>20</v>
      </c>
      <c r="AB213">
        <v>26</v>
      </c>
      <c r="AC213">
        <v>0.40699999999999997</v>
      </c>
      <c r="AD213">
        <v>67</v>
      </c>
      <c r="AE213">
        <v>6.4685314685314674E-2</v>
      </c>
      <c r="AF213">
        <v>2.86</v>
      </c>
      <c r="AG213" t="s">
        <v>315</v>
      </c>
      <c r="AH213" t="s">
        <v>427</v>
      </c>
      <c r="AI213">
        <v>77</v>
      </c>
      <c r="AJ213">
        <v>2.5666666666666671E-2</v>
      </c>
      <c r="AK213">
        <v>25.666666666666671</v>
      </c>
      <c r="AL213" t="s">
        <v>1170</v>
      </c>
      <c r="AM213">
        <v>0</v>
      </c>
      <c r="AN213">
        <v>1.74</v>
      </c>
      <c r="AO213">
        <v>0.09</v>
      </c>
      <c r="AP213">
        <v>0.19</v>
      </c>
      <c r="AQ213">
        <v>1.45</v>
      </c>
      <c r="AR213">
        <v>1.29</v>
      </c>
      <c r="AS213">
        <v>0.13</v>
      </c>
      <c r="AT213">
        <v>0.04</v>
      </c>
      <c r="AU213">
        <v>0.02</v>
      </c>
      <c r="AV213">
        <v>3.01</v>
      </c>
      <c r="AW213">
        <v>2.02</v>
      </c>
      <c r="AX213">
        <v>0.21</v>
      </c>
      <c r="AY213">
        <v>0.53</v>
      </c>
      <c r="AZ213">
        <v>0</v>
      </c>
      <c r="BA213">
        <v>1.37</v>
      </c>
      <c r="BB213">
        <v>0.24</v>
      </c>
      <c r="BC213">
        <v>0.41</v>
      </c>
      <c r="BD213">
        <v>0.27</v>
      </c>
      <c r="BE213">
        <v>15.79</v>
      </c>
      <c r="BF213">
        <v>15.1</v>
      </c>
      <c r="BG213">
        <v>0.24</v>
      </c>
      <c r="BH213">
        <v>0.45</v>
      </c>
      <c r="BI213">
        <v>0</v>
      </c>
      <c r="BJ213">
        <v>0.11</v>
      </c>
      <c r="BK213">
        <v>14.98</v>
      </c>
      <c r="BL213">
        <v>0</v>
      </c>
      <c r="BM213">
        <v>2.41</v>
      </c>
      <c r="BN213">
        <v>0.21</v>
      </c>
      <c r="BO213">
        <v>0.46</v>
      </c>
      <c r="BP213">
        <v>1.74</v>
      </c>
      <c r="BQ213">
        <v>1.27</v>
      </c>
      <c r="BR213">
        <v>0.17</v>
      </c>
      <c r="BS213">
        <v>0.3</v>
      </c>
      <c r="BT213">
        <v>0</v>
      </c>
      <c r="BU213">
        <v>16.239999999999998</v>
      </c>
      <c r="BV213">
        <v>15.18</v>
      </c>
      <c r="BW213">
        <v>0.34</v>
      </c>
      <c r="BX213">
        <v>0.72</v>
      </c>
      <c r="BY213">
        <v>0</v>
      </c>
      <c r="BZ213">
        <v>0.11</v>
      </c>
      <c r="CA213">
        <v>15.07</v>
      </c>
      <c r="CB213">
        <v>0</v>
      </c>
      <c r="CC213">
        <f t="shared" si="6"/>
        <v>2.75</v>
      </c>
      <c r="CD213">
        <v>3.96</v>
      </c>
      <c r="CE213">
        <v>0.34230769230769231</v>
      </c>
      <c r="CF213">
        <v>0.44500000000000001</v>
      </c>
      <c r="CG213">
        <v>0.1492537313432836</v>
      </c>
      <c r="CH213">
        <v>0.1423076923076923</v>
      </c>
      <c r="CI213">
        <v>0</v>
      </c>
      <c r="CJ213">
        <v>21365</v>
      </c>
      <c r="CK213" t="s">
        <v>169</v>
      </c>
      <c r="CL213" t="s">
        <v>697</v>
      </c>
      <c r="CM213" t="s">
        <v>143</v>
      </c>
      <c r="CN213">
        <v>2.21087789642</v>
      </c>
      <c r="CO213">
        <v>72.270082559514364</v>
      </c>
      <c r="CP213">
        <v>212</v>
      </c>
      <c r="CQ213" t="s">
        <v>1171</v>
      </c>
      <c r="CR213">
        <v>223</v>
      </c>
      <c r="CS213" t="s">
        <v>717</v>
      </c>
      <c r="CT213" t="s">
        <v>718</v>
      </c>
      <c r="CU213" t="s">
        <v>315</v>
      </c>
      <c r="CV213" t="s">
        <v>719</v>
      </c>
      <c r="CW213" t="s">
        <v>720</v>
      </c>
      <c r="CX213" t="s">
        <v>721</v>
      </c>
      <c r="CY213" t="s">
        <v>551</v>
      </c>
      <c r="CZ213" t="s">
        <v>319</v>
      </c>
      <c r="DA213" t="s">
        <v>152</v>
      </c>
      <c r="DB213" t="s">
        <v>178</v>
      </c>
      <c r="DC213" t="s">
        <v>207</v>
      </c>
      <c r="DD213" t="s">
        <v>155</v>
      </c>
      <c r="DE213">
        <v>2069</v>
      </c>
      <c r="DF213">
        <v>-121.36967300000001</v>
      </c>
      <c r="DG213">
        <v>38.049534000000001</v>
      </c>
      <c r="DH213">
        <v>7600</v>
      </c>
      <c r="DI213">
        <v>1000</v>
      </c>
      <c r="DL213">
        <v>18</v>
      </c>
      <c r="DM213">
        <v>15</v>
      </c>
      <c r="DN213">
        <v>30</v>
      </c>
      <c r="DO213">
        <v>5</v>
      </c>
      <c r="DP213">
        <v>10</v>
      </c>
      <c r="DQ213">
        <v>1700</v>
      </c>
      <c r="DS213" t="s">
        <v>322</v>
      </c>
      <c r="DT213">
        <v>1.2500000000000001E-2</v>
      </c>
      <c r="DU213">
        <v>1.2500000000000001E-2</v>
      </c>
      <c r="DV213">
        <v>0.32500000000000001</v>
      </c>
      <c r="DW213">
        <v>0.32500000000000001</v>
      </c>
      <c r="DX213">
        <v>0.32500000000000001</v>
      </c>
      <c r="DY213">
        <v>31.406130998979471</v>
      </c>
      <c r="DZ213" s="4">
        <v>5.3979999999999997</v>
      </c>
      <c r="EA213" s="4" t="s">
        <v>432</v>
      </c>
      <c r="EB213" s="4" t="s">
        <v>433</v>
      </c>
      <c r="EC213">
        <v>6.4850000000000003</v>
      </c>
      <c r="ED213">
        <v>919</v>
      </c>
      <c r="EE213" t="s">
        <v>1170</v>
      </c>
      <c r="EF213">
        <v>0</v>
      </c>
      <c r="EH213">
        <f t="shared" si="7"/>
        <v>0.58000000000000007</v>
      </c>
      <c r="EI213">
        <v>3.38</v>
      </c>
      <c r="EJ213">
        <v>3.65</v>
      </c>
    </row>
    <row r="214" spans="1:140" x14ac:dyDescent="0.35">
      <c r="A214" s="1">
        <v>212</v>
      </c>
      <c r="B214">
        <v>-122.0674017026772</v>
      </c>
      <c r="C214">
        <v>41.7054037722109</v>
      </c>
      <c r="D214" t="s">
        <v>1172</v>
      </c>
      <c r="E214">
        <v>0.1</v>
      </c>
      <c r="F214" t="s">
        <v>135</v>
      </c>
      <c r="G214">
        <v>7.3200000000000001E-2</v>
      </c>
      <c r="H214" t="s">
        <v>161</v>
      </c>
      <c r="I214">
        <v>-13588481</v>
      </c>
      <c r="J214">
        <v>5116952</v>
      </c>
      <c r="K214" t="s">
        <v>427</v>
      </c>
      <c r="L214" t="s">
        <v>1173</v>
      </c>
      <c r="M214">
        <v>47</v>
      </c>
      <c r="N214">
        <v>5.7080000000000002</v>
      </c>
      <c r="O214">
        <v>4</v>
      </c>
      <c r="P214">
        <v>9</v>
      </c>
      <c r="Q214">
        <v>6</v>
      </c>
      <c r="R214">
        <v>93</v>
      </c>
      <c r="S214">
        <v>44075</v>
      </c>
      <c r="T214" t="s">
        <v>315</v>
      </c>
      <c r="U214">
        <v>8.1439147775781446</v>
      </c>
      <c r="V214" t="s">
        <v>427</v>
      </c>
      <c r="W214">
        <v>0.27039999999999997</v>
      </c>
      <c r="X214">
        <v>10</v>
      </c>
      <c r="Y214">
        <v>8.9</v>
      </c>
      <c r="Z214">
        <v>8.9</v>
      </c>
      <c r="AA214">
        <v>20</v>
      </c>
      <c r="AB214">
        <v>26</v>
      </c>
      <c r="AC214">
        <v>0.40699999999999997</v>
      </c>
      <c r="AD214">
        <v>67</v>
      </c>
      <c r="AE214">
        <v>6.4685314685314674E-2</v>
      </c>
      <c r="AF214">
        <v>2.86</v>
      </c>
      <c r="AG214" t="s">
        <v>315</v>
      </c>
      <c r="AH214" t="s">
        <v>427</v>
      </c>
      <c r="AI214">
        <v>77</v>
      </c>
      <c r="AJ214">
        <v>2.5666666666666671E-2</v>
      </c>
      <c r="AK214">
        <v>25.666666666666671</v>
      </c>
      <c r="AL214" t="s">
        <v>1174</v>
      </c>
      <c r="AM214">
        <v>44858.709556820257</v>
      </c>
      <c r="AN214">
        <v>1.74</v>
      </c>
      <c r="AO214">
        <v>0.09</v>
      </c>
      <c r="AP214">
        <v>0.19</v>
      </c>
      <c r="AQ214">
        <v>1.45</v>
      </c>
      <c r="AR214">
        <v>1.29</v>
      </c>
      <c r="AS214">
        <v>0.13</v>
      </c>
      <c r="AT214">
        <v>0.04</v>
      </c>
      <c r="AU214">
        <v>0.02</v>
      </c>
      <c r="AV214">
        <v>3.01</v>
      </c>
      <c r="AW214">
        <v>2.02</v>
      </c>
      <c r="AX214">
        <v>0.21</v>
      </c>
      <c r="AY214">
        <v>0.53</v>
      </c>
      <c r="AZ214">
        <v>0</v>
      </c>
      <c r="BA214">
        <v>1.37</v>
      </c>
      <c r="BB214">
        <v>0.24</v>
      </c>
      <c r="BC214">
        <v>0.41</v>
      </c>
      <c r="BD214">
        <v>0.27</v>
      </c>
      <c r="BE214">
        <v>15.79</v>
      </c>
      <c r="BF214">
        <v>15.1</v>
      </c>
      <c r="BG214">
        <v>0.24</v>
      </c>
      <c r="BH214">
        <v>0.45</v>
      </c>
      <c r="BI214">
        <v>0</v>
      </c>
      <c r="BJ214">
        <v>0.11</v>
      </c>
      <c r="BK214">
        <v>14.98</v>
      </c>
      <c r="BL214">
        <v>0</v>
      </c>
      <c r="BM214">
        <v>2.41</v>
      </c>
      <c r="BN214">
        <v>0.21</v>
      </c>
      <c r="BO214">
        <v>0.46</v>
      </c>
      <c r="BP214">
        <v>1.74</v>
      </c>
      <c r="BQ214">
        <v>1.27</v>
      </c>
      <c r="BR214">
        <v>0.17</v>
      </c>
      <c r="BS214">
        <v>0.3</v>
      </c>
      <c r="BT214">
        <v>0</v>
      </c>
      <c r="BU214">
        <v>16.239999999999998</v>
      </c>
      <c r="BV214">
        <v>15.18</v>
      </c>
      <c r="BW214">
        <v>0.34</v>
      </c>
      <c r="BX214">
        <v>0.72</v>
      </c>
      <c r="BY214">
        <v>0</v>
      </c>
      <c r="BZ214">
        <v>0.11</v>
      </c>
      <c r="CA214">
        <v>15.07</v>
      </c>
      <c r="CB214">
        <v>0</v>
      </c>
      <c r="CC214">
        <f t="shared" si="6"/>
        <v>2.75</v>
      </c>
      <c r="CD214">
        <v>3.96</v>
      </c>
      <c r="CE214">
        <v>0.34230769230769231</v>
      </c>
      <c r="CF214">
        <v>0.44500000000000001</v>
      </c>
      <c r="CG214">
        <v>0.1492537313432836</v>
      </c>
      <c r="CH214">
        <v>0.1423076923076923</v>
      </c>
      <c r="CI214">
        <v>0</v>
      </c>
      <c r="CJ214">
        <v>29672</v>
      </c>
      <c r="CK214" t="s">
        <v>141</v>
      </c>
      <c r="CL214" t="s">
        <v>1051</v>
      </c>
      <c r="CM214" t="s">
        <v>143</v>
      </c>
      <c r="CN214">
        <v>0.13210202996199999</v>
      </c>
      <c r="CO214">
        <v>48.969822629961691</v>
      </c>
      <c r="CP214">
        <v>213</v>
      </c>
      <c r="CQ214" t="s">
        <v>1175</v>
      </c>
      <c r="CR214">
        <v>223</v>
      </c>
      <c r="CS214" t="s">
        <v>717</v>
      </c>
      <c r="CT214" t="s">
        <v>718</v>
      </c>
      <c r="CU214" t="s">
        <v>315</v>
      </c>
      <c r="CV214" t="s">
        <v>719</v>
      </c>
      <c r="CW214" t="s">
        <v>720</v>
      </c>
      <c r="CX214" t="s">
        <v>721</v>
      </c>
      <c r="CY214" t="s">
        <v>551</v>
      </c>
      <c r="CZ214" t="s">
        <v>319</v>
      </c>
      <c r="DA214" t="s">
        <v>152</v>
      </c>
      <c r="DB214" t="s">
        <v>178</v>
      </c>
      <c r="DC214" t="s">
        <v>207</v>
      </c>
      <c r="DD214" t="s">
        <v>155</v>
      </c>
      <c r="DE214">
        <v>2069</v>
      </c>
      <c r="DF214">
        <v>-121.36967300000001</v>
      </c>
      <c r="DG214">
        <v>38.049534000000001</v>
      </c>
      <c r="DH214">
        <v>7600</v>
      </c>
      <c r="DI214">
        <v>1000</v>
      </c>
      <c r="DL214">
        <v>18</v>
      </c>
      <c r="DM214">
        <v>15</v>
      </c>
      <c r="DN214">
        <v>30</v>
      </c>
      <c r="DO214">
        <v>5</v>
      </c>
      <c r="DP214">
        <v>10</v>
      </c>
      <c r="DQ214">
        <v>1700</v>
      </c>
      <c r="DS214" t="s">
        <v>322</v>
      </c>
      <c r="DT214">
        <v>1.2500000000000001E-2</v>
      </c>
      <c r="DU214">
        <v>1.2500000000000001E-2</v>
      </c>
      <c r="DV214">
        <v>0.32500000000000001</v>
      </c>
      <c r="DW214">
        <v>0.32500000000000001</v>
      </c>
      <c r="DX214">
        <v>0.32500000000000001</v>
      </c>
      <c r="DY214">
        <v>49.587318029989731</v>
      </c>
      <c r="DZ214" s="4">
        <v>5.3979999999999997</v>
      </c>
      <c r="EA214" s="4" t="s">
        <v>432</v>
      </c>
      <c r="EB214" s="4" t="s">
        <v>433</v>
      </c>
      <c r="EC214">
        <v>6.4850000000000003</v>
      </c>
      <c r="ED214">
        <v>282</v>
      </c>
      <c r="EE214" t="s">
        <v>1174</v>
      </c>
      <c r="EF214">
        <v>0.30016433230255379</v>
      </c>
      <c r="EH214">
        <f t="shared" si="7"/>
        <v>0.58000000000000007</v>
      </c>
      <c r="EI214">
        <v>3.38</v>
      </c>
      <c r="EJ214">
        <v>3.65</v>
      </c>
    </row>
    <row r="215" spans="1:140" x14ac:dyDescent="0.35">
      <c r="A215" s="1">
        <v>213</v>
      </c>
      <c r="B215">
        <v>-120.27077113443811</v>
      </c>
      <c r="C215">
        <v>41.7054037722109</v>
      </c>
      <c r="D215" t="s">
        <v>1176</v>
      </c>
      <c r="E215">
        <v>0.1</v>
      </c>
      <c r="F215" t="s">
        <v>135</v>
      </c>
      <c r="G215">
        <v>7.3200000000000001E-2</v>
      </c>
      <c r="H215" t="s">
        <v>161</v>
      </c>
      <c r="I215">
        <v>-13388481</v>
      </c>
      <c r="J215">
        <v>5116952</v>
      </c>
      <c r="K215" t="s">
        <v>427</v>
      </c>
      <c r="L215" t="s">
        <v>1177</v>
      </c>
      <c r="M215">
        <v>25</v>
      </c>
      <c r="N215">
        <v>5.5090000000000003</v>
      </c>
      <c r="O215">
        <v>4</v>
      </c>
      <c r="P215">
        <v>9</v>
      </c>
      <c r="Q215">
        <v>6</v>
      </c>
      <c r="R215">
        <v>49</v>
      </c>
      <c r="S215">
        <v>8700</v>
      </c>
      <c r="T215" t="s">
        <v>315</v>
      </c>
      <c r="U215">
        <v>8.1439147775781446</v>
      </c>
      <c r="V215" t="s">
        <v>427</v>
      </c>
      <c r="W215">
        <v>0.27039999999999997</v>
      </c>
      <c r="X215">
        <v>10</v>
      </c>
      <c r="Y215">
        <v>8.9</v>
      </c>
      <c r="Z215">
        <v>8.9</v>
      </c>
      <c r="AA215">
        <v>20</v>
      </c>
      <c r="AB215">
        <v>26</v>
      </c>
      <c r="AC215">
        <v>0.40699999999999997</v>
      </c>
      <c r="AD215">
        <v>67</v>
      </c>
      <c r="AE215">
        <v>6.4685314685314674E-2</v>
      </c>
      <c r="AF215">
        <v>2.86</v>
      </c>
      <c r="AG215" t="s">
        <v>315</v>
      </c>
      <c r="AH215" t="s">
        <v>427</v>
      </c>
      <c r="AI215">
        <v>77</v>
      </c>
      <c r="AJ215">
        <v>2.5666666666666671E-2</v>
      </c>
      <c r="AK215">
        <v>25.666666666666671</v>
      </c>
      <c r="AL215" t="s">
        <v>1178</v>
      </c>
      <c r="AM215">
        <v>30310.102579065711</v>
      </c>
      <c r="AN215">
        <v>1.74</v>
      </c>
      <c r="AO215">
        <v>0.09</v>
      </c>
      <c r="AP215">
        <v>0.19</v>
      </c>
      <c r="AQ215">
        <v>1.45</v>
      </c>
      <c r="AR215">
        <v>1.29</v>
      </c>
      <c r="AS215">
        <v>0.13</v>
      </c>
      <c r="AT215">
        <v>0.04</v>
      </c>
      <c r="AU215">
        <v>0.02</v>
      </c>
      <c r="AV215">
        <v>3.01</v>
      </c>
      <c r="AW215">
        <v>2.02</v>
      </c>
      <c r="AX215">
        <v>0.21</v>
      </c>
      <c r="AY215">
        <v>0.53</v>
      </c>
      <c r="AZ215">
        <v>0</v>
      </c>
      <c r="BA215">
        <v>1.37</v>
      </c>
      <c r="BB215">
        <v>0.24</v>
      </c>
      <c r="BC215">
        <v>0.41</v>
      </c>
      <c r="BD215">
        <v>0.27</v>
      </c>
      <c r="BE215">
        <v>15.79</v>
      </c>
      <c r="BF215">
        <v>15.1</v>
      </c>
      <c r="BG215">
        <v>0.24</v>
      </c>
      <c r="BH215">
        <v>0.45</v>
      </c>
      <c r="BI215">
        <v>0</v>
      </c>
      <c r="BJ215">
        <v>0.11</v>
      </c>
      <c r="BK215">
        <v>14.98</v>
      </c>
      <c r="BL215">
        <v>0</v>
      </c>
      <c r="BM215">
        <v>2.41</v>
      </c>
      <c r="BN215">
        <v>0.21</v>
      </c>
      <c r="BO215">
        <v>0.46</v>
      </c>
      <c r="BP215">
        <v>1.74</v>
      </c>
      <c r="BQ215">
        <v>1.27</v>
      </c>
      <c r="BR215">
        <v>0.17</v>
      </c>
      <c r="BS215">
        <v>0.3</v>
      </c>
      <c r="BT215">
        <v>0</v>
      </c>
      <c r="BU215">
        <v>16.239999999999998</v>
      </c>
      <c r="BV215">
        <v>15.18</v>
      </c>
      <c r="BW215">
        <v>0.34</v>
      </c>
      <c r="BX215">
        <v>0.72</v>
      </c>
      <c r="BY215">
        <v>0</v>
      </c>
      <c r="BZ215">
        <v>0.11</v>
      </c>
      <c r="CA215">
        <v>15.07</v>
      </c>
      <c r="CB215">
        <v>0</v>
      </c>
      <c r="CC215">
        <f t="shared" si="6"/>
        <v>2.75</v>
      </c>
      <c r="CD215">
        <v>3.96</v>
      </c>
      <c r="CE215">
        <v>0.34230769230769231</v>
      </c>
      <c r="CF215">
        <v>0.44500000000000001</v>
      </c>
      <c r="CG215">
        <v>0.1492537313432836</v>
      </c>
      <c r="CH215">
        <v>0.1423076923076923</v>
      </c>
      <c r="CI215">
        <v>0</v>
      </c>
      <c r="CJ215">
        <v>31702</v>
      </c>
      <c r="CK215" t="s">
        <v>141</v>
      </c>
      <c r="CL215" t="s">
        <v>1179</v>
      </c>
      <c r="CM215" t="s">
        <v>143</v>
      </c>
      <c r="CN215">
        <v>6.4815094466199996</v>
      </c>
      <c r="CO215">
        <v>27.303841847189361</v>
      </c>
      <c r="CP215">
        <v>214</v>
      </c>
      <c r="CQ215" t="s">
        <v>1180</v>
      </c>
      <c r="CR215">
        <v>223</v>
      </c>
      <c r="CS215" t="s">
        <v>717</v>
      </c>
      <c r="CT215" t="s">
        <v>718</v>
      </c>
      <c r="CU215" t="s">
        <v>315</v>
      </c>
      <c r="CV215" t="s">
        <v>719</v>
      </c>
      <c r="CW215" t="s">
        <v>720</v>
      </c>
      <c r="CX215" t="s">
        <v>721</v>
      </c>
      <c r="CY215" t="s">
        <v>551</v>
      </c>
      <c r="CZ215" t="s">
        <v>319</v>
      </c>
      <c r="DA215" t="s">
        <v>152</v>
      </c>
      <c r="DB215" t="s">
        <v>178</v>
      </c>
      <c r="DC215" t="s">
        <v>207</v>
      </c>
      <c r="DD215" t="s">
        <v>155</v>
      </c>
      <c r="DE215">
        <v>2069</v>
      </c>
      <c r="DF215">
        <v>-121.36967300000001</v>
      </c>
      <c r="DG215">
        <v>38.049534000000001</v>
      </c>
      <c r="DH215">
        <v>7600</v>
      </c>
      <c r="DI215">
        <v>1000</v>
      </c>
      <c r="DL215">
        <v>18</v>
      </c>
      <c r="DM215">
        <v>15</v>
      </c>
      <c r="DN215">
        <v>30</v>
      </c>
      <c r="DO215">
        <v>5</v>
      </c>
      <c r="DP215">
        <v>10</v>
      </c>
      <c r="DQ215">
        <v>1700</v>
      </c>
      <c r="DS215" t="s">
        <v>322</v>
      </c>
      <c r="DT215">
        <v>1.2500000000000001E-2</v>
      </c>
      <c r="DU215">
        <v>1.2500000000000001E-2</v>
      </c>
      <c r="DV215">
        <v>0.32500000000000001</v>
      </c>
      <c r="DW215">
        <v>0.32500000000000001</v>
      </c>
      <c r="DX215">
        <v>0.32500000000000001</v>
      </c>
      <c r="DY215">
        <v>4.1638188536898344</v>
      </c>
      <c r="DZ215" s="4">
        <v>5.3979999999999997</v>
      </c>
      <c r="EA215" s="4" t="s">
        <v>432</v>
      </c>
      <c r="EB215" s="4" t="s">
        <v>433</v>
      </c>
      <c r="EC215">
        <v>6.4850000000000003</v>
      </c>
      <c r="ED215">
        <v>657</v>
      </c>
      <c r="EE215" t="s">
        <v>1178</v>
      </c>
      <c r="EF215">
        <v>0.27227916728195972</v>
      </c>
      <c r="EH215">
        <f t="shared" si="7"/>
        <v>0.58000000000000007</v>
      </c>
      <c r="EI215">
        <v>3.38</v>
      </c>
      <c r="EJ215">
        <v>3.65</v>
      </c>
    </row>
    <row r="216" spans="1:140" x14ac:dyDescent="0.35">
      <c r="A216" s="1">
        <v>214</v>
      </c>
      <c r="B216">
        <v>-118.4741405661991</v>
      </c>
      <c r="C216">
        <v>41.7054037722109</v>
      </c>
      <c r="D216" t="s">
        <v>1181</v>
      </c>
      <c r="E216">
        <v>0.1</v>
      </c>
      <c r="F216" t="s">
        <v>135</v>
      </c>
      <c r="G216">
        <v>7.3200000000000001E-2</v>
      </c>
      <c r="H216" t="s">
        <v>161</v>
      </c>
      <c r="I216">
        <v>-13188481</v>
      </c>
      <c r="J216">
        <v>5116952</v>
      </c>
      <c r="K216" t="s">
        <v>712</v>
      </c>
      <c r="L216" t="s">
        <v>1042</v>
      </c>
      <c r="M216">
        <v>8</v>
      </c>
      <c r="N216">
        <v>4.3710000000000004</v>
      </c>
      <c r="O216">
        <v>4</v>
      </c>
      <c r="P216">
        <v>8</v>
      </c>
      <c r="Q216">
        <v>32</v>
      </c>
      <c r="R216">
        <v>13</v>
      </c>
      <c r="S216">
        <v>17288</v>
      </c>
      <c r="T216" t="s">
        <v>714</v>
      </c>
      <c r="U216">
        <v>8.0104643432458005</v>
      </c>
      <c r="V216" t="s">
        <v>712</v>
      </c>
      <c r="W216">
        <v>0.1147</v>
      </c>
      <c r="X216">
        <v>10</v>
      </c>
      <c r="Y216">
        <v>8.9</v>
      </c>
      <c r="Z216">
        <v>8.9</v>
      </c>
      <c r="AA216">
        <v>20</v>
      </c>
      <c r="AB216">
        <v>26</v>
      </c>
      <c r="AC216">
        <v>0.63100000000000001</v>
      </c>
      <c r="AD216">
        <v>67</v>
      </c>
      <c r="AE216">
        <v>0.1002860775588048</v>
      </c>
      <c r="AF216">
        <v>2.86</v>
      </c>
      <c r="AG216" t="s">
        <v>714</v>
      </c>
      <c r="AH216" t="s">
        <v>712</v>
      </c>
      <c r="AI216">
        <v>26</v>
      </c>
      <c r="AJ216">
        <v>8.6666666666666663E-3</v>
      </c>
      <c r="AK216">
        <v>8.6666666666666661</v>
      </c>
      <c r="AL216" t="s">
        <v>1182</v>
      </c>
      <c r="AM216">
        <v>0</v>
      </c>
      <c r="AN216">
        <v>1.61</v>
      </c>
      <c r="AO216">
        <v>0.09</v>
      </c>
      <c r="AP216">
        <v>0.19</v>
      </c>
      <c r="AQ216">
        <v>1.32</v>
      </c>
      <c r="AR216">
        <v>1.27</v>
      </c>
      <c r="AS216">
        <v>0.04</v>
      </c>
      <c r="AT216">
        <v>0.01</v>
      </c>
      <c r="AU216">
        <v>0.02</v>
      </c>
      <c r="AV216">
        <v>2.59</v>
      </c>
      <c r="AW216">
        <v>1.59</v>
      </c>
      <c r="AX216">
        <v>0.21</v>
      </c>
      <c r="AY216">
        <v>0.53</v>
      </c>
      <c r="AZ216">
        <v>0</v>
      </c>
      <c r="BA216">
        <v>1.35</v>
      </c>
      <c r="BB216">
        <v>0.08</v>
      </c>
      <c r="BC216">
        <v>0.17</v>
      </c>
      <c r="BD216">
        <v>0.27</v>
      </c>
      <c r="BE216">
        <v>6.83</v>
      </c>
      <c r="BF216">
        <v>6.14</v>
      </c>
      <c r="BG216">
        <v>0.24</v>
      </c>
      <c r="BH216">
        <v>0.45</v>
      </c>
      <c r="BI216">
        <v>0</v>
      </c>
      <c r="BJ216">
        <v>0.04</v>
      </c>
      <c r="BK216">
        <v>6.1</v>
      </c>
      <c r="BL216">
        <v>0</v>
      </c>
      <c r="BM216">
        <v>2.1</v>
      </c>
      <c r="BN216">
        <v>0.21</v>
      </c>
      <c r="BO216">
        <v>0.46</v>
      </c>
      <c r="BP216">
        <v>1.43</v>
      </c>
      <c r="BQ216">
        <v>1.25</v>
      </c>
      <c r="BR216">
        <v>0.06</v>
      </c>
      <c r="BS216">
        <v>0.12</v>
      </c>
      <c r="BT216">
        <v>0</v>
      </c>
      <c r="BU216">
        <v>7.24</v>
      </c>
      <c r="BV216">
        <v>6.18</v>
      </c>
      <c r="BW216">
        <v>0.34</v>
      </c>
      <c r="BX216">
        <v>0.72</v>
      </c>
      <c r="BY216">
        <v>0</v>
      </c>
      <c r="BZ216">
        <v>0.04</v>
      </c>
      <c r="CA216">
        <v>6.14</v>
      </c>
      <c r="CB216">
        <v>0</v>
      </c>
      <c r="CC216">
        <f t="shared" si="6"/>
        <v>2.75</v>
      </c>
      <c r="CD216">
        <v>3.96</v>
      </c>
      <c r="CE216">
        <v>0.34230769230769231</v>
      </c>
      <c r="CF216">
        <v>0.44500000000000001</v>
      </c>
      <c r="CG216">
        <v>0.1492537313432836</v>
      </c>
      <c r="CH216">
        <v>0.2206293706293706</v>
      </c>
      <c r="CI216">
        <v>0</v>
      </c>
      <c r="CJ216">
        <v>31702</v>
      </c>
      <c r="CK216" t="s">
        <v>141</v>
      </c>
      <c r="CL216" t="s">
        <v>1179</v>
      </c>
      <c r="CM216" t="s">
        <v>143</v>
      </c>
      <c r="CN216">
        <v>6.4815094466199996</v>
      </c>
      <c r="CO216">
        <v>18.769140055888101</v>
      </c>
      <c r="CP216">
        <v>215</v>
      </c>
      <c r="CQ216" t="s">
        <v>712</v>
      </c>
      <c r="CR216">
        <v>223</v>
      </c>
      <c r="CS216" t="s">
        <v>717</v>
      </c>
      <c r="CT216" t="s">
        <v>718</v>
      </c>
      <c r="CU216" t="s">
        <v>315</v>
      </c>
      <c r="CV216" t="s">
        <v>719</v>
      </c>
      <c r="CW216" t="s">
        <v>720</v>
      </c>
      <c r="CX216" t="s">
        <v>721</v>
      </c>
      <c r="CY216" t="s">
        <v>551</v>
      </c>
      <c r="CZ216" t="s">
        <v>319</v>
      </c>
      <c r="DA216" t="s">
        <v>152</v>
      </c>
      <c r="DB216" t="s">
        <v>178</v>
      </c>
      <c r="DC216" t="s">
        <v>207</v>
      </c>
      <c r="DD216" t="s">
        <v>155</v>
      </c>
      <c r="DE216">
        <v>2069</v>
      </c>
      <c r="DF216">
        <v>-121.36967300000001</v>
      </c>
      <c r="DG216">
        <v>38.049534000000001</v>
      </c>
      <c r="DH216">
        <v>7600</v>
      </c>
      <c r="DI216">
        <v>1000</v>
      </c>
      <c r="DL216">
        <v>18</v>
      </c>
      <c r="DM216">
        <v>15</v>
      </c>
      <c r="DN216">
        <v>30</v>
      </c>
      <c r="DO216">
        <v>5</v>
      </c>
      <c r="DP216">
        <v>10</v>
      </c>
      <c r="DQ216">
        <v>1700</v>
      </c>
      <c r="DS216" t="s">
        <v>322</v>
      </c>
      <c r="DT216">
        <v>1.2500000000000001E-2</v>
      </c>
      <c r="DU216">
        <v>1.2500000000000001E-2</v>
      </c>
      <c r="DV216">
        <v>0.32500000000000001</v>
      </c>
      <c r="DW216">
        <v>0.32500000000000001</v>
      </c>
      <c r="DX216">
        <v>0.32500000000000001</v>
      </c>
      <c r="DY216">
        <v>40.799023981528407</v>
      </c>
      <c r="DZ216" s="4">
        <v>4.5750000000000002</v>
      </c>
      <c r="EA216" s="4" t="s">
        <v>722</v>
      </c>
      <c r="EB216" s="4" t="s">
        <v>723</v>
      </c>
      <c r="EC216">
        <v>5.3360000000000003</v>
      </c>
      <c r="ED216">
        <v>843</v>
      </c>
      <c r="EE216" t="s">
        <v>1182</v>
      </c>
      <c r="EF216">
        <v>0</v>
      </c>
      <c r="EH216">
        <f t="shared" si="7"/>
        <v>0.58000000000000007</v>
      </c>
      <c r="EI216">
        <v>3.38</v>
      </c>
      <c r="EJ216">
        <v>3.65</v>
      </c>
    </row>
    <row r="217" spans="1:140" x14ac:dyDescent="0.35">
      <c r="A217" s="1">
        <v>215</v>
      </c>
      <c r="B217">
        <v>-116.6775099979601</v>
      </c>
      <c r="C217">
        <v>41.7054037722109</v>
      </c>
      <c r="D217" t="s">
        <v>1183</v>
      </c>
      <c r="E217">
        <v>0.1</v>
      </c>
      <c r="F217" t="s">
        <v>135</v>
      </c>
      <c r="G217">
        <v>7.3200000000000001E-2</v>
      </c>
      <c r="H217" t="s">
        <v>161</v>
      </c>
      <c r="I217">
        <v>-12988481</v>
      </c>
      <c r="J217">
        <v>5116952</v>
      </c>
      <c r="K217" t="s">
        <v>712</v>
      </c>
      <c r="L217" t="s">
        <v>1059</v>
      </c>
      <c r="M217">
        <v>5</v>
      </c>
      <c r="N217">
        <v>4.032</v>
      </c>
      <c r="O217">
        <v>4</v>
      </c>
      <c r="P217">
        <v>8</v>
      </c>
      <c r="Q217">
        <v>32</v>
      </c>
      <c r="R217">
        <v>7</v>
      </c>
      <c r="S217">
        <v>53703</v>
      </c>
      <c r="T217" t="s">
        <v>714</v>
      </c>
      <c r="U217">
        <v>8.0104643432458005</v>
      </c>
      <c r="V217" t="s">
        <v>712</v>
      </c>
      <c r="W217">
        <v>0.1147</v>
      </c>
      <c r="X217">
        <v>10</v>
      </c>
      <c r="Y217">
        <v>8.9</v>
      </c>
      <c r="Z217">
        <v>8.9</v>
      </c>
      <c r="AA217">
        <v>20</v>
      </c>
      <c r="AB217">
        <v>26</v>
      </c>
      <c r="AC217">
        <v>0.63100000000000001</v>
      </c>
      <c r="AD217">
        <v>67</v>
      </c>
      <c r="AE217">
        <v>0.1002860775588048</v>
      </c>
      <c r="AF217">
        <v>2.86</v>
      </c>
      <c r="AG217" t="s">
        <v>714</v>
      </c>
      <c r="AH217" t="s">
        <v>712</v>
      </c>
      <c r="AI217">
        <v>26</v>
      </c>
      <c r="AJ217">
        <v>8.6666666666666663E-3</v>
      </c>
      <c r="AK217">
        <v>8.6666666666666661</v>
      </c>
      <c r="AL217" t="s">
        <v>1057</v>
      </c>
      <c r="AM217">
        <v>0</v>
      </c>
      <c r="AN217">
        <v>1.61</v>
      </c>
      <c r="AO217">
        <v>0.09</v>
      </c>
      <c r="AP217">
        <v>0.19</v>
      </c>
      <c r="AQ217">
        <v>1.32</v>
      </c>
      <c r="AR217">
        <v>1.27</v>
      </c>
      <c r="AS217">
        <v>0.04</v>
      </c>
      <c r="AT217">
        <v>0.01</v>
      </c>
      <c r="AU217">
        <v>0.02</v>
      </c>
      <c r="AV217">
        <v>2.59</v>
      </c>
      <c r="AW217">
        <v>1.59</v>
      </c>
      <c r="AX217">
        <v>0.21</v>
      </c>
      <c r="AY217">
        <v>0.53</v>
      </c>
      <c r="AZ217">
        <v>0</v>
      </c>
      <c r="BA217">
        <v>1.35</v>
      </c>
      <c r="BB217">
        <v>0.08</v>
      </c>
      <c r="BC217">
        <v>0.17</v>
      </c>
      <c r="BD217">
        <v>0.27</v>
      </c>
      <c r="BE217">
        <v>6.83</v>
      </c>
      <c r="BF217">
        <v>6.14</v>
      </c>
      <c r="BG217">
        <v>0.24</v>
      </c>
      <c r="BH217">
        <v>0.45</v>
      </c>
      <c r="BI217">
        <v>0</v>
      </c>
      <c r="BJ217">
        <v>0.04</v>
      </c>
      <c r="BK217">
        <v>6.1</v>
      </c>
      <c r="BL217">
        <v>0</v>
      </c>
      <c r="BM217">
        <v>2.1</v>
      </c>
      <c r="BN217">
        <v>0.21</v>
      </c>
      <c r="BO217">
        <v>0.46</v>
      </c>
      <c r="BP217">
        <v>1.43</v>
      </c>
      <c r="BQ217">
        <v>1.25</v>
      </c>
      <c r="BR217">
        <v>0.06</v>
      </c>
      <c r="BS217">
        <v>0.12</v>
      </c>
      <c r="BT217">
        <v>0</v>
      </c>
      <c r="BU217">
        <v>7.24</v>
      </c>
      <c r="BV217">
        <v>6.18</v>
      </c>
      <c r="BW217">
        <v>0.34</v>
      </c>
      <c r="BX217">
        <v>0.72</v>
      </c>
      <c r="BY217">
        <v>0</v>
      </c>
      <c r="BZ217">
        <v>0.04</v>
      </c>
      <c r="CA217">
        <v>6.14</v>
      </c>
      <c r="CB217">
        <v>0</v>
      </c>
      <c r="CC217">
        <f t="shared" si="6"/>
        <v>2.75</v>
      </c>
      <c r="CD217">
        <v>3.96</v>
      </c>
      <c r="CE217">
        <v>0.34230769230769231</v>
      </c>
      <c r="CF217">
        <v>0.44500000000000001</v>
      </c>
      <c r="CG217">
        <v>0.1492537313432836</v>
      </c>
      <c r="CH217">
        <v>0.2206293706293706</v>
      </c>
      <c r="CI217">
        <v>0</v>
      </c>
      <c r="CJ217">
        <v>21368</v>
      </c>
      <c r="CK217" t="s">
        <v>169</v>
      </c>
      <c r="CL217" t="s">
        <v>948</v>
      </c>
      <c r="CM217" t="s">
        <v>143</v>
      </c>
      <c r="CN217">
        <v>2.7700984281999999</v>
      </c>
      <c r="CO217">
        <v>18.862221278188109</v>
      </c>
      <c r="CP217">
        <v>216</v>
      </c>
      <c r="CQ217" t="s">
        <v>712</v>
      </c>
      <c r="CR217">
        <v>223</v>
      </c>
      <c r="CS217" t="s">
        <v>717</v>
      </c>
      <c r="CT217" t="s">
        <v>718</v>
      </c>
      <c r="CU217" t="s">
        <v>315</v>
      </c>
      <c r="CV217" t="s">
        <v>719</v>
      </c>
      <c r="CW217" t="s">
        <v>720</v>
      </c>
      <c r="CX217" t="s">
        <v>721</v>
      </c>
      <c r="CY217" t="s">
        <v>551</v>
      </c>
      <c r="CZ217" t="s">
        <v>319</v>
      </c>
      <c r="DA217" t="s">
        <v>152</v>
      </c>
      <c r="DB217" t="s">
        <v>178</v>
      </c>
      <c r="DC217" t="s">
        <v>207</v>
      </c>
      <c r="DD217" t="s">
        <v>155</v>
      </c>
      <c r="DE217">
        <v>2069</v>
      </c>
      <c r="DF217">
        <v>-121.36967300000001</v>
      </c>
      <c r="DG217">
        <v>38.049534000000001</v>
      </c>
      <c r="DH217">
        <v>7600</v>
      </c>
      <c r="DI217">
        <v>1000</v>
      </c>
      <c r="DL217">
        <v>18</v>
      </c>
      <c r="DM217">
        <v>15</v>
      </c>
      <c r="DN217">
        <v>30</v>
      </c>
      <c r="DO217">
        <v>5</v>
      </c>
      <c r="DP217">
        <v>10</v>
      </c>
      <c r="DQ217">
        <v>1700</v>
      </c>
      <c r="DS217" t="s">
        <v>322</v>
      </c>
      <c r="DT217">
        <v>1.2500000000000001E-2</v>
      </c>
      <c r="DU217">
        <v>1.2500000000000001E-2</v>
      </c>
      <c r="DV217">
        <v>0.32500000000000001</v>
      </c>
      <c r="DW217">
        <v>0.32500000000000001</v>
      </c>
      <c r="DX217">
        <v>0.32500000000000001</v>
      </c>
      <c r="DY217">
        <v>61.370949893522351</v>
      </c>
      <c r="DZ217" s="4">
        <v>4.5750000000000002</v>
      </c>
      <c r="EA217" s="4" t="s">
        <v>722</v>
      </c>
      <c r="EB217" s="4" t="s">
        <v>723</v>
      </c>
      <c r="EC217">
        <v>5.3360000000000003</v>
      </c>
      <c r="ED217">
        <v>734</v>
      </c>
      <c r="EE217" t="s">
        <v>1057</v>
      </c>
      <c r="EF217">
        <v>0</v>
      </c>
      <c r="EH217">
        <f t="shared" si="7"/>
        <v>0.58000000000000007</v>
      </c>
      <c r="EI217">
        <v>3.38</v>
      </c>
      <c r="EJ217">
        <v>3.65</v>
      </c>
    </row>
    <row r="218" spans="1:140" x14ac:dyDescent="0.35">
      <c r="A218" s="1">
        <v>216</v>
      </c>
      <c r="B218">
        <v>-114.88087942972101</v>
      </c>
      <c r="C218">
        <v>41.7054037722109</v>
      </c>
      <c r="D218" t="s">
        <v>1184</v>
      </c>
      <c r="E218">
        <v>0.1</v>
      </c>
      <c r="F218" t="s">
        <v>135</v>
      </c>
      <c r="G218">
        <v>7.3200000000000001E-2</v>
      </c>
      <c r="H218" t="s">
        <v>161</v>
      </c>
      <c r="I218">
        <v>-12788481</v>
      </c>
      <c r="J218">
        <v>5116952</v>
      </c>
      <c r="K218" t="s">
        <v>712</v>
      </c>
      <c r="L218" t="s">
        <v>1059</v>
      </c>
      <c r="M218">
        <v>5</v>
      </c>
      <c r="N218">
        <v>4.032</v>
      </c>
      <c r="O218">
        <v>4</v>
      </c>
      <c r="P218">
        <v>8</v>
      </c>
      <c r="Q218">
        <v>32</v>
      </c>
      <c r="R218">
        <v>7</v>
      </c>
      <c r="S218">
        <v>53703</v>
      </c>
      <c r="T218" t="s">
        <v>714</v>
      </c>
      <c r="U218">
        <v>8.0104643432458005</v>
      </c>
      <c r="V218" t="s">
        <v>712</v>
      </c>
      <c r="W218">
        <v>0.1147</v>
      </c>
      <c r="X218">
        <v>10</v>
      </c>
      <c r="Y218">
        <v>8.9</v>
      </c>
      <c r="Z218">
        <v>8.9</v>
      </c>
      <c r="AA218">
        <v>20</v>
      </c>
      <c r="AB218">
        <v>26</v>
      </c>
      <c r="AC218">
        <v>0.63100000000000001</v>
      </c>
      <c r="AD218">
        <v>67</v>
      </c>
      <c r="AE218">
        <v>0.1002860775588048</v>
      </c>
      <c r="AF218">
        <v>2.86</v>
      </c>
      <c r="AG218" t="s">
        <v>714</v>
      </c>
      <c r="AH218" t="s">
        <v>712</v>
      </c>
      <c r="AI218">
        <v>26</v>
      </c>
      <c r="AJ218">
        <v>8.6666666666666663E-3</v>
      </c>
      <c r="AK218">
        <v>8.6666666666666661</v>
      </c>
      <c r="AL218" t="s">
        <v>1057</v>
      </c>
      <c r="AM218">
        <v>0</v>
      </c>
      <c r="AN218">
        <v>1.61</v>
      </c>
      <c r="AO218">
        <v>0.09</v>
      </c>
      <c r="AP218">
        <v>0.19</v>
      </c>
      <c r="AQ218">
        <v>1.32</v>
      </c>
      <c r="AR218">
        <v>1.27</v>
      </c>
      <c r="AS218">
        <v>0.04</v>
      </c>
      <c r="AT218">
        <v>0.01</v>
      </c>
      <c r="AU218">
        <v>0.02</v>
      </c>
      <c r="AV218">
        <v>2.59</v>
      </c>
      <c r="AW218">
        <v>1.59</v>
      </c>
      <c r="AX218">
        <v>0.21</v>
      </c>
      <c r="AY218">
        <v>0.53</v>
      </c>
      <c r="AZ218">
        <v>0</v>
      </c>
      <c r="BA218">
        <v>1.35</v>
      </c>
      <c r="BB218">
        <v>0.08</v>
      </c>
      <c r="BC218">
        <v>0.17</v>
      </c>
      <c r="BD218">
        <v>0.27</v>
      </c>
      <c r="BE218">
        <v>6.83</v>
      </c>
      <c r="BF218">
        <v>6.14</v>
      </c>
      <c r="BG218">
        <v>0.24</v>
      </c>
      <c r="BH218">
        <v>0.45</v>
      </c>
      <c r="BI218">
        <v>0</v>
      </c>
      <c r="BJ218">
        <v>0.04</v>
      </c>
      <c r="BK218">
        <v>6.1</v>
      </c>
      <c r="BL218">
        <v>0</v>
      </c>
      <c r="BM218">
        <v>2.1</v>
      </c>
      <c r="BN218">
        <v>0.21</v>
      </c>
      <c r="BO218">
        <v>0.46</v>
      </c>
      <c r="BP218">
        <v>1.43</v>
      </c>
      <c r="BQ218">
        <v>1.25</v>
      </c>
      <c r="BR218">
        <v>0.06</v>
      </c>
      <c r="BS218">
        <v>0.12</v>
      </c>
      <c r="BT218">
        <v>0</v>
      </c>
      <c r="BU218">
        <v>7.24</v>
      </c>
      <c r="BV218">
        <v>6.18</v>
      </c>
      <c r="BW218">
        <v>0.34</v>
      </c>
      <c r="BX218">
        <v>0.72</v>
      </c>
      <c r="BY218">
        <v>0</v>
      </c>
      <c r="BZ218">
        <v>0.04</v>
      </c>
      <c r="CA218">
        <v>6.14</v>
      </c>
      <c r="CB218">
        <v>0</v>
      </c>
      <c r="CC218">
        <f t="shared" si="6"/>
        <v>2.75</v>
      </c>
      <c r="CD218">
        <v>3.96</v>
      </c>
      <c r="CE218">
        <v>0.34230769230769231</v>
      </c>
      <c r="CF218">
        <v>0.44500000000000001</v>
      </c>
      <c r="CG218">
        <v>0.1492537313432836</v>
      </c>
      <c r="CH218">
        <v>0.2206293706293706</v>
      </c>
      <c r="CI218">
        <v>0</v>
      </c>
      <c r="CJ218">
        <v>31702</v>
      </c>
      <c r="CK218" t="s">
        <v>141</v>
      </c>
      <c r="CL218" t="s">
        <v>1179</v>
      </c>
      <c r="CM218" t="s">
        <v>143</v>
      </c>
      <c r="CN218">
        <v>6.4815094466199996</v>
      </c>
      <c r="CO218">
        <v>29.352003072190861</v>
      </c>
      <c r="CP218">
        <v>217</v>
      </c>
      <c r="CQ218" t="s">
        <v>712</v>
      </c>
      <c r="CR218">
        <v>223</v>
      </c>
      <c r="CS218" t="s">
        <v>717</v>
      </c>
      <c r="CT218" t="s">
        <v>718</v>
      </c>
      <c r="CU218" t="s">
        <v>315</v>
      </c>
      <c r="CV218" t="s">
        <v>719</v>
      </c>
      <c r="CW218" t="s">
        <v>720</v>
      </c>
      <c r="CX218" t="s">
        <v>721</v>
      </c>
      <c r="CY218" t="s">
        <v>551</v>
      </c>
      <c r="CZ218" t="s">
        <v>319</v>
      </c>
      <c r="DA218" t="s">
        <v>152</v>
      </c>
      <c r="DB218" t="s">
        <v>178</v>
      </c>
      <c r="DC218" t="s">
        <v>207</v>
      </c>
      <c r="DD218" t="s">
        <v>155</v>
      </c>
      <c r="DE218">
        <v>2069</v>
      </c>
      <c r="DF218">
        <v>-121.36967300000001</v>
      </c>
      <c r="DG218">
        <v>38.049534000000001</v>
      </c>
      <c r="DH218">
        <v>7600</v>
      </c>
      <c r="DI218">
        <v>1000</v>
      </c>
      <c r="DL218">
        <v>18</v>
      </c>
      <c r="DM218">
        <v>15</v>
      </c>
      <c r="DN218">
        <v>30</v>
      </c>
      <c r="DO218">
        <v>5</v>
      </c>
      <c r="DP218">
        <v>10</v>
      </c>
      <c r="DQ218">
        <v>1700</v>
      </c>
      <c r="DS218" t="s">
        <v>322</v>
      </c>
      <c r="DT218">
        <v>1.2500000000000001E-2</v>
      </c>
      <c r="DU218">
        <v>1.2500000000000001E-2</v>
      </c>
      <c r="DV218">
        <v>0.32500000000000001</v>
      </c>
      <c r="DW218">
        <v>0.32500000000000001</v>
      </c>
      <c r="DX218">
        <v>0.32500000000000001</v>
      </c>
      <c r="DY218">
        <v>8.5249071401597707</v>
      </c>
      <c r="DZ218" s="4">
        <v>4.5750000000000002</v>
      </c>
      <c r="EA218" s="4" t="s">
        <v>722</v>
      </c>
      <c r="EB218" s="4" t="s">
        <v>723</v>
      </c>
      <c r="EC218">
        <v>5.3360000000000003</v>
      </c>
      <c r="ED218">
        <v>734</v>
      </c>
      <c r="EE218" t="s">
        <v>1057</v>
      </c>
      <c r="EF218">
        <v>0</v>
      </c>
      <c r="EH218">
        <f t="shared" si="7"/>
        <v>0.58000000000000007</v>
      </c>
      <c r="EI218">
        <v>3.38</v>
      </c>
      <c r="EJ218">
        <v>3.65</v>
      </c>
    </row>
    <row r="219" spans="1:140" x14ac:dyDescent="0.35">
      <c r="A219" s="1">
        <v>217</v>
      </c>
      <c r="B219">
        <v>-113.084248861482</v>
      </c>
      <c r="C219">
        <v>41.7054037722109</v>
      </c>
      <c r="D219" t="s">
        <v>1185</v>
      </c>
      <c r="E219">
        <v>0.1</v>
      </c>
      <c r="F219" t="s">
        <v>135</v>
      </c>
      <c r="G219">
        <v>7.3200000000000001E-2</v>
      </c>
      <c r="H219" t="s">
        <v>161</v>
      </c>
      <c r="I219">
        <v>-12588481</v>
      </c>
      <c r="J219">
        <v>5116952</v>
      </c>
      <c r="K219" t="s">
        <v>835</v>
      </c>
      <c r="L219" t="s">
        <v>1186</v>
      </c>
      <c r="M219">
        <v>2</v>
      </c>
      <c r="N219">
        <v>3.8319999999999999</v>
      </c>
      <c r="O219">
        <v>4</v>
      </c>
      <c r="P219">
        <v>8</v>
      </c>
      <c r="Q219">
        <v>49</v>
      </c>
      <c r="R219">
        <v>3</v>
      </c>
      <c r="S219">
        <v>57669</v>
      </c>
      <c r="T219" t="s">
        <v>837</v>
      </c>
      <c r="U219">
        <v>5.801348811217232</v>
      </c>
      <c r="V219" t="s">
        <v>835</v>
      </c>
      <c r="W219">
        <v>9.9700000000000011E-2</v>
      </c>
      <c r="X219">
        <v>10</v>
      </c>
      <c r="Y219">
        <v>8.9</v>
      </c>
      <c r="Z219">
        <v>8.9</v>
      </c>
      <c r="AA219">
        <v>20</v>
      </c>
      <c r="AB219">
        <v>26</v>
      </c>
      <c r="AC219">
        <v>1.3220000000000001</v>
      </c>
      <c r="AD219">
        <v>67</v>
      </c>
      <c r="AE219">
        <v>0.21010807374443741</v>
      </c>
      <c r="AF219">
        <v>2.86</v>
      </c>
      <c r="AG219" t="s">
        <v>837</v>
      </c>
      <c r="AH219" t="s">
        <v>835</v>
      </c>
      <c r="AI219">
        <v>38</v>
      </c>
      <c r="AJ219">
        <v>1.266666666666667E-2</v>
      </c>
      <c r="AK219">
        <v>12.66666666666667</v>
      </c>
      <c r="AL219" t="s">
        <v>1187</v>
      </c>
      <c r="AM219">
        <v>0</v>
      </c>
      <c r="AN219">
        <v>1.26</v>
      </c>
      <c r="AO219">
        <v>0.09</v>
      </c>
      <c r="AP219">
        <v>0.19</v>
      </c>
      <c r="AQ219">
        <v>0.97</v>
      </c>
      <c r="AR219">
        <v>0.92</v>
      </c>
      <c r="AS219">
        <v>0.04</v>
      </c>
      <c r="AT219">
        <v>0.01</v>
      </c>
      <c r="AU219">
        <v>0.02</v>
      </c>
      <c r="AV219">
        <v>2.2000000000000002</v>
      </c>
      <c r="AW219">
        <v>1.21</v>
      </c>
      <c r="AX219">
        <v>0.21</v>
      </c>
      <c r="AY219">
        <v>0.53</v>
      </c>
      <c r="AZ219">
        <v>0</v>
      </c>
      <c r="BA219">
        <v>0.97</v>
      </c>
      <c r="BB219">
        <v>0.08</v>
      </c>
      <c r="BC219">
        <v>0.15</v>
      </c>
      <c r="BD219">
        <v>0.27</v>
      </c>
      <c r="BE219">
        <v>6.28</v>
      </c>
      <c r="BF219">
        <v>5.59</v>
      </c>
      <c r="BG219">
        <v>0.24</v>
      </c>
      <c r="BH219">
        <v>0.45</v>
      </c>
      <c r="BI219">
        <v>0</v>
      </c>
      <c r="BJ219">
        <v>0.04</v>
      </c>
      <c r="BK219">
        <v>5.55</v>
      </c>
      <c r="BL219">
        <v>0</v>
      </c>
      <c r="BM219">
        <v>1.74</v>
      </c>
      <c r="BN219">
        <v>0.21</v>
      </c>
      <c r="BO219">
        <v>0.46</v>
      </c>
      <c r="BP219">
        <v>1.07</v>
      </c>
      <c r="BQ219">
        <v>0.9</v>
      </c>
      <c r="BR219">
        <v>0.06</v>
      </c>
      <c r="BS219">
        <v>0.11</v>
      </c>
      <c r="BT219">
        <v>0</v>
      </c>
      <c r="BU219">
        <v>6.68</v>
      </c>
      <c r="BV219">
        <v>5.62</v>
      </c>
      <c r="BW219">
        <v>0.34</v>
      </c>
      <c r="BX219">
        <v>0.72</v>
      </c>
      <c r="BY219">
        <v>0</v>
      </c>
      <c r="BZ219">
        <v>0.04</v>
      </c>
      <c r="CA219">
        <v>5.58</v>
      </c>
      <c r="CB219">
        <v>0</v>
      </c>
      <c r="CC219">
        <f t="shared" si="6"/>
        <v>2.75</v>
      </c>
      <c r="CD219">
        <v>3.96</v>
      </c>
      <c r="CE219">
        <v>0.34230769230769231</v>
      </c>
      <c r="CF219">
        <v>0.44500000000000001</v>
      </c>
      <c r="CG219">
        <v>0.1492537313432836</v>
      </c>
      <c r="CH219">
        <v>0.46223776223776231</v>
      </c>
      <c r="CI219">
        <v>0</v>
      </c>
      <c r="CJ219">
        <v>31703</v>
      </c>
      <c r="CK219" t="s">
        <v>141</v>
      </c>
      <c r="CL219" t="s">
        <v>1179</v>
      </c>
      <c r="CM219" t="s">
        <v>143</v>
      </c>
      <c r="CN219">
        <v>3.2896397236400001</v>
      </c>
      <c r="CO219">
        <v>5.2855309583800416</v>
      </c>
      <c r="CP219">
        <v>218</v>
      </c>
      <c r="CQ219" t="s">
        <v>712</v>
      </c>
      <c r="CR219">
        <v>223</v>
      </c>
      <c r="CS219" t="s">
        <v>717</v>
      </c>
      <c r="CT219" t="s">
        <v>718</v>
      </c>
      <c r="CU219" t="s">
        <v>315</v>
      </c>
      <c r="CV219" t="s">
        <v>719</v>
      </c>
      <c r="CW219" t="s">
        <v>720</v>
      </c>
      <c r="CX219" t="s">
        <v>721</v>
      </c>
      <c r="CY219" t="s">
        <v>551</v>
      </c>
      <c r="CZ219" t="s">
        <v>319</v>
      </c>
      <c r="DA219" t="s">
        <v>152</v>
      </c>
      <c r="DB219" t="s">
        <v>178</v>
      </c>
      <c r="DC219" t="s">
        <v>207</v>
      </c>
      <c r="DD219" t="s">
        <v>155</v>
      </c>
      <c r="DE219">
        <v>2069</v>
      </c>
      <c r="DF219">
        <v>-121.36967300000001</v>
      </c>
      <c r="DG219">
        <v>38.049534000000001</v>
      </c>
      <c r="DH219">
        <v>7600</v>
      </c>
      <c r="DI219">
        <v>1000</v>
      </c>
      <c r="DL219">
        <v>18</v>
      </c>
      <c r="DM219">
        <v>15</v>
      </c>
      <c r="DN219">
        <v>30</v>
      </c>
      <c r="DO219">
        <v>5</v>
      </c>
      <c r="DP219">
        <v>10</v>
      </c>
      <c r="DQ219">
        <v>1700</v>
      </c>
      <c r="DS219" t="s">
        <v>322</v>
      </c>
      <c r="DT219">
        <v>1.2500000000000001E-2</v>
      </c>
      <c r="DU219">
        <v>1.2500000000000001E-2</v>
      </c>
      <c r="DV219">
        <v>0.32500000000000001</v>
      </c>
      <c r="DW219">
        <v>0.32500000000000001</v>
      </c>
      <c r="DX219">
        <v>0.32500000000000001</v>
      </c>
      <c r="DY219">
        <v>86.331223300909954</v>
      </c>
      <c r="DZ219" s="4">
        <v>3.9889999999999999</v>
      </c>
      <c r="EA219" s="4" t="s">
        <v>839</v>
      </c>
      <c r="EB219" s="4" t="s">
        <v>840</v>
      </c>
      <c r="EC219">
        <v>4.7309999999999999</v>
      </c>
      <c r="ED219">
        <v>62</v>
      </c>
      <c r="EE219" t="s">
        <v>1187</v>
      </c>
      <c r="EF219">
        <v>0</v>
      </c>
      <c r="EH219">
        <f t="shared" si="7"/>
        <v>0.58000000000000007</v>
      </c>
      <c r="EI219">
        <v>3.38</v>
      </c>
      <c r="EJ219">
        <v>3.65</v>
      </c>
    </row>
    <row r="220" spans="1:140" x14ac:dyDescent="0.35">
      <c r="A220" s="1">
        <v>218</v>
      </c>
      <c r="B220">
        <v>-111.2876182932429</v>
      </c>
      <c r="C220">
        <v>41.7054037722109</v>
      </c>
      <c r="D220" t="s">
        <v>1188</v>
      </c>
      <c r="E220">
        <v>0.02</v>
      </c>
      <c r="F220" t="s">
        <v>160</v>
      </c>
      <c r="G220">
        <v>4.7399999999999998E-2</v>
      </c>
      <c r="H220" t="s">
        <v>161</v>
      </c>
      <c r="I220">
        <v>-12388481</v>
      </c>
      <c r="J220">
        <v>5116952</v>
      </c>
      <c r="K220" t="s">
        <v>835</v>
      </c>
      <c r="L220" t="s">
        <v>1189</v>
      </c>
      <c r="M220">
        <v>17</v>
      </c>
      <c r="N220">
        <v>4.319</v>
      </c>
      <c r="O220">
        <v>4</v>
      </c>
      <c r="P220">
        <v>8</v>
      </c>
      <c r="Q220">
        <v>49</v>
      </c>
      <c r="R220">
        <v>33</v>
      </c>
      <c r="S220">
        <v>2510</v>
      </c>
      <c r="T220" t="s">
        <v>837</v>
      </c>
      <c r="U220">
        <v>5.801348811217232</v>
      </c>
      <c r="V220" t="s">
        <v>835</v>
      </c>
      <c r="W220">
        <v>9.9700000000000011E-2</v>
      </c>
      <c r="X220">
        <v>10</v>
      </c>
      <c r="Y220">
        <v>8.9</v>
      </c>
      <c r="Z220">
        <v>8.9</v>
      </c>
      <c r="AA220">
        <v>20</v>
      </c>
      <c r="AB220">
        <v>26</v>
      </c>
      <c r="AC220">
        <v>1.3220000000000001</v>
      </c>
      <c r="AD220">
        <v>67</v>
      </c>
      <c r="AE220">
        <v>0.21010807374443741</v>
      </c>
      <c r="AF220">
        <v>2.86</v>
      </c>
      <c r="AG220" t="s">
        <v>837</v>
      </c>
      <c r="AH220" t="s">
        <v>835</v>
      </c>
      <c r="AI220">
        <v>38</v>
      </c>
      <c r="AJ220">
        <v>1.266666666666667E-2</v>
      </c>
      <c r="AK220">
        <v>12.66666666666667</v>
      </c>
      <c r="AL220" t="s">
        <v>1190</v>
      </c>
      <c r="AM220">
        <v>14456.98918658271</v>
      </c>
      <c r="AN220">
        <v>1.26</v>
      </c>
      <c r="AO220">
        <v>0.09</v>
      </c>
      <c r="AP220">
        <v>0.19</v>
      </c>
      <c r="AQ220">
        <v>0.97</v>
      </c>
      <c r="AR220">
        <v>0.92</v>
      </c>
      <c r="AS220">
        <v>0.04</v>
      </c>
      <c r="AT220">
        <v>0.01</v>
      </c>
      <c r="AU220">
        <v>0.02</v>
      </c>
      <c r="AV220">
        <v>2.2000000000000002</v>
      </c>
      <c r="AW220">
        <v>1.21</v>
      </c>
      <c r="AX220">
        <v>0.21</v>
      </c>
      <c r="AY220">
        <v>0.53</v>
      </c>
      <c r="AZ220">
        <v>0</v>
      </c>
      <c r="BA220">
        <v>0.97</v>
      </c>
      <c r="BB220">
        <v>0.08</v>
      </c>
      <c r="BC220">
        <v>0.15</v>
      </c>
      <c r="BD220">
        <v>0.27</v>
      </c>
      <c r="BE220">
        <v>6.28</v>
      </c>
      <c r="BF220">
        <v>5.59</v>
      </c>
      <c r="BG220">
        <v>0.24</v>
      </c>
      <c r="BH220">
        <v>0.45</v>
      </c>
      <c r="BI220">
        <v>0</v>
      </c>
      <c r="BJ220">
        <v>0.04</v>
      </c>
      <c r="BK220">
        <v>5.55</v>
      </c>
      <c r="BL220">
        <v>0</v>
      </c>
      <c r="BM220">
        <v>1.74</v>
      </c>
      <c r="BN220">
        <v>0.21</v>
      </c>
      <c r="BO220">
        <v>0.46</v>
      </c>
      <c r="BP220">
        <v>1.07</v>
      </c>
      <c r="BQ220">
        <v>0.9</v>
      </c>
      <c r="BR220">
        <v>0.06</v>
      </c>
      <c r="BS220">
        <v>0.11</v>
      </c>
      <c r="BT220">
        <v>0</v>
      </c>
      <c r="BU220">
        <v>6.68</v>
      </c>
      <c r="BV220">
        <v>5.62</v>
      </c>
      <c r="BW220">
        <v>0.34</v>
      </c>
      <c r="BX220">
        <v>0.72</v>
      </c>
      <c r="BY220">
        <v>0</v>
      </c>
      <c r="BZ220">
        <v>0.04</v>
      </c>
      <c r="CA220">
        <v>5.58</v>
      </c>
      <c r="CB220">
        <v>0</v>
      </c>
      <c r="CC220">
        <f t="shared" si="6"/>
        <v>2.75</v>
      </c>
      <c r="CD220">
        <v>3.96</v>
      </c>
      <c r="CE220">
        <v>0.34230769230769231</v>
      </c>
      <c r="CF220">
        <v>0.44500000000000001</v>
      </c>
      <c r="CG220">
        <v>0.1492537313432836</v>
      </c>
      <c r="CH220">
        <v>0.46223776223776231</v>
      </c>
      <c r="CI220">
        <v>0</v>
      </c>
      <c r="CJ220">
        <v>32944</v>
      </c>
      <c r="CK220" t="s">
        <v>141</v>
      </c>
      <c r="CL220" t="s">
        <v>965</v>
      </c>
      <c r="CM220" t="s">
        <v>143</v>
      </c>
      <c r="CN220">
        <v>0.31192806140200002</v>
      </c>
      <c r="CO220">
        <v>10.852524658786621</v>
      </c>
      <c r="CP220">
        <v>219</v>
      </c>
      <c r="CQ220" t="s">
        <v>1063</v>
      </c>
      <c r="CR220">
        <v>213</v>
      </c>
      <c r="CS220" t="s">
        <v>1064</v>
      </c>
      <c r="CT220" t="s">
        <v>1063</v>
      </c>
      <c r="CU220" t="s">
        <v>837</v>
      </c>
      <c r="CV220" t="s">
        <v>1065</v>
      </c>
      <c r="CW220" t="s">
        <v>1066</v>
      </c>
      <c r="CX220" t="s">
        <v>1067</v>
      </c>
      <c r="CY220" t="s">
        <v>1068</v>
      </c>
      <c r="CZ220" t="s">
        <v>206</v>
      </c>
      <c r="DA220" t="s">
        <v>152</v>
      </c>
      <c r="DB220" t="s">
        <v>178</v>
      </c>
      <c r="DC220" t="s">
        <v>961</v>
      </c>
      <c r="DD220" t="s">
        <v>208</v>
      </c>
      <c r="DE220">
        <v>4436</v>
      </c>
      <c r="DF220">
        <v>-111.185568</v>
      </c>
      <c r="DG220">
        <v>41.139183000000003</v>
      </c>
      <c r="DH220">
        <v>6780</v>
      </c>
      <c r="DI220">
        <v>420</v>
      </c>
      <c r="DJ220">
        <v>2937</v>
      </c>
      <c r="DK220">
        <v>144</v>
      </c>
      <c r="DL220">
        <v>22</v>
      </c>
      <c r="DO220">
        <v>145</v>
      </c>
      <c r="DP220">
        <v>10</v>
      </c>
      <c r="DQ220">
        <v>200</v>
      </c>
      <c r="DS220" t="s">
        <v>1069</v>
      </c>
      <c r="DT220">
        <v>1.2500000000000001E-2</v>
      </c>
      <c r="DU220">
        <v>1.2500000000000001E-2</v>
      </c>
      <c r="DV220">
        <v>0.32500000000000001</v>
      </c>
      <c r="DW220">
        <v>0.32500000000000001</v>
      </c>
      <c r="DX220">
        <v>0.32500000000000001</v>
      </c>
      <c r="DY220">
        <v>0</v>
      </c>
      <c r="DZ220" s="4">
        <v>3.9889999999999999</v>
      </c>
      <c r="EA220" s="4" t="s">
        <v>839</v>
      </c>
      <c r="EB220" s="4" t="s">
        <v>840</v>
      </c>
      <c r="EC220">
        <v>4.7309999999999999</v>
      </c>
      <c r="ED220">
        <v>277</v>
      </c>
      <c r="EE220" t="s">
        <v>1190</v>
      </c>
      <c r="EF220">
        <v>0.1235522718799202</v>
      </c>
      <c r="EH220">
        <f t="shared" si="7"/>
        <v>0.58000000000000007</v>
      </c>
      <c r="EI220">
        <v>3.38</v>
      </c>
      <c r="EJ220">
        <v>3.65</v>
      </c>
    </row>
    <row r="221" spans="1:140" x14ac:dyDescent="0.35">
      <c r="A221" s="1">
        <v>219</v>
      </c>
      <c r="B221">
        <v>-109.4909877250039</v>
      </c>
      <c r="C221">
        <v>41.7054037722109</v>
      </c>
      <c r="D221" t="s">
        <v>1191</v>
      </c>
      <c r="E221">
        <v>0.02</v>
      </c>
      <c r="F221" t="s">
        <v>160</v>
      </c>
      <c r="G221">
        <v>0.14630000000000001</v>
      </c>
      <c r="H221" t="s">
        <v>161</v>
      </c>
      <c r="I221">
        <v>-12188481</v>
      </c>
      <c r="J221">
        <v>5116952</v>
      </c>
      <c r="K221" t="s">
        <v>1192</v>
      </c>
      <c r="L221" t="s">
        <v>1193</v>
      </c>
      <c r="M221">
        <v>19</v>
      </c>
      <c r="N221">
        <v>3.5550000000000002</v>
      </c>
      <c r="O221">
        <v>4</v>
      </c>
      <c r="P221">
        <v>8</v>
      </c>
      <c r="Q221">
        <v>56</v>
      </c>
      <c r="R221">
        <v>37</v>
      </c>
      <c r="S221">
        <v>42267</v>
      </c>
      <c r="T221" t="s">
        <v>1194</v>
      </c>
      <c r="U221">
        <v>5.4553299751975244</v>
      </c>
      <c r="V221" t="s">
        <v>1192</v>
      </c>
      <c r="W221">
        <v>9.1400000000000009E-2</v>
      </c>
      <c r="X221">
        <v>10</v>
      </c>
      <c r="Y221">
        <v>8.9</v>
      </c>
      <c r="Z221">
        <v>8.9</v>
      </c>
      <c r="AA221">
        <v>20</v>
      </c>
      <c r="AB221">
        <v>26</v>
      </c>
      <c r="AC221">
        <v>1.724</v>
      </c>
      <c r="AD221">
        <v>67</v>
      </c>
      <c r="AE221">
        <v>0.27399872854418311</v>
      </c>
      <c r="AF221">
        <v>2.86</v>
      </c>
      <c r="AG221" t="s">
        <v>1194</v>
      </c>
      <c r="AH221" t="s">
        <v>1192</v>
      </c>
      <c r="AI221">
        <v>53</v>
      </c>
      <c r="AJ221">
        <v>1.7666666666666671E-2</v>
      </c>
      <c r="AK221">
        <v>17.666666666666671</v>
      </c>
      <c r="AL221" t="s">
        <v>1195</v>
      </c>
      <c r="AM221">
        <v>0</v>
      </c>
      <c r="AN221">
        <v>1.25</v>
      </c>
      <c r="AO221">
        <v>0.09</v>
      </c>
      <c r="AP221">
        <v>0.19</v>
      </c>
      <c r="AQ221">
        <v>0.96</v>
      </c>
      <c r="AR221">
        <v>0.86</v>
      </c>
      <c r="AS221">
        <v>0.09</v>
      </c>
      <c r="AT221">
        <v>0.01</v>
      </c>
      <c r="AU221">
        <v>0.02</v>
      </c>
      <c r="AV221">
        <v>2.21</v>
      </c>
      <c r="AW221">
        <v>1.21</v>
      </c>
      <c r="AX221">
        <v>0.21</v>
      </c>
      <c r="AY221">
        <v>0.53</v>
      </c>
      <c r="AZ221">
        <v>0</v>
      </c>
      <c r="BA221">
        <v>0.92</v>
      </c>
      <c r="BB221">
        <v>0.16</v>
      </c>
      <c r="BC221">
        <v>0.14000000000000001</v>
      </c>
      <c r="BD221">
        <v>0.27</v>
      </c>
      <c r="BE221">
        <v>5.76</v>
      </c>
      <c r="BF221">
        <v>5.07</v>
      </c>
      <c r="BG221">
        <v>0.24</v>
      </c>
      <c r="BH221">
        <v>0.45</v>
      </c>
      <c r="BI221">
        <v>0</v>
      </c>
      <c r="BJ221">
        <v>0.08</v>
      </c>
      <c r="BK221">
        <v>4.99</v>
      </c>
      <c r="BL221">
        <v>0</v>
      </c>
      <c r="BM221">
        <v>1.74</v>
      </c>
      <c r="BN221">
        <v>0.21</v>
      </c>
      <c r="BO221">
        <v>0.46</v>
      </c>
      <c r="BP221">
        <v>1.07</v>
      </c>
      <c r="BQ221">
        <v>0.85</v>
      </c>
      <c r="BR221">
        <v>0.12</v>
      </c>
      <c r="BS221">
        <v>0.1</v>
      </c>
      <c r="BT221">
        <v>0</v>
      </c>
      <c r="BU221">
        <v>6.16</v>
      </c>
      <c r="BV221">
        <v>5.0999999999999996</v>
      </c>
      <c r="BW221">
        <v>0.34</v>
      </c>
      <c r="BX221">
        <v>0.72</v>
      </c>
      <c r="BY221">
        <v>0</v>
      </c>
      <c r="BZ221">
        <v>0.08</v>
      </c>
      <c r="CA221">
        <v>5.0199999999999996</v>
      </c>
      <c r="CB221">
        <v>0</v>
      </c>
      <c r="CC221">
        <f t="shared" si="6"/>
        <v>2.75</v>
      </c>
      <c r="CD221">
        <v>3.96</v>
      </c>
      <c r="CE221">
        <v>0.34230769230769231</v>
      </c>
      <c r="CF221">
        <v>0.44500000000000001</v>
      </c>
      <c r="CG221">
        <v>0.1492537313432836</v>
      </c>
      <c r="CH221">
        <v>0.60279720279720284</v>
      </c>
      <c r="CI221">
        <v>0</v>
      </c>
      <c r="CJ221">
        <v>16365</v>
      </c>
      <c r="CK221" t="s">
        <v>169</v>
      </c>
      <c r="CL221" t="s">
        <v>1196</v>
      </c>
      <c r="CM221" t="s">
        <v>143</v>
      </c>
      <c r="CN221">
        <v>0.71260953436300001</v>
      </c>
      <c r="CO221">
        <v>6.2970838383998098</v>
      </c>
      <c r="CP221">
        <v>220</v>
      </c>
      <c r="CQ221" t="s">
        <v>1080</v>
      </c>
      <c r="CR221">
        <v>219</v>
      </c>
      <c r="CS221" t="s">
        <v>1197</v>
      </c>
      <c r="CT221" t="s">
        <v>1080</v>
      </c>
      <c r="CU221" t="s">
        <v>454</v>
      </c>
      <c r="CV221" t="s">
        <v>1198</v>
      </c>
      <c r="CW221" t="s">
        <v>1083</v>
      </c>
      <c r="CX221" t="s">
        <v>1084</v>
      </c>
      <c r="CY221" t="s">
        <v>1085</v>
      </c>
      <c r="CZ221" t="s">
        <v>206</v>
      </c>
      <c r="DA221" t="s">
        <v>152</v>
      </c>
      <c r="DB221" t="s">
        <v>178</v>
      </c>
      <c r="DC221" t="s">
        <v>961</v>
      </c>
      <c r="DD221" t="s">
        <v>208</v>
      </c>
      <c r="DE221">
        <v>3496</v>
      </c>
      <c r="DF221">
        <v>-107.589686</v>
      </c>
      <c r="DG221">
        <v>39.133873999999999</v>
      </c>
      <c r="DH221">
        <v>5488</v>
      </c>
      <c r="DI221">
        <v>211</v>
      </c>
      <c r="DJ221">
        <v>2378</v>
      </c>
      <c r="DK221">
        <v>122</v>
      </c>
      <c r="DL221">
        <v>15</v>
      </c>
      <c r="DO221">
        <v>10</v>
      </c>
      <c r="DR221">
        <v>109000</v>
      </c>
      <c r="DS221">
        <v>42</v>
      </c>
      <c r="DT221">
        <v>1.2500000000000001E-2</v>
      </c>
      <c r="DU221">
        <v>1.2500000000000001E-2</v>
      </c>
      <c r="DV221">
        <v>0.32500000000000001</v>
      </c>
      <c r="DW221">
        <v>0.32500000000000001</v>
      </c>
      <c r="DX221">
        <v>0.32500000000000001</v>
      </c>
      <c r="DY221">
        <v>0</v>
      </c>
      <c r="DZ221" s="4">
        <v>3.871</v>
      </c>
      <c r="EA221" s="4" t="s">
        <v>1199</v>
      </c>
      <c r="EB221" s="4" t="s">
        <v>1200</v>
      </c>
      <c r="EC221">
        <v>4.5510000000000002</v>
      </c>
      <c r="ED221">
        <v>431</v>
      </c>
      <c r="EE221" t="s">
        <v>1195</v>
      </c>
      <c r="EF221">
        <v>0</v>
      </c>
      <c r="EH221">
        <f t="shared" si="7"/>
        <v>0.58000000000000007</v>
      </c>
      <c r="EI221">
        <v>3.38</v>
      </c>
      <c r="EJ221">
        <v>3.65</v>
      </c>
    </row>
    <row r="222" spans="1:140" x14ac:dyDescent="0.35">
      <c r="A222" s="1">
        <v>220</v>
      </c>
      <c r="B222">
        <v>-107.6943571567648</v>
      </c>
      <c r="C222">
        <v>41.7054037722109</v>
      </c>
      <c r="D222" t="s">
        <v>1201</v>
      </c>
      <c r="E222">
        <v>0.02</v>
      </c>
      <c r="F222" t="s">
        <v>160</v>
      </c>
      <c r="G222">
        <v>0.14630000000000001</v>
      </c>
      <c r="H222" t="s">
        <v>161</v>
      </c>
      <c r="I222">
        <v>-11988481</v>
      </c>
      <c r="J222">
        <v>5116952</v>
      </c>
      <c r="K222" t="s">
        <v>1192</v>
      </c>
      <c r="L222" t="s">
        <v>1193</v>
      </c>
      <c r="M222">
        <v>19</v>
      </c>
      <c r="N222">
        <v>3.5550000000000002</v>
      </c>
      <c r="O222">
        <v>4</v>
      </c>
      <c r="P222">
        <v>8</v>
      </c>
      <c r="Q222">
        <v>56</v>
      </c>
      <c r="R222">
        <v>37</v>
      </c>
      <c r="S222">
        <v>42267</v>
      </c>
      <c r="T222" t="s">
        <v>1194</v>
      </c>
      <c r="U222">
        <v>5.4553299751975244</v>
      </c>
      <c r="V222" t="s">
        <v>1192</v>
      </c>
      <c r="W222">
        <v>9.1400000000000009E-2</v>
      </c>
      <c r="X222">
        <v>10</v>
      </c>
      <c r="Y222">
        <v>8.9</v>
      </c>
      <c r="Z222">
        <v>8.9</v>
      </c>
      <c r="AA222">
        <v>20</v>
      </c>
      <c r="AB222">
        <v>26</v>
      </c>
      <c r="AC222">
        <v>1.724</v>
      </c>
      <c r="AD222">
        <v>67</v>
      </c>
      <c r="AE222">
        <v>0.27399872854418311</v>
      </c>
      <c r="AF222">
        <v>2.86</v>
      </c>
      <c r="AG222" t="s">
        <v>1194</v>
      </c>
      <c r="AH222" t="s">
        <v>1192</v>
      </c>
      <c r="AI222">
        <v>53</v>
      </c>
      <c r="AJ222">
        <v>1.7666666666666671E-2</v>
      </c>
      <c r="AK222">
        <v>17.666666666666671</v>
      </c>
      <c r="AL222" t="s">
        <v>1195</v>
      </c>
      <c r="AM222">
        <v>0</v>
      </c>
      <c r="AN222">
        <v>1.25</v>
      </c>
      <c r="AO222">
        <v>0.09</v>
      </c>
      <c r="AP222">
        <v>0.19</v>
      </c>
      <c r="AQ222">
        <v>0.96</v>
      </c>
      <c r="AR222">
        <v>0.86</v>
      </c>
      <c r="AS222">
        <v>0.09</v>
      </c>
      <c r="AT222">
        <v>0.01</v>
      </c>
      <c r="AU222">
        <v>0.02</v>
      </c>
      <c r="AV222">
        <v>2.21</v>
      </c>
      <c r="AW222">
        <v>1.21</v>
      </c>
      <c r="AX222">
        <v>0.21</v>
      </c>
      <c r="AY222">
        <v>0.53</v>
      </c>
      <c r="AZ222">
        <v>0</v>
      </c>
      <c r="BA222">
        <v>0.92</v>
      </c>
      <c r="BB222">
        <v>0.16</v>
      </c>
      <c r="BC222">
        <v>0.14000000000000001</v>
      </c>
      <c r="BD222">
        <v>0.27</v>
      </c>
      <c r="BE222">
        <v>5.76</v>
      </c>
      <c r="BF222">
        <v>5.07</v>
      </c>
      <c r="BG222">
        <v>0.24</v>
      </c>
      <c r="BH222">
        <v>0.45</v>
      </c>
      <c r="BI222">
        <v>0</v>
      </c>
      <c r="BJ222">
        <v>0.08</v>
      </c>
      <c r="BK222">
        <v>4.99</v>
      </c>
      <c r="BL222">
        <v>0</v>
      </c>
      <c r="BM222">
        <v>1.74</v>
      </c>
      <c r="BN222">
        <v>0.21</v>
      </c>
      <c r="BO222">
        <v>0.46</v>
      </c>
      <c r="BP222">
        <v>1.07</v>
      </c>
      <c r="BQ222">
        <v>0.85</v>
      </c>
      <c r="BR222">
        <v>0.12</v>
      </c>
      <c r="BS222">
        <v>0.1</v>
      </c>
      <c r="BT222">
        <v>0</v>
      </c>
      <c r="BU222">
        <v>6.16</v>
      </c>
      <c r="BV222">
        <v>5.0999999999999996</v>
      </c>
      <c r="BW222">
        <v>0.34</v>
      </c>
      <c r="BX222">
        <v>0.72</v>
      </c>
      <c r="BY222">
        <v>0</v>
      </c>
      <c r="BZ222">
        <v>0.08</v>
      </c>
      <c r="CA222">
        <v>5.0199999999999996</v>
      </c>
      <c r="CB222">
        <v>0</v>
      </c>
      <c r="CC222">
        <f t="shared" si="6"/>
        <v>2.75</v>
      </c>
      <c r="CD222">
        <v>3.96</v>
      </c>
      <c r="CE222">
        <v>0.34230769230769231</v>
      </c>
      <c r="CF222">
        <v>0.44500000000000001</v>
      </c>
      <c r="CG222">
        <v>0.1492537313432836</v>
      </c>
      <c r="CH222">
        <v>0.60279720279720284</v>
      </c>
      <c r="CI222">
        <v>0</v>
      </c>
      <c r="CJ222">
        <v>31145</v>
      </c>
      <c r="CK222" t="s">
        <v>141</v>
      </c>
      <c r="CL222" t="s">
        <v>1202</v>
      </c>
      <c r="CM222" t="s">
        <v>143</v>
      </c>
      <c r="CN222">
        <v>0.25279972666200001</v>
      </c>
      <c r="CO222">
        <v>0.95145336255275237</v>
      </c>
      <c r="CP222">
        <v>221</v>
      </c>
      <c r="CQ222" t="s">
        <v>1080</v>
      </c>
      <c r="CR222">
        <v>219</v>
      </c>
      <c r="CS222" t="s">
        <v>1197</v>
      </c>
      <c r="CT222" t="s">
        <v>1080</v>
      </c>
      <c r="CU222" t="s">
        <v>454</v>
      </c>
      <c r="CV222" t="s">
        <v>1198</v>
      </c>
      <c r="CW222" t="s">
        <v>1083</v>
      </c>
      <c r="CX222" t="s">
        <v>1084</v>
      </c>
      <c r="CY222" t="s">
        <v>1085</v>
      </c>
      <c r="CZ222" t="s">
        <v>206</v>
      </c>
      <c r="DA222" t="s">
        <v>152</v>
      </c>
      <c r="DB222" t="s">
        <v>178</v>
      </c>
      <c r="DC222" t="s">
        <v>961</v>
      </c>
      <c r="DD222" t="s">
        <v>208</v>
      </c>
      <c r="DE222">
        <v>3496</v>
      </c>
      <c r="DF222">
        <v>-107.589686</v>
      </c>
      <c r="DG222">
        <v>39.133873999999999</v>
      </c>
      <c r="DH222">
        <v>5488</v>
      </c>
      <c r="DI222">
        <v>211</v>
      </c>
      <c r="DJ222">
        <v>2378</v>
      </c>
      <c r="DK222">
        <v>122</v>
      </c>
      <c r="DL222">
        <v>15</v>
      </c>
      <c r="DO222">
        <v>10</v>
      </c>
      <c r="DR222">
        <v>109000</v>
      </c>
      <c r="DS222">
        <v>42</v>
      </c>
      <c r="DT222">
        <v>1.2500000000000001E-2</v>
      </c>
      <c r="DU222">
        <v>1.2500000000000001E-2</v>
      </c>
      <c r="DV222">
        <v>0.32500000000000001</v>
      </c>
      <c r="DW222">
        <v>0.32500000000000001</v>
      </c>
      <c r="DX222">
        <v>0.32500000000000001</v>
      </c>
      <c r="DY222">
        <v>0</v>
      </c>
      <c r="DZ222" s="4">
        <v>3.871</v>
      </c>
      <c r="EA222" s="4" t="s">
        <v>1199</v>
      </c>
      <c r="EB222" s="4" t="s">
        <v>1200</v>
      </c>
      <c r="EC222">
        <v>4.5510000000000002</v>
      </c>
      <c r="ED222">
        <v>431</v>
      </c>
      <c r="EE222" t="s">
        <v>1195</v>
      </c>
      <c r="EF222">
        <v>0</v>
      </c>
      <c r="EH222">
        <f t="shared" si="7"/>
        <v>0.58000000000000007</v>
      </c>
      <c r="EI222">
        <v>3.38</v>
      </c>
      <c r="EJ222">
        <v>3.65</v>
      </c>
    </row>
    <row r="223" spans="1:140" x14ac:dyDescent="0.35">
      <c r="A223" s="1">
        <v>221</v>
      </c>
      <c r="B223">
        <v>-105.8977265885258</v>
      </c>
      <c r="C223">
        <v>41.7054037722109</v>
      </c>
      <c r="D223" t="s">
        <v>1203</v>
      </c>
      <c r="E223">
        <v>0.02</v>
      </c>
      <c r="F223" t="s">
        <v>160</v>
      </c>
      <c r="G223">
        <v>0.14630000000000001</v>
      </c>
      <c r="H223" t="s">
        <v>161</v>
      </c>
      <c r="I223">
        <v>-11788481</v>
      </c>
      <c r="J223">
        <v>5116952</v>
      </c>
      <c r="K223" t="s">
        <v>1192</v>
      </c>
      <c r="L223" t="s">
        <v>1204</v>
      </c>
      <c r="M223">
        <v>1</v>
      </c>
      <c r="N223">
        <v>3.6339999999999999</v>
      </c>
      <c r="O223">
        <v>4</v>
      </c>
      <c r="P223">
        <v>8</v>
      </c>
      <c r="Q223">
        <v>56</v>
      </c>
      <c r="R223">
        <v>1</v>
      </c>
      <c r="S223">
        <v>37070</v>
      </c>
      <c r="T223" t="s">
        <v>1194</v>
      </c>
      <c r="U223">
        <v>5.4553299751975244</v>
      </c>
      <c r="V223" t="s">
        <v>1192</v>
      </c>
      <c r="W223">
        <v>9.1400000000000009E-2</v>
      </c>
      <c r="X223">
        <v>10</v>
      </c>
      <c r="Y223">
        <v>8.9</v>
      </c>
      <c r="Z223">
        <v>8.9</v>
      </c>
      <c r="AA223">
        <v>20</v>
      </c>
      <c r="AB223">
        <v>26</v>
      </c>
      <c r="AC223">
        <v>1.724</v>
      </c>
      <c r="AD223">
        <v>67</v>
      </c>
      <c r="AE223">
        <v>0.27399872854418311</v>
      </c>
      <c r="AF223">
        <v>2.86</v>
      </c>
      <c r="AG223" t="s">
        <v>1194</v>
      </c>
      <c r="AH223" t="s">
        <v>1192</v>
      </c>
      <c r="AI223">
        <v>53</v>
      </c>
      <c r="AJ223">
        <v>1.7666666666666671E-2</v>
      </c>
      <c r="AK223">
        <v>17.666666666666671</v>
      </c>
      <c r="AL223" t="s">
        <v>1205</v>
      </c>
      <c r="AM223">
        <v>0</v>
      </c>
      <c r="AN223">
        <v>1.25</v>
      </c>
      <c r="AO223">
        <v>0.09</v>
      </c>
      <c r="AP223">
        <v>0.19</v>
      </c>
      <c r="AQ223">
        <v>0.96</v>
      </c>
      <c r="AR223">
        <v>0.86</v>
      </c>
      <c r="AS223">
        <v>0.09</v>
      </c>
      <c r="AT223">
        <v>0.01</v>
      </c>
      <c r="AU223">
        <v>0.02</v>
      </c>
      <c r="AV223">
        <v>2.21</v>
      </c>
      <c r="AW223">
        <v>1.21</v>
      </c>
      <c r="AX223">
        <v>0.21</v>
      </c>
      <c r="AY223">
        <v>0.53</v>
      </c>
      <c r="AZ223">
        <v>0</v>
      </c>
      <c r="BA223">
        <v>0.92</v>
      </c>
      <c r="BB223">
        <v>0.16</v>
      </c>
      <c r="BC223">
        <v>0.14000000000000001</v>
      </c>
      <c r="BD223">
        <v>0.27</v>
      </c>
      <c r="BE223">
        <v>5.76</v>
      </c>
      <c r="BF223">
        <v>5.07</v>
      </c>
      <c r="BG223">
        <v>0.24</v>
      </c>
      <c r="BH223">
        <v>0.45</v>
      </c>
      <c r="BI223">
        <v>0</v>
      </c>
      <c r="BJ223">
        <v>0.08</v>
      </c>
      <c r="BK223">
        <v>4.99</v>
      </c>
      <c r="BL223">
        <v>0</v>
      </c>
      <c r="BM223">
        <v>1.74</v>
      </c>
      <c r="BN223">
        <v>0.21</v>
      </c>
      <c r="BO223">
        <v>0.46</v>
      </c>
      <c r="BP223">
        <v>1.07</v>
      </c>
      <c r="BQ223">
        <v>0.85</v>
      </c>
      <c r="BR223">
        <v>0.12</v>
      </c>
      <c r="BS223">
        <v>0.1</v>
      </c>
      <c r="BT223">
        <v>0</v>
      </c>
      <c r="BU223">
        <v>6.16</v>
      </c>
      <c r="BV223">
        <v>5.0999999999999996</v>
      </c>
      <c r="BW223">
        <v>0.34</v>
      </c>
      <c r="BX223">
        <v>0.72</v>
      </c>
      <c r="BY223">
        <v>0</v>
      </c>
      <c r="BZ223">
        <v>0.08</v>
      </c>
      <c r="CA223">
        <v>5.0199999999999996</v>
      </c>
      <c r="CB223">
        <v>0</v>
      </c>
      <c r="CC223">
        <f t="shared" si="6"/>
        <v>2.75</v>
      </c>
      <c r="CD223">
        <v>3.96</v>
      </c>
      <c r="CE223">
        <v>0.34230769230769231</v>
      </c>
      <c r="CF223">
        <v>0.44500000000000001</v>
      </c>
      <c r="CG223">
        <v>0.1492537313432836</v>
      </c>
      <c r="CH223">
        <v>0.60279720279720284</v>
      </c>
      <c r="CI223">
        <v>0</v>
      </c>
      <c r="CJ223">
        <v>3402</v>
      </c>
      <c r="CK223" t="s">
        <v>141</v>
      </c>
      <c r="CL223" t="s">
        <v>738</v>
      </c>
      <c r="CM223" t="s">
        <v>143</v>
      </c>
      <c r="CN223">
        <v>0.89836916925800003</v>
      </c>
      <c r="CO223">
        <v>3.92657904376932</v>
      </c>
      <c r="CP223">
        <v>222</v>
      </c>
      <c r="CQ223" t="s">
        <v>1080</v>
      </c>
      <c r="CR223">
        <v>219</v>
      </c>
      <c r="CS223" t="s">
        <v>1197</v>
      </c>
      <c r="CT223" t="s">
        <v>1080</v>
      </c>
      <c r="CU223" t="s">
        <v>454</v>
      </c>
      <c r="CV223" t="s">
        <v>1198</v>
      </c>
      <c r="CW223" t="s">
        <v>1083</v>
      </c>
      <c r="CX223" t="s">
        <v>1084</v>
      </c>
      <c r="CY223" t="s">
        <v>1085</v>
      </c>
      <c r="CZ223" t="s">
        <v>206</v>
      </c>
      <c r="DA223" t="s">
        <v>152</v>
      </c>
      <c r="DB223" t="s">
        <v>178</v>
      </c>
      <c r="DC223" t="s">
        <v>961</v>
      </c>
      <c r="DD223" t="s">
        <v>208</v>
      </c>
      <c r="DE223">
        <v>3496</v>
      </c>
      <c r="DF223">
        <v>-107.589686</v>
      </c>
      <c r="DG223">
        <v>39.133873999999999</v>
      </c>
      <c r="DH223">
        <v>5488</v>
      </c>
      <c r="DI223">
        <v>211</v>
      </c>
      <c r="DJ223">
        <v>2378</v>
      </c>
      <c r="DK223">
        <v>122</v>
      </c>
      <c r="DL223">
        <v>15</v>
      </c>
      <c r="DO223">
        <v>10</v>
      </c>
      <c r="DR223">
        <v>109000</v>
      </c>
      <c r="DS223">
        <v>42</v>
      </c>
      <c r="DT223">
        <v>1.2500000000000001E-2</v>
      </c>
      <c r="DU223">
        <v>1.2500000000000001E-2</v>
      </c>
      <c r="DV223">
        <v>0.32500000000000001</v>
      </c>
      <c r="DW223">
        <v>0.32500000000000001</v>
      </c>
      <c r="DX223">
        <v>0.32500000000000001</v>
      </c>
      <c r="DY223">
        <v>0</v>
      </c>
      <c r="DZ223" s="4">
        <v>3.871</v>
      </c>
      <c r="EA223" s="4" t="s">
        <v>1199</v>
      </c>
      <c r="EB223" s="4" t="s">
        <v>1200</v>
      </c>
      <c r="EC223">
        <v>4.5510000000000002</v>
      </c>
      <c r="ED223">
        <v>884</v>
      </c>
      <c r="EE223" t="s">
        <v>1205</v>
      </c>
      <c r="EF223">
        <v>0</v>
      </c>
      <c r="EH223">
        <f t="shared" si="7"/>
        <v>0.58000000000000007</v>
      </c>
      <c r="EI223">
        <v>3.38</v>
      </c>
      <c r="EJ223">
        <v>3.65</v>
      </c>
    </row>
    <row r="224" spans="1:140" x14ac:dyDescent="0.35">
      <c r="A224" s="1">
        <v>222</v>
      </c>
      <c r="B224">
        <v>-104.1010960202868</v>
      </c>
      <c r="C224">
        <v>41.7054037722109</v>
      </c>
      <c r="D224" t="s">
        <v>1206</v>
      </c>
      <c r="E224">
        <v>0.02</v>
      </c>
      <c r="F224" t="s">
        <v>160</v>
      </c>
      <c r="G224">
        <v>4.6100000000000002E-2</v>
      </c>
      <c r="H224" t="s">
        <v>161</v>
      </c>
      <c r="I224">
        <v>-11588481</v>
      </c>
      <c r="J224">
        <v>5116952</v>
      </c>
      <c r="K224" t="s">
        <v>1192</v>
      </c>
      <c r="L224" t="s">
        <v>1207</v>
      </c>
      <c r="M224">
        <v>8</v>
      </c>
      <c r="N224">
        <v>3.8260000000000001</v>
      </c>
      <c r="O224">
        <v>4</v>
      </c>
      <c r="P224">
        <v>8</v>
      </c>
      <c r="Q224">
        <v>56</v>
      </c>
      <c r="R224">
        <v>15</v>
      </c>
      <c r="S224">
        <v>12503</v>
      </c>
      <c r="T224" t="s">
        <v>1194</v>
      </c>
      <c r="U224">
        <v>5.4553299751975244</v>
      </c>
      <c r="V224" t="s">
        <v>1192</v>
      </c>
      <c r="W224">
        <v>9.1400000000000009E-2</v>
      </c>
      <c r="X224">
        <v>10</v>
      </c>
      <c r="Y224">
        <v>8.9</v>
      </c>
      <c r="Z224">
        <v>8.9</v>
      </c>
      <c r="AA224">
        <v>20</v>
      </c>
      <c r="AB224">
        <v>26</v>
      </c>
      <c r="AC224">
        <v>1.724</v>
      </c>
      <c r="AD224">
        <v>67</v>
      </c>
      <c r="AE224">
        <v>0.27399872854418311</v>
      </c>
      <c r="AF224">
        <v>2.86</v>
      </c>
      <c r="AG224" t="s">
        <v>1194</v>
      </c>
      <c r="AH224" t="s">
        <v>1192</v>
      </c>
      <c r="AI224">
        <v>53</v>
      </c>
      <c r="AJ224">
        <v>1.7666666666666671E-2</v>
      </c>
      <c r="AK224">
        <v>17.666666666666671</v>
      </c>
      <c r="AL224" t="s">
        <v>1208</v>
      </c>
      <c r="AM224">
        <v>5374.2675954879905</v>
      </c>
      <c r="AN224">
        <v>1.25</v>
      </c>
      <c r="AO224">
        <v>0.09</v>
      </c>
      <c r="AP224">
        <v>0.19</v>
      </c>
      <c r="AQ224">
        <v>0.96</v>
      </c>
      <c r="AR224">
        <v>0.86</v>
      </c>
      <c r="AS224">
        <v>0.09</v>
      </c>
      <c r="AT224">
        <v>0.01</v>
      </c>
      <c r="AU224">
        <v>0.02</v>
      </c>
      <c r="AV224">
        <v>2.21</v>
      </c>
      <c r="AW224">
        <v>1.21</v>
      </c>
      <c r="AX224">
        <v>0.21</v>
      </c>
      <c r="AY224">
        <v>0.53</v>
      </c>
      <c r="AZ224">
        <v>0</v>
      </c>
      <c r="BA224">
        <v>0.92</v>
      </c>
      <c r="BB224">
        <v>0.16</v>
      </c>
      <c r="BC224">
        <v>0.14000000000000001</v>
      </c>
      <c r="BD224">
        <v>0.27</v>
      </c>
      <c r="BE224">
        <v>5.76</v>
      </c>
      <c r="BF224">
        <v>5.07</v>
      </c>
      <c r="BG224">
        <v>0.24</v>
      </c>
      <c r="BH224">
        <v>0.45</v>
      </c>
      <c r="BI224">
        <v>0</v>
      </c>
      <c r="BJ224">
        <v>0.08</v>
      </c>
      <c r="BK224">
        <v>4.99</v>
      </c>
      <c r="BL224">
        <v>0</v>
      </c>
      <c r="BM224">
        <v>1.74</v>
      </c>
      <c r="BN224">
        <v>0.21</v>
      </c>
      <c r="BO224">
        <v>0.46</v>
      </c>
      <c r="BP224">
        <v>1.07</v>
      </c>
      <c r="BQ224">
        <v>0.85</v>
      </c>
      <c r="BR224">
        <v>0.12</v>
      </c>
      <c r="BS224">
        <v>0.1</v>
      </c>
      <c r="BT224">
        <v>0</v>
      </c>
      <c r="BU224">
        <v>6.16</v>
      </c>
      <c r="BV224">
        <v>5.0999999999999996</v>
      </c>
      <c r="BW224">
        <v>0.34</v>
      </c>
      <c r="BX224">
        <v>0.72</v>
      </c>
      <c r="BY224">
        <v>0</v>
      </c>
      <c r="BZ224">
        <v>0.08</v>
      </c>
      <c r="CA224">
        <v>5.0199999999999996</v>
      </c>
      <c r="CB224">
        <v>0</v>
      </c>
      <c r="CC224">
        <f t="shared" si="6"/>
        <v>2.75</v>
      </c>
      <c r="CD224">
        <v>3.96</v>
      </c>
      <c r="CE224">
        <v>0.34230769230769231</v>
      </c>
      <c r="CF224">
        <v>0.44500000000000001</v>
      </c>
      <c r="CG224">
        <v>0.1492537313432836</v>
      </c>
      <c r="CH224">
        <v>0.60279720279720284</v>
      </c>
      <c r="CI224">
        <v>0</v>
      </c>
      <c r="CJ224">
        <v>31751</v>
      </c>
      <c r="CK224" t="s">
        <v>141</v>
      </c>
      <c r="CL224" t="s">
        <v>757</v>
      </c>
      <c r="CM224" t="s">
        <v>143</v>
      </c>
      <c r="CN224">
        <v>0.79505492067100003</v>
      </c>
      <c r="CO224">
        <v>8.1375653732298563</v>
      </c>
      <c r="CP224">
        <v>223</v>
      </c>
      <c r="CQ224" t="s">
        <v>575</v>
      </c>
      <c r="CR224">
        <v>126</v>
      </c>
      <c r="CS224" t="s">
        <v>576</v>
      </c>
      <c r="CT224" t="s">
        <v>577</v>
      </c>
      <c r="CU224" t="s">
        <v>333</v>
      </c>
      <c r="CV224" t="s">
        <v>578</v>
      </c>
      <c r="CW224" t="s">
        <v>579</v>
      </c>
      <c r="CX224" t="s">
        <v>580</v>
      </c>
      <c r="CY224" t="s">
        <v>581</v>
      </c>
      <c r="CZ224" t="s">
        <v>206</v>
      </c>
      <c r="DA224" t="s">
        <v>152</v>
      </c>
      <c r="DB224" t="s">
        <v>178</v>
      </c>
      <c r="DC224" t="s">
        <v>365</v>
      </c>
      <c r="DD224" t="s">
        <v>582</v>
      </c>
      <c r="DE224">
        <v>8520</v>
      </c>
      <c r="DF224">
        <v>-107.652666</v>
      </c>
      <c r="DG224">
        <v>36.368147</v>
      </c>
      <c r="DH224">
        <v>5511</v>
      </c>
      <c r="DI224">
        <v>883</v>
      </c>
      <c r="DJ224">
        <v>2388</v>
      </c>
      <c r="DK224">
        <v>123</v>
      </c>
      <c r="DL224">
        <v>13</v>
      </c>
      <c r="DO224">
        <v>15</v>
      </c>
      <c r="DR224">
        <v>20000</v>
      </c>
      <c r="DS224" t="s">
        <v>583</v>
      </c>
      <c r="DT224">
        <v>1.2500000000000001E-2</v>
      </c>
      <c r="DU224">
        <v>1.2500000000000001E-2</v>
      </c>
      <c r="DV224">
        <v>0.32500000000000001</v>
      </c>
      <c r="DW224">
        <v>0.32500000000000001</v>
      </c>
      <c r="DX224">
        <v>0.32500000000000001</v>
      </c>
      <c r="DY224">
        <v>0</v>
      </c>
      <c r="DZ224" s="4">
        <v>3.871</v>
      </c>
      <c r="EA224" s="4" t="s">
        <v>1199</v>
      </c>
      <c r="EB224" s="4" t="s">
        <v>1200</v>
      </c>
      <c r="EC224">
        <v>4.5510000000000002</v>
      </c>
      <c r="ED224">
        <v>741</v>
      </c>
      <c r="EE224" t="s">
        <v>1208</v>
      </c>
      <c r="EF224">
        <v>4.8277843235361988E-2</v>
      </c>
      <c r="EH224">
        <f t="shared" si="7"/>
        <v>0.58000000000000007</v>
      </c>
      <c r="EI224">
        <v>3.38</v>
      </c>
      <c r="EJ224">
        <v>3.65</v>
      </c>
    </row>
    <row r="225" spans="1:140" x14ac:dyDescent="0.35">
      <c r="A225" s="1">
        <v>223</v>
      </c>
      <c r="B225">
        <v>-102.30446545204769</v>
      </c>
      <c r="C225">
        <v>41.7054037722109</v>
      </c>
      <c r="D225" t="s">
        <v>1209</v>
      </c>
      <c r="E225">
        <v>0.02</v>
      </c>
      <c r="F225" t="s">
        <v>160</v>
      </c>
      <c r="G225">
        <v>4.6100000000000002E-2</v>
      </c>
      <c r="H225" t="s">
        <v>161</v>
      </c>
      <c r="I225">
        <v>-11388481</v>
      </c>
      <c r="J225">
        <v>5116952</v>
      </c>
      <c r="K225" t="s">
        <v>1095</v>
      </c>
      <c r="L225" t="s">
        <v>1210</v>
      </c>
      <c r="M225">
        <v>35</v>
      </c>
      <c r="O225">
        <v>2</v>
      </c>
      <c r="P225">
        <v>4</v>
      </c>
      <c r="Q225">
        <v>31</v>
      </c>
      <c r="R225">
        <v>69</v>
      </c>
      <c r="S225">
        <v>1872</v>
      </c>
      <c r="T225" t="s">
        <v>1097</v>
      </c>
      <c r="U225">
        <v>5.5212672729120094</v>
      </c>
      <c r="V225" t="s">
        <v>1095</v>
      </c>
      <c r="W225">
        <v>9.0700000000000003E-2</v>
      </c>
      <c r="X225">
        <v>10</v>
      </c>
      <c r="Y225">
        <v>8.9</v>
      </c>
      <c r="Z225">
        <v>8.9</v>
      </c>
      <c r="AA225">
        <v>20</v>
      </c>
      <c r="AB225">
        <v>26</v>
      </c>
      <c r="AC225">
        <v>1.0820000000000001</v>
      </c>
      <c r="AD225">
        <v>67</v>
      </c>
      <c r="AE225">
        <v>0.1719643992371265</v>
      </c>
      <c r="AF225">
        <v>2.86</v>
      </c>
      <c r="AG225" t="s">
        <v>1097</v>
      </c>
      <c r="AH225" t="s">
        <v>1095</v>
      </c>
      <c r="AI225">
        <v>23</v>
      </c>
      <c r="AJ225">
        <v>7.6666666666666662E-3</v>
      </c>
      <c r="AK225">
        <v>7.6666666666666661</v>
      </c>
      <c r="AL225" t="s">
        <v>1102</v>
      </c>
      <c r="AM225">
        <v>99945.819212883012</v>
      </c>
      <c r="AN225">
        <v>1.22</v>
      </c>
      <c r="AO225">
        <v>0.09</v>
      </c>
      <c r="AP225">
        <v>0.19</v>
      </c>
      <c r="AQ225">
        <v>0.93</v>
      </c>
      <c r="AR225">
        <v>0.87</v>
      </c>
      <c r="AS225">
        <v>0.04</v>
      </c>
      <c r="AT225">
        <v>0.01</v>
      </c>
      <c r="AU225">
        <v>0.02</v>
      </c>
      <c r="AV225">
        <v>2.14</v>
      </c>
      <c r="AW225">
        <v>1.1399999999999999</v>
      </c>
      <c r="AX225">
        <v>0.21</v>
      </c>
      <c r="AY225">
        <v>0.53</v>
      </c>
      <c r="AZ225">
        <v>0</v>
      </c>
      <c r="BA225">
        <v>0.93</v>
      </c>
      <c r="BB225">
        <v>0.08</v>
      </c>
      <c r="BC225">
        <v>0.14000000000000001</v>
      </c>
      <c r="BD225">
        <v>0.27</v>
      </c>
      <c r="BE225">
        <v>5.72</v>
      </c>
      <c r="BF225">
        <v>5.03</v>
      </c>
      <c r="BG225">
        <v>0.24</v>
      </c>
      <c r="BH225">
        <v>0.45</v>
      </c>
      <c r="BI225">
        <v>0</v>
      </c>
      <c r="BJ225">
        <v>0.04</v>
      </c>
      <c r="BK225">
        <v>4.99</v>
      </c>
      <c r="BL225">
        <v>0</v>
      </c>
      <c r="BM225">
        <v>1.69</v>
      </c>
      <c r="BN225">
        <v>0.21</v>
      </c>
      <c r="BO225">
        <v>0.46</v>
      </c>
      <c r="BP225">
        <v>1.02</v>
      </c>
      <c r="BQ225">
        <v>0.86</v>
      </c>
      <c r="BR225">
        <v>0.06</v>
      </c>
      <c r="BS225">
        <v>0.1</v>
      </c>
      <c r="BT225">
        <v>0</v>
      </c>
      <c r="BU225">
        <v>6.12</v>
      </c>
      <c r="BV225">
        <v>5.0599999999999996</v>
      </c>
      <c r="BW225">
        <v>0.34</v>
      </c>
      <c r="BX225">
        <v>0.72</v>
      </c>
      <c r="BY225">
        <v>0</v>
      </c>
      <c r="BZ225">
        <v>0.04</v>
      </c>
      <c r="CA225">
        <v>5.0199999999999996</v>
      </c>
      <c r="CB225">
        <v>0</v>
      </c>
      <c r="CC225">
        <f t="shared" si="6"/>
        <v>2.75</v>
      </c>
      <c r="CD225">
        <v>3.96</v>
      </c>
      <c r="CE225">
        <v>0.34230769230769231</v>
      </c>
      <c r="CF225">
        <v>0.44500000000000001</v>
      </c>
      <c r="CG225">
        <v>0.1492537313432836</v>
      </c>
      <c r="CH225">
        <v>0.37832167832167829</v>
      </c>
      <c r="CI225">
        <v>0</v>
      </c>
      <c r="CJ225">
        <v>31119</v>
      </c>
      <c r="CK225" t="s">
        <v>141</v>
      </c>
      <c r="CL225" t="s">
        <v>1106</v>
      </c>
      <c r="CM225" t="s">
        <v>143</v>
      </c>
      <c r="CN225">
        <v>0.266073410086</v>
      </c>
      <c r="CO225">
        <v>72.707189514292168</v>
      </c>
      <c r="CP225">
        <v>224</v>
      </c>
      <c r="CQ225" t="s">
        <v>1211</v>
      </c>
      <c r="CR225">
        <v>129</v>
      </c>
      <c r="CS225" t="s">
        <v>1212</v>
      </c>
      <c r="CT225" t="s">
        <v>577</v>
      </c>
      <c r="CU225" t="s">
        <v>1097</v>
      </c>
      <c r="CV225" t="s">
        <v>1213</v>
      </c>
      <c r="CW225" t="s">
        <v>742</v>
      </c>
      <c r="CX225" t="s">
        <v>1214</v>
      </c>
      <c r="CY225" t="s">
        <v>742</v>
      </c>
      <c r="CZ225" t="s">
        <v>206</v>
      </c>
      <c r="DA225" t="s">
        <v>152</v>
      </c>
      <c r="DB225" t="s">
        <v>178</v>
      </c>
      <c r="DC225" t="s">
        <v>365</v>
      </c>
      <c r="DD225" t="s">
        <v>582</v>
      </c>
      <c r="DE225">
        <v>8659</v>
      </c>
      <c r="DF225">
        <v>-103.221649</v>
      </c>
      <c r="DG225">
        <v>41.666620999999999</v>
      </c>
      <c r="DH225">
        <v>5449</v>
      </c>
      <c r="DI225">
        <v>179</v>
      </c>
      <c r="DJ225">
        <v>2360</v>
      </c>
      <c r="DK225">
        <v>122</v>
      </c>
      <c r="DL225">
        <v>13</v>
      </c>
      <c r="DO225">
        <v>31</v>
      </c>
      <c r="DR225">
        <v>49000</v>
      </c>
      <c r="DS225" t="s">
        <v>583</v>
      </c>
      <c r="DT225">
        <v>1.2500000000000001E-2</v>
      </c>
      <c r="DU225">
        <v>1.2500000000000001E-2</v>
      </c>
      <c r="DV225">
        <v>0.32500000000000001</v>
      </c>
      <c r="DW225">
        <v>0.32500000000000001</v>
      </c>
      <c r="DX225">
        <v>0.32500000000000001</v>
      </c>
      <c r="DY225">
        <v>0</v>
      </c>
      <c r="DZ225" s="4">
        <v>3.6080000000000001</v>
      </c>
      <c r="EA225" s="4" t="s">
        <v>1100</v>
      </c>
      <c r="EB225" s="4" t="s">
        <v>1101</v>
      </c>
      <c r="EC225">
        <v>4.3140000000000001</v>
      </c>
      <c r="ED225">
        <v>542</v>
      </c>
      <c r="EE225" t="s">
        <v>1093</v>
      </c>
      <c r="EF225">
        <v>0.78492624198487326</v>
      </c>
      <c r="EH225">
        <f t="shared" si="7"/>
        <v>0.58000000000000007</v>
      </c>
      <c r="EI225">
        <v>3.38</v>
      </c>
      <c r="EJ225">
        <v>3.65</v>
      </c>
    </row>
    <row r="226" spans="1:140" x14ac:dyDescent="0.35">
      <c r="A226" s="1">
        <v>224</v>
      </c>
      <c r="B226">
        <v>-100.5078348838087</v>
      </c>
      <c r="C226">
        <v>41.7054037722109</v>
      </c>
      <c r="D226" t="s">
        <v>1215</v>
      </c>
      <c r="E226">
        <v>0.1</v>
      </c>
      <c r="F226" t="s">
        <v>135</v>
      </c>
      <c r="G226">
        <v>4.6100000000000002E-2</v>
      </c>
      <c r="H226" t="s">
        <v>161</v>
      </c>
      <c r="I226">
        <v>-11188481</v>
      </c>
      <c r="J226">
        <v>5116952</v>
      </c>
      <c r="K226" t="s">
        <v>1095</v>
      </c>
      <c r="L226" t="s">
        <v>1216</v>
      </c>
      <c r="M226">
        <v>57</v>
      </c>
      <c r="N226">
        <v>3.7989999999999999</v>
      </c>
      <c r="O226">
        <v>2</v>
      </c>
      <c r="P226">
        <v>4</v>
      </c>
      <c r="Q226">
        <v>31</v>
      </c>
      <c r="R226">
        <v>113</v>
      </c>
      <c r="S226">
        <v>718</v>
      </c>
      <c r="T226" t="s">
        <v>1097</v>
      </c>
      <c r="U226">
        <v>5.5212672729120094</v>
      </c>
      <c r="V226" t="s">
        <v>1095</v>
      </c>
      <c r="W226">
        <v>9.0700000000000003E-2</v>
      </c>
      <c r="X226">
        <v>10</v>
      </c>
      <c r="Y226">
        <v>8.9</v>
      </c>
      <c r="Z226">
        <v>8.9</v>
      </c>
      <c r="AA226">
        <v>20</v>
      </c>
      <c r="AB226">
        <v>26</v>
      </c>
      <c r="AC226">
        <v>1.0820000000000001</v>
      </c>
      <c r="AD226">
        <v>67</v>
      </c>
      <c r="AE226">
        <v>0.1719643992371265</v>
      </c>
      <c r="AF226">
        <v>2.86</v>
      </c>
      <c r="AG226" t="s">
        <v>1097</v>
      </c>
      <c r="AH226" t="s">
        <v>1095</v>
      </c>
      <c r="AI226">
        <v>23</v>
      </c>
      <c r="AJ226">
        <v>7.6666666666666662E-3</v>
      </c>
      <c r="AK226">
        <v>7.6666666666666661</v>
      </c>
      <c r="AL226" t="s">
        <v>1102</v>
      </c>
      <c r="AM226">
        <v>0</v>
      </c>
      <c r="AN226">
        <v>1.22</v>
      </c>
      <c r="AO226">
        <v>0.09</v>
      </c>
      <c r="AP226">
        <v>0.19</v>
      </c>
      <c r="AQ226">
        <v>0.93</v>
      </c>
      <c r="AR226">
        <v>0.87</v>
      </c>
      <c r="AS226">
        <v>0.04</v>
      </c>
      <c r="AT226">
        <v>0.01</v>
      </c>
      <c r="AU226">
        <v>0.02</v>
      </c>
      <c r="AV226">
        <v>2.14</v>
      </c>
      <c r="AW226">
        <v>1.1399999999999999</v>
      </c>
      <c r="AX226">
        <v>0.21</v>
      </c>
      <c r="AY226">
        <v>0.53</v>
      </c>
      <c r="AZ226">
        <v>0</v>
      </c>
      <c r="BA226">
        <v>0.93</v>
      </c>
      <c r="BB226">
        <v>0.08</v>
      </c>
      <c r="BC226">
        <v>0.14000000000000001</v>
      </c>
      <c r="BD226">
        <v>0.27</v>
      </c>
      <c r="BE226">
        <v>5.72</v>
      </c>
      <c r="BF226">
        <v>5.03</v>
      </c>
      <c r="BG226">
        <v>0.24</v>
      </c>
      <c r="BH226">
        <v>0.45</v>
      </c>
      <c r="BI226">
        <v>0</v>
      </c>
      <c r="BJ226">
        <v>0.04</v>
      </c>
      <c r="BK226">
        <v>4.99</v>
      </c>
      <c r="BL226">
        <v>0</v>
      </c>
      <c r="BM226">
        <v>1.69</v>
      </c>
      <c r="BN226">
        <v>0.21</v>
      </c>
      <c r="BO226">
        <v>0.46</v>
      </c>
      <c r="BP226">
        <v>1.02</v>
      </c>
      <c r="BQ226">
        <v>0.86</v>
      </c>
      <c r="BR226">
        <v>0.06</v>
      </c>
      <c r="BS226">
        <v>0.1</v>
      </c>
      <c r="BT226">
        <v>0</v>
      </c>
      <c r="BU226">
        <v>6.12</v>
      </c>
      <c r="BV226">
        <v>5.0599999999999996</v>
      </c>
      <c r="BW226">
        <v>0.34</v>
      </c>
      <c r="BX226">
        <v>0.72</v>
      </c>
      <c r="BY226">
        <v>0</v>
      </c>
      <c r="BZ226">
        <v>0.04</v>
      </c>
      <c r="CA226">
        <v>5.0199999999999996</v>
      </c>
      <c r="CB226">
        <v>0</v>
      </c>
      <c r="CC226">
        <f t="shared" si="6"/>
        <v>2.75</v>
      </c>
      <c r="CD226">
        <v>3.96</v>
      </c>
      <c r="CE226">
        <v>0.34230769230769231</v>
      </c>
      <c r="CF226">
        <v>0.44500000000000001</v>
      </c>
      <c r="CG226">
        <v>0.1492537313432836</v>
      </c>
      <c r="CH226">
        <v>0.37832167832167829</v>
      </c>
      <c r="CI226">
        <v>0</v>
      </c>
      <c r="CJ226">
        <v>31113</v>
      </c>
      <c r="CK226" t="s">
        <v>141</v>
      </c>
      <c r="CL226" t="s">
        <v>1106</v>
      </c>
      <c r="CM226" t="s">
        <v>143</v>
      </c>
      <c r="CN226">
        <v>5.8192781305499999E-2</v>
      </c>
      <c r="CO226">
        <v>82.445314889900786</v>
      </c>
      <c r="CP226">
        <v>225</v>
      </c>
      <c r="CQ226" t="s">
        <v>1211</v>
      </c>
      <c r="CR226">
        <v>129</v>
      </c>
      <c r="CS226" t="s">
        <v>1212</v>
      </c>
      <c r="CT226" t="s">
        <v>577</v>
      </c>
      <c r="CU226" t="s">
        <v>1097</v>
      </c>
      <c r="CV226" t="s">
        <v>1213</v>
      </c>
      <c r="CW226" t="s">
        <v>742</v>
      </c>
      <c r="CX226" t="s">
        <v>1214</v>
      </c>
      <c r="CY226" t="s">
        <v>742</v>
      </c>
      <c r="CZ226" t="s">
        <v>206</v>
      </c>
      <c r="DA226" t="s">
        <v>152</v>
      </c>
      <c r="DB226" t="s">
        <v>178</v>
      </c>
      <c r="DC226" t="s">
        <v>365</v>
      </c>
      <c r="DD226" t="s">
        <v>582</v>
      </c>
      <c r="DE226">
        <v>8659</v>
      </c>
      <c r="DF226">
        <v>-103.221649</v>
      </c>
      <c r="DG226">
        <v>41.666620999999999</v>
      </c>
      <c r="DH226">
        <v>5449</v>
      </c>
      <c r="DI226">
        <v>179</v>
      </c>
      <c r="DJ226">
        <v>2360</v>
      </c>
      <c r="DK226">
        <v>122</v>
      </c>
      <c r="DL226">
        <v>13</v>
      </c>
      <c r="DO226">
        <v>31</v>
      </c>
      <c r="DR226">
        <v>49000</v>
      </c>
      <c r="DS226" t="s">
        <v>583</v>
      </c>
      <c r="DT226">
        <v>1.2500000000000001E-2</v>
      </c>
      <c r="DU226">
        <v>1.2500000000000001E-2</v>
      </c>
      <c r="DV226">
        <v>0.32500000000000001</v>
      </c>
      <c r="DW226">
        <v>0.32500000000000001</v>
      </c>
      <c r="DX226">
        <v>0.32500000000000001</v>
      </c>
      <c r="DY226">
        <v>68.3423510801764</v>
      </c>
      <c r="DZ226" s="4">
        <v>3.6080000000000001</v>
      </c>
      <c r="EA226" s="4" t="s">
        <v>1100</v>
      </c>
      <c r="EB226" s="4" t="s">
        <v>1101</v>
      </c>
      <c r="EC226">
        <v>4.3140000000000001</v>
      </c>
      <c r="ED226">
        <v>473</v>
      </c>
      <c r="EE226" t="s">
        <v>1102</v>
      </c>
      <c r="EF226">
        <v>0</v>
      </c>
      <c r="EH226">
        <f t="shared" si="7"/>
        <v>0.58000000000000007</v>
      </c>
      <c r="EI226">
        <v>3.38</v>
      </c>
      <c r="EJ226">
        <v>3.65</v>
      </c>
    </row>
    <row r="227" spans="1:140" x14ac:dyDescent="0.35">
      <c r="A227" s="1">
        <v>225</v>
      </c>
      <c r="B227">
        <v>-98.711204315569631</v>
      </c>
      <c r="C227">
        <v>41.7054037722109</v>
      </c>
      <c r="D227" t="s">
        <v>1217</v>
      </c>
      <c r="E227">
        <v>0.1</v>
      </c>
      <c r="F227" t="s">
        <v>306</v>
      </c>
      <c r="G227">
        <v>4.8399999999999999E-2</v>
      </c>
      <c r="H227" t="s">
        <v>161</v>
      </c>
      <c r="I227">
        <v>-10988481</v>
      </c>
      <c r="J227">
        <v>5116952</v>
      </c>
      <c r="K227" t="s">
        <v>1095</v>
      </c>
      <c r="L227" t="s">
        <v>1218</v>
      </c>
      <c r="M227">
        <v>39</v>
      </c>
      <c r="N227">
        <v>3.4790000000000001</v>
      </c>
      <c r="O227">
        <v>2</v>
      </c>
      <c r="P227">
        <v>4</v>
      </c>
      <c r="Q227">
        <v>31</v>
      </c>
      <c r="R227">
        <v>77</v>
      </c>
      <c r="S227">
        <v>2186</v>
      </c>
      <c r="T227" t="s">
        <v>1097</v>
      </c>
      <c r="U227">
        <v>5.5212672729120094</v>
      </c>
      <c r="V227" t="s">
        <v>1095</v>
      </c>
      <c r="W227">
        <v>9.0700000000000003E-2</v>
      </c>
      <c r="X227">
        <v>10</v>
      </c>
      <c r="Y227">
        <v>8.9</v>
      </c>
      <c r="Z227">
        <v>8.9</v>
      </c>
      <c r="AA227">
        <v>20</v>
      </c>
      <c r="AB227">
        <v>26</v>
      </c>
      <c r="AC227">
        <v>1.0820000000000001</v>
      </c>
      <c r="AD227">
        <v>67</v>
      </c>
      <c r="AE227">
        <v>0.1719643992371265</v>
      </c>
      <c r="AF227">
        <v>2.86</v>
      </c>
      <c r="AG227" t="s">
        <v>1097</v>
      </c>
      <c r="AH227" t="s">
        <v>1095</v>
      </c>
      <c r="AI227">
        <v>23</v>
      </c>
      <c r="AJ227">
        <v>7.6666666666666662E-3</v>
      </c>
      <c r="AK227">
        <v>7.6666666666666661</v>
      </c>
      <c r="AL227" t="s">
        <v>1219</v>
      </c>
      <c r="AM227">
        <v>46301.869386881983</v>
      </c>
      <c r="AN227">
        <v>1.22</v>
      </c>
      <c r="AO227">
        <v>0.09</v>
      </c>
      <c r="AP227">
        <v>0.19</v>
      </c>
      <c r="AQ227">
        <v>0.93</v>
      </c>
      <c r="AR227">
        <v>0.87</v>
      </c>
      <c r="AS227">
        <v>0.04</v>
      </c>
      <c r="AT227">
        <v>0.01</v>
      </c>
      <c r="AU227">
        <v>0.02</v>
      </c>
      <c r="AV227">
        <v>2.14</v>
      </c>
      <c r="AW227">
        <v>1.1399999999999999</v>
      </c>
      <c r="AX227">
        <v>0.21</v>
      </c>
      <c r="AY227">
        <v>0.53</v>
      </c>
      <c r="AZ227">
        <v>0</v>
      </c>
      <c r="BA227">
        <v>0.93</v>
      </c>
      <c r="BB227">
        <v>0.08</v>
      </c>
      <c r="BC227">
        <v>0.14000000000000001</v>
      </c>
      <c r="BD227">
        <v>0.27</v>
      </c>
      <c r="BE227">
        <v>5.72</v>
      </c>
      <c r="BF227">
        <v>5.03</v>
      </c>
      <c r="BG227">
        <v>0.24</v>
      </c>
      <c r="BH227">
        <v>0.45</v>
      </c>
      <c r="BI227">
        <v>0</v>
      </c>
      <c r="BJ227">
        <v>0.04</v>
      </c>
      <c r="BK227">
        <v>4.99</v>
      </c>
      <c r="BL227">
        <v>0</v>
      </c>
      <c r="BM227">
        <v>1.69</v>
      </c>
      <c r="BN227">
        <v>0.21</v>
      </c>
      <c r="BO227">
        <v>0.46</v>
      </c>
      <c r="BP227">
        <v>1.02</v>
      </c>
      <c r="BQ227">
        <v>0.86</v>
      </c>
      <c r="BR227">
        <v>0.06</v>
      </c>
      <c r="BS227">
        <v>0.1</v>
      </c>
      <c r="BT227">
        <v>0</v>
      </c>
      <c r="BU227">
        <v>6.12</v>
      </c>
      <c r="BV227">
        <v>5.0599999999999996</v>
      </c>
      <c r="BW227">
        <v>0.34</v>
      </c>
      <c r="BX227">
        <v>0.72</v>
      </c>
      <c r="BY227">
        <v>0</v>
      </c>
      <c r="BZ227">
        <v>0.04</v>
      </c>
      <c r="CA227">
        <v>5.0199999999999996</v>
      </c>
      <c r="CB227">
        <v>0</v>
      </c>
      <c r="CC227">
        <f t="shared" si="6"/>
        <v>2.75</v>
      </c>
      <c r="CD227">
        <v>3.96</v>
      </c>
      <c r="CE227">
        <v>0.34230769230769231</v>
      </c>
      <c r="CF227">
        <v>0.44500000000000001</v>
      </c>
      <c r="CG227">
        <v>0.1492537313432836</v>
      </c>
      <c r="CH227">
        <v>0.37832167832167829</v>
      </c>
      <c r="CI227">
        <v>0</v>
      </c>
      <c r="CJ227">
        <v>17843</v>
      </c>
      <c r="CK227" t="s">
        <v>141</v>
      </c>
      <c r="CL227" t="s">
        <v>475</v>
      </c>
      <c r="CM227" t="s">
        <v>143</v>
      </c>
      <c r="CN227">
        <v>0.24298476370300001</v>
      </c>
      <c r="CO227">
        <v>93.230001118937466</v>
      </c>
      <c r="CP227">
        <v>226</v>
      </c>
      <c r="CQ227" t="s">
        <v>859</v>
      </c>
      <c r="CR227">
        <v>4</v>
      </c>
      <c r="CS227" t="s">
        <v>860</v>
      </c>
      <c r="CT227" t="s">
        <v>486</v>
      </c>
      <c r="CU227" t="s">
        <v>861</v>
      </c>
      <c r="CV227" t="s">
        <v>862</v>
      </c>
      <c r="CW227" t="s">
        <v>863</v>
      </c>
      <c r="CX227" t="s">
        <v>864</v>
      </c>
      <c r="CY227" t="s">
        <v>865</v>
      </c>
      <c r="CZ227" t="s">
        <v>206</v>
      </c>
      <c r="DA227" t="s">
        <v>152</v>
      </c>
      <c r="DB227" t="s">
        <v>491</v>
      </c>
      <c r="DC227" t="s">
        <v>459</v>
      </c>
      <c r="DD227" t="s">
        <v>492</v>
      </c>
      <c r="DE227">
        <v>32460</v>
      </c>
      <c r="DF227">
        <v>-99.205699999999993</v>
      </c>
      <c r="DG227">
        <v>37.695</v>
      </c>
      <c r="DH227">
        <v>5365</v>
      </c>
      <c r="DI227">
        <v>720</v>
      </c>
      <c r="DJ227">
        <v>2333</v>
      </c>
      <c r="DK227">
        <v>114</v>
      </c>
      <c r="DL227">
        <v>10</v>
      </c>
      <c r="DO227">
        <v>50</v>
      </c>
      <c r="DP227">
        <v>0.1</v>
      </c>
      <c r="DQ227">
        <v>1500</v>
      </c>
      <c r="DR227" t="s">
        <v>866</v>
      </c>
      <c r="DS227" t="s">
        <v>867</v>
      </c>
      <c r="DT227">
        <v>1.2500000000000001E-2</v>
      </c>
      <c r="DU227">
        <v>1.2500000000000001E-2</v>
      </c>
      <c r="DV227">
        <v>0.32500000000000001</v>
      </c>
      <c r="DW227">
        <v>0.32500000000000001</v>
      </c>
      <c r="DX227">
        <v>0.32500000000000001</v>
      </c>
      <c r="DY227">
        <v>156.15506764330379</v>
      </c>
      <c r="DZ227" s="4">
        <v>3.6080000000000001</v>
      </c>
      <c r="EA227" s="4" t="s">
        <v>1100</v>
      </c>
      <c r="EB227" s="4" t="s">
        <v>1101</v>
      </c>
      <c r="EC227">
        <v>4.3140000000000001</v>
      </c>
      <c r="ED227">
        <v>667</v>
      </c>
      <c r="EE227" t="s">
        <v>1219</v>
      </c>
      <c r="EF227">
        <v>0.31127866931781439</v>
      </c>
      <c r="EH227">
        <f t="shared" si="7"/>
        <v>0.58000000000000007</v>
      </c>
      <c r="EI227">
        <v>3.38</v>
      </c>
      <c r="EJ227">
        <v>3.65</v>
      </c>
    </row>
    <row r="228" spans="1:140" x14ac:dyDescent="0.35">
      <c r="A228" s="1">
        <v>226</v>
      </c>
      <c r="B228">
        <v>-96.914573747330593</v>
      </c>
      <c r="C228">
        <v>41.7054037722109</v>
      </c>
      <c r="D228" t="s">
        <v>1220</v>
      </c>
      <c r="E228">
        <v>0.1</v>
      </c>
      <c r="F228" t="s">
        <v>306</v>
      </c>
      <c r="G228">
        <v>4.8399999999999999E-2</v>
      </c>
      <c r="H228" t="s">
        <v>161</v>
      </c>
      <c r="I228">
        <v>-10788481</v>
      </c>
      <c r="J228">
        <v>5116952</v>
      </c>
      <c r="K228" t="s">
        <v>1095</v>
      </c>
      <c r="L228" t="s">
        <v>1221</v>
      </c>
      <c r="M228">
        <v>19</v>
      </c>
      <c r="N228">
        <v>3.5990000000000002</v>
      </c>
      <c r="O228">
        <v>2</v>
      </c>
      <c r="P228">
        <v>4</v>
      </c>
      <c r="Q228">
        <v>31</v>
      </c>
      <c r="R228">
        <v>37</v>
      </c>
      <c r="S228">
        <v>10581</v>
      </c>
      <c r="T228" t="s">
        <v>1097</v>
      </c>
      <c r="U228">
        <v>5.5212672729120094</v>
      </c>
      <c r="V228" t="s">
        <v>1095</v>
      </c>
      <c r="W228">
        <v>9.0700000000000003E-2</v>
      </c>
      <c r="X228">
        <v>10</v>
      </c>
      <c r="Y228">
        <v>8.9</v>
      </c>
      <c r="Z228">
        <v>8.9</v>
      </c>
      <c r="AA228">
        <v>20</v>
      </c>
      <c r="AB228">
        <v>26</v>
      </c>
      <c r="AC228">
        <v>1.0820000000000001</v>
      </c>
      <c r="AD228">
        <v>67</v>
      </c>
      <c r="AE228">
        <v>0.1719643992371265</v>
      </c>
      <c r="AF228">
        <v>2.86</v>
      </c>
      <c r="AG228" t="s">
        <v>1097</v>
      </c>
      <c r="AH228" t="s">
        <v>1095</v>
      </c>
      <c r="AI228">
        <v>23</v>
      </c>
      <c r="AJ228">
        <v>7.6666666666666662E-3</v>
      </c>
      <c r="AK228">
        <v>7.6666666666666661</v>
      </c>
      <c r="AL228" t="s">
        <v>1222</v>
      </c>
      <c r="AM228">
        <v>959.34177281773157</v>
      </c>
      <c r="AN228">
        <v>1.22</v>
      </c>
      <c r="AO228">
        <v>0.09</v>
      </c>
      <c r="AP228">
        <v>0.19</v>
      </c>
      <c r="AQ228">
        <v>0.93</v>
      </c>
      <c r="AR228">
        <v>0.87</v>
      </c>
      <c r="AS228">
        <v>0.04</v>
      </c>
      <c r="AT228">
        <v>0.01</v>
      </c>
      <c r="AU228">
        <v>0.02</v>
      </c>
      <c r="AV228">
        <v>2.14</v>
      </c>
      <c r="AW228">
        <v>1.1399999999999999</v>
      </c>
      <c r="AX228">
        <v>0.21</v>
      </c>
      <c r="AY228">
        <v>0.53</v>
      </c>
      <c r="AZ228">
        <v>0</v>
      </c>
      <c r="BA228">
        <v>0.93</v>
      </c>
      <c r="BB228">
        <v>0.08</v>
      </c>
      <c r="BC228">
        <v>0.14000000000000001</v>
      </c>
      <c r="BD228">
        <v>0.27</v>
      </c>
      <c r="BE228">
        <v>5.72</v>
      </c>
      <c r="BF228">
        <v>5.03</v>
      </c>
      <c r="BG228">
        <v>0.24</v>
      </c>
      <c r="BH228">
        <v>0.45</v>
      </c>
      <c r="BI228">
        <v>0</v>
      </c>
      <c r="BJ228">
        <v>0.04</v>
      </c>
      <c r="BK228">
        <v>4.99</v>
      </c>
      <c r="BL228">
        <v>0</v>
      </c>
      <c r="BM228">
        <v>1.69</v>
      </c>
      <c r="BN228">
        <v>0.21</v>
      </c>
      <c r="BO228">
        <v>0.46</v>
      </c>
      <c r="BP228">
        <v>1.02</v>
      </c>
      <c r="BQ228">
        <v>0.86</v>
      </c>
      <c r="BR228">
        <v>0.06</v>
      </c>
      <c r="BS228">
        <v>0.1</v>
      </c>
      <c r="BT228">
        <v>0</v>
      </c>
      <c r="BU228">
        <v>6.12</v>
      </c>
      <c r="BV228">
        <v>5.0599999999999996</v>
      </c>
      <c r="BW228">
        <v>0.34</v>
      </c>
      <c r="BX228">
        <v>0.72</v>
      </c>
      <c r="BY228">
        <v>0</v>
      </c>
      <c r="BZ228">
        <v>0.04</v>
      </c>
      <c r="CA228">
        <v>5.0199999999999996</v>
      </c>
      <c r="CB228">
        <v>0</v>
      </c>
      <c r="CC228">
        <f t="shared" si="6"/>
        <v>2.75</v>
      </c>
      <c r="CD228">
        <v>3.96</v>
      </c>
      <c r="CE228">
        <v>0.34230769230769231</v>
      </c>
      <c r="CF228">
        <v>0.44500000000000001</v>
      </c>
      <c r="CG228">
        <v>0.1492537313432836</v>
      </c>
      <c r="CH228">
        <v>0.37832167832167829</v>
      </c>
      <c r="CI228">
        <v>0</v>
      </c>
      <c r="CJ228">
        <v>17857</v>
      </c>
      <c r="CK228" t="s">
        <v>141</v>
      </c>
      <c r="CL228" t="s">
        <v>475</v>
      </c>
      <c r="CM228" t="s">
        <v>143</v>
      </c>
      <c r="CN228">
        <v>0.15750741971099999</v>
      </c>
      <c r="CO228">
        <v>17.412878369137989</v>
      </c>
      <c r="CP228">
        <v>227</v>
      </c>
      <c r="CQ228" t="s">
        <v>991</v>
      </c>
      <c r="CR228">
        <v>4</v>
      </c>
      <c r="CS228" t="s">
        <v>860</v>
      </c>
      <c r="CT228" t="s">
        <v>486</v>
      </c>
      <c r="CU228" t="s">
        <v>861</v>
      </c>
      <c r="CV228" t="s">
        <v>862</v>
      </c>
      <c r="CW228" t="s">
        <v>863</v>
      </c>
      <c r="CX228" t="s">
        <v>864</v>
      </c>
      <c r="CY228" t="s">
        <v>865</v>
      </c>
      <c r="CZ228" t="s">
        <v>206</v>
      </c>
      <c r="DA228" t="s">
        <v>152</v>
      </c>
      <c r="DB228" t="s">
        <v>491</v>
      </c>
      <c r="DC228" t="s">
        <v>459</v>
      </c>
      <c r="DD228" t="s">
        <v>492</v>
      </c>
      <c r="DE228">
        <v>32460</v>
      </c>
      <c r="DF228">
        <v>-99.205699999999993</v>
      </c>
      <c r="DG228">
        <v>37.695</v>
      </c>
      <c r="DH228">
        <v>5365</v>
      </c>
      <c r="DI228">
        <v>720</v>
      </c>
      <c r="DJ228">
        <v>2333</v>
      </c>
      <c r="DK228">
        <v>114</v>
      </c>
      <c r="DL228">
        <v>10</v>
      </c>
      <c r="DO228">
        <v>50</v>
      </c>
      <c r="DP228">
        <v>0.1</v>
      </c>
      <c r="DQ228">
        <v>1500</v>
      </c>
      <c r="DR228" t="s">
        <v>866</v>
      </c>
      <c r="DS228" t="s">
        <v>867</v>
      </c>
      <c r="DT228">
        <v>1.2500000000000001E-2</v>
      </c>
      <c r="DU228">
        <v>1.2500000000000001E-2</v>
      </c>
      <c r="DV228">
        <v>0.32500000000000001</v>
      </c>
      <c r="DW228">
        <v>0.32500000000000001</v>
      </c>
      <c r="DX228">
        <v>0.32500000000000001</v>
      </c>
      <c r="DY228">
        <v>156.74384377034431</v>
      </c>
      <c r="DZ228" s="4">
        <v>3.6080000000000001</v>
      </c>
      <c r="EA228" s="4" t="s">
        <v>1100</v>
      </c>
      <c r="EB228" s="4" t="s">
        <v>1101</v>
      </c>
      <c r="EC228">
        <v>4.3140000000000001</v>
      </c>
      <c r="ED228">
        <v>883</v>
      </c>
      <c r="EE228" t="s">
        <v>1222</v>
      </c>
      <c r="EF228">
        <v>8.6179215576295577E-3</v>
      </c>
      <c r="EH228">
        <f t="shared" si="7"/>
        <v>0.58000000000000007</v>
      </c>
      <c r="EI228">
        <v>3.38</v>
      </c>
      <c r="EJ228">
        <v>3.65</v>
      </c>
    </row>
    <row r="229" spans="1:140" x14ac:dyDescent="0.35">
      <c r="A229" s="1">
        <v>227</v>
      </c>
      <c r="B229">
        <v>-95.11794317909154</v>
      </c>
      <c r="C229">
        <v>41.7054037722109</v>
      </c>
      <c r="D229" t="s">
        <v>1223</v>
      </c>
      <c r="E229">
        <v>0.1</v>
      </c>
      <c r="F229" t="s">
        <v>326</v>
      </c>
      <c r="G229">
        <v>4.8399999999999999E-2</v>
      </c>
      <c r="H229" t="s">
        <v>161</v>
      </c>
      <c r="I229">
        <v>-10588481</v>
      </c>
      <c r="J229">
        <v>5116952</v>
      </c>
      <c r="K229" t="s">
        <v>1224</v>
      </c>
      <c r="L229" t="s">
        <v>1129</v>
      </c>
      <c r="M229">
        <v>83</v>
      </c>
      <c r="N229">
        <v>3.399</v>
      </c>
      <c r="O229">
        <v>2</v>
      </c>
      <c r="P229">
        <v>4</v>
      </c>
      <c r="Q229">
        <v>19</v>
      </c>
      <c r="R229">
        <v>165</v>
      </c>
      <c r="S229">
        <v>11748</v>
      </c>
      <c r="T229" t="s">
        <v>1225</v>
      </c>
      <c r="U229">
        <v>6.2116607413637119</v>
      </c>
      <c r="V229" t="s">
        <v>1224</v>
      </c>
      <c r="W229">
        <v>9.3399999999999997E-2</v>
      </c>
      <c r="X229">
        <v>10</v>
      </c>
      <c r="Y229">
        <v>8.9</v>
      </c>
      <c r="Z229">
        <v>8.9</v>
      </c>
      <c r="AA229">
        <v>20</v>
      </c>
      <c r="AB229">
        <v>26</v>
      </c>
      <c r="AC229">
        <v>0.69899999999999995</v>
      </c>
      <c r="AD229">
        <v>67</v>
      </c>
      <c r="AE229">
        <v>0.11109345200254291</v>
      </c>
      <c r="AF229">
        <v>2.86</v>
      </c>
      <c r="AG229" t="s">
        <v>1225</v>
      </c>
      <c r="AH229" t="s">
        <v>1224</v>
      </c>
      <c r="AI229">
        <v>32</v>
      </c>
      <c r="AJ229">
        <v>1.066666666666667E-2</v>
      </c>
      <c r="AK229">
        <v>10.66666666666667</v>
      </c>
      <c r="AL229" t="s">
        <v>1226</v>
      </c>
      <c r="AM229">
        <v>23748.162711564371</v>
      </c>
      <c r="AN229">
        <v>1.32</v>
      </c>
      <c r="AO229">
        <v>0.09</v>
      </c>
      <c r="AP229">
        <v>0.19</v>
      </c>
      <c r="AQ229">
        <v>1.04</v>
      </c>
      <c r="AR229">
        <v>0.98</v>
      </c>
      <c r="AS229">
        <v>0.04</v>
      </c>
      <c r="AT229">
        <v>0.01</v>
      </c>
      <c r="AU229">
        <v>0.02</v>
      </c>
      <c r="AV229">
        <v>2.2599999999999998</v>
      </c>
      <c r="AW229">
        <v>1.26</v>
      </c>
      <c r="AX229">
        <v>0.21</v>
      </c>
      <c r="AY229">
        <v>0.53</v>
      </c>
      <c r="AZ229">
        <v>0</v>
      </c>
      <c r="BA229">
        <v>1.04</v>
      </c>
      <c r="BB229">
        <v>0.08</v>
      </c>
      <c r="BC229">
        <v>0.14000000000000001</v>
      </c>
      <c r="BD229">
        <v>0.27</v>
      </c>
      <c r="BE229">
        <v>5.72</v>
      </c>
      <c r="BF229">
        <v>5.03</v>
      </c>
      <c r="BG229">
        <v>0.24</v>
      </c>
      <c r="BH229">
        <v>0.45</v>
      </c>
      <c r="BI229">
        <v>0</v>
      </c>
      <c r="BJ229">
        <v>0.04</v>
      </c>
      <c r="BK229">
        <v>4.99</v>
      </c>
      <c r="BL229">
        <v>0</v>
      </c>
      <c r="BM229">
        <v>1.8</v>
      </c>
      <c r="BN229">
        <v>0.21</v>
      </c>
      <c r="BO229">
        <v>0.46</v>
      </c>
      <c r="BP229">
        <v>1.1299999999999999</v>
      </c>
      <c r="BQ229">
        <v>0.97</v>
      </c>
      <c r="BR229">
        <v>0.06</v>
      </c>
      <c r="BS229">
        <v>0.1</v>
      </c>
      <c r="BT229">
        <v>0</v>
      </c>
      <c r="BU229">
        <v>6.12</v>
      </c>
      <c r="BV229">
        <v>5.0599999999999996</v>
      </c>
      <c r="BW229">
        <v>0.34</v>
      </c>
      <c r="BX229">
        <v>0.72</v>
      </c>
      <c r="BY229">
        <v>0</v>
      </c>
      <c r="BZ229">
        <v>0.04</v>
      </c>
      <c r="CA229">
        <v>5.0199999999999996</v>
      </c>
      <c r="CB229">
        <v>0</v>
      </c>
      <c r="CC229">
        <f t="shared" si="6"/>
        <v>2.75</v>
      </c>
      <c r="CD229">
        <v>3.96</v>
      </c>
      <c r="CE229">
        <v>0.34230769230769231</v>
      </c>
      <c r="CF229">
        <v>0.44500000000000001</v>
      </c>
      <c r="CG229">
        <v>0.1492537313432836</v>
      </c>
      <c r="CH229">
        <v>0.2444055944055944</v>
      </c>
      <c r="CI229">
        <v>0</v>
      </c>
      <c r="CJ229">
        <v>17549</v>
      </c>
      <c r="CK229" t="s">
        <v>141</v>
      </c>
      <c r="CL229" t="s">
        <v>475</v>
      </c>
      <c r="CM229" t="s">
        <v>143</v>
      </c>
      <c r="CN229">
        <v>7.1679999999999994E-2</v>
      </c>
      <c r="CO229">
        <v>5.3275714695770544</v>
      </c>
      <c r="CP229">
        <v>228</v>
      </c>
      <c r="CQ229" t="s">
        <v>991</v>
      </c>
      <c r="CR229">
        <v>4</v>
      </c>
      <c r="CS229" t="s">
        <v>860</v>
      </c>
      <c r="CT229" t="s">
        <v>486</v>
      </c>
      <c r="CU229" t="s">
        <v>861</v>
      </c>
      <c r="CV229" t="s">
        <v>862</v>
      </c>
      <c r="CW229" t="s">
        <v>863</v>
      </c>
      <c r="CX229" t="s">
        <v>864</v>
      </c>
      <c r="CY229" t="s">
        <v>865</v>
      </c>
      <c r="CZ229" t="s">
        <v>206</v>
      </c>
      <c r="DA229" t="s">
        <v>152</v>
      </c>
      <c r="DB229" t="s">
        <v>491</v>
      </c>
      <c r="DC229" t="s">
        <v>459</v>
      </c>
      <c r="DD229" t="s">
        <v>492</v>
      </c>
      <c r="DE229">
        <v>32460</v>
      </c>
      <c r="DF229">
        <v>-99.205699999999993</v>
      </c>
      <c r="DG229">
        <v>37.695</v>
      </c>
      <c r="DH229">
        <v>5365</v>
      </c>
      <c r="DI229">
        <v>720</v>
      </c>
      <c r="DJ229">
        <v>2333</v>
      </c>
      <c r="DK229">
        <v>114</v>
      </c>
      <c r="DL229">
        <v>10</v>
      </c>
      <c r="DO229">
        <v>50</v>
      </c>
      <c r="DP229">
        <v>0.1</v>
      </c>
      <c r="DQ229">
        <v>1500</v>
      </c>
      <c r="DR229" t="s">
        <v>866</v>
      </c>
      <c r="DS229" t="s">
        <v>867</v>
      </c>
      <c r="DT229">
        <v>1.2500000000000001E-2</v>
      </c>
      <c r="DU229">
        <v>1.2500000000000001E-2</v>
      </c>
      <c r="DV229">
        <v>0.32500000000000001</v>
      </c>
      <c r="DW229">
        <v>0.32500000000000001</v>
      </c>
      <c r="DX229">
        <v>0.32500000000000001</v>
      </c>
      <c r="DY229">
        <v>205.54226058253039</v>
      </c>
      <c r="DZ229" s="4">
        <v>3.681</v>
      </c>
      <c r="EA229" s="4" t="s">
        <v>1227</v>
      </c>
      <c r="EB229" s="4" t="s">
        <v>1228</v>
      </c>
      <c r="EC229">
        <v>4.4749999999999996</v>
      </c>
      <c r="ED229">
        <v>901</v>
      </c>
      <c r="EE229" t="s">
        <v>1226</v>
      </c>
      <c r="EF229">
        <v>0.15994908119686421</v>
      </c>
      <c r="EH229">
        <f t="shared" si="7"/>
        <v>0.58000000000000007</v>
      </c>
      <c r="EI229">
        <v>3.38</v>
      </c>
      <c r="EJ229">
        <v>3.65</v>
      </c>
    </row>
    <row r="230" spans="1:140" x14ac:dyDescent="0.35">
      <c r="A230" s="1">
        <v>228</v>
      </c>
      <c r="B230">
        <v>-93.321312610852502</v>
      </c>
      <c r="C230">
        <v>41.7054037722109</v>
      </c>
      <c r="D230" t="s">
        <v>1229</v>
      </c>
      <c r="E230">
        <v>0.1</v>
      </c>
      <c r="F230" t="s">
        <v>306</v>
      </c>
      <c r="G230">
        <v>8.8000000000000009E-2</v>
      </c>
      <c r="H230" t="s">
        <v>161</v>
      </c>
      <c r="I230">
        <v>-10388481</v>
      </c>
      <c r="J230">
        <v>5116952</v>
      </c>
      <c r="K230" t="s">
        <v>1224</v>
      </c>
      <c r="L230" t="s">
        <v>1230</v>
      </c>
      <c r="M230">
        <v>50</v>
      </c>
      <c r="N230">
        <v>3.36</v>
      </c>
      <c r="O230">
        <v>2</v>
      </c>
      <c r="P230">
        <v>4</v>
      </c>
      <c r="Q230">
        <v>19</v>
      </c>
      <c r="R230">
        <v>99</v>
      </c>
      <c r="S230">
        <v>37809</v>
      </c>
      <c r="T230" t="s">
        <v>1225</v>
      </c>
      <c r="U230">
        <v>6.2116607413637119</v>
      </c>
      <c r="V230" t="s">
        <v>1224</v>
      </c>
      <c r="W230">
        <v>9.3399999999999997E-2</v>
      </c>
      <c r="X230">
        <v>10</v>
      </c>
      <c r="Y230">
        <v>8.9</v>
      </c>
      <c r="Z230">
        <v>8.9</v>
      </c>
      <c r="AA230">
        <v>20</v>
      </c>
      <c r="AB230">
        <v>26</v>
      </c>
      <c r="AC230">
        <v>0.69899999999999995</v>
      </c>
      <c r="AD230">
        <v>67</v>
      </c>
      <c r="AE230">
        <v>0.11109345200254291</v>
      </c>
      <c r="AF230">
        <v>2.86</v>
      </c>
      <c r="AG230" t="s">
        <v>1225</v>
      </c>
      <c r="AH230" t="s">
        <v>1224</v>
      </c>
      <c r="AI230">
        <v>32</v>
      </c>
      <c r="AJ230">
        <v>1.066666666666667E-2</v>
      </c>
      <c r="AK230">
        <v>10.66666666666667</v>
      </c>
      <c r="AL230" t="s">
        <v>1231</v>
      </c>
      <c r="AM230">
        <v>0</v>
      </c>
      <c r="AN230">
        <v>1.32</v>
      </c>
      <c r="AO230">
        <v>0.09</v>
      </c>
      <c r="AP230">
        <v>0.19</v>
      </c>
      <c r="AQ230">
        <v>1.04</v>
      </c>
      <c r="AR230">
        <v>0.98</v>
      </c>
      <c r="AS230">
        <v>0.04</v>
      </c>
      <c r="AT230">
        <v>0.01</v>
      </c>
      <c r="AU230">
        <v>0.02</v>
      </c>
      <c r="AV230">
        <v>2.2599999999999998</v>
      </c>
      <c r="AW230">
        <v>1.26</v>
      </c>
      <c r="AX230">
        <v>0.21</v>
      </c>
      <c r="AY230">
        <v>0.53</v>
      </c>
      <c r="AZ230">
        <v>0</v>
      </c>
      <c r="BA230">
        <v>1.04</v>
      </c>
      <c r="BB230">
        <v>0.08</v>
      </c>
      <c r="BC230">
        <v>0.14000000000000001</v>
      </c>
      <c r="BD230">
        <v>0.27</v>
      </c>
      <c r="BE230">
        <v>5.72</v>
      </c>
      <c r="BF230">
        <v>5.03</v>
      </c>
      <c r="BG230">
        <v>0.24</v>
      </c>
      <c r="BH230">
        <v>0.45</v>
      </c>
      <c r="BI230">
        <v>0</v>
      </c>
      <c r="BJ230">
        <v>0.04</v>
      </c>
      <c r="BK230">
        <v>4.99</v>
      </c>
      <c r="BL230">
        <v>0</v>
      </c>
      <c r="BM230">
        <v>1.8</v>
      </c>
      <c r="BN230">
        <v>0.21</v>
      </c>
      <c r="BO230">
        <v>0.46</v>
      </c>
      <c r="BP230">
        <v>1.1299999999999999</v>
      </c>
      <c r="BQ230">
        <v>0.97</v>
      </c>
      <c r="BR230">
        <v>0.06</v>
      </c>
      <c r="BS230">
        <v>0.1</v>
      </c>
      <c r="BT230">
        <v>0</v>
      </c>
      <c r="BU230">
        <v>6.12</v>
      </c>
      <c r="BV230">
        <v>5.0599999999999996</v>
      </c>
      <c r="BW230">
        <v>0.34</v>
      </c>
      <c r="BX230">
        <v>0.72</v>
      </c>
      <c r="BY230">
        <v>0</v>
      </c>
      <c r="BZ230">
        <v>0.04</v>
      </c>
      <c r="CA230">
        <v>5.0199999999999996</v>
      </c>
      <c r="CB230">
        <v>0</v>
      </c>
      <c r="CC230">
        <f t="shared" si="6"/>
        <v>2.75</v>
      </c>
      <c r="CD230">
        <v>3.96</v>
      </c>
      <c r="CE230">
        <v>0.34230769230769231</v>
      </c>
      <c r="CF230">
        <v>0.44500000000000001</v>
      </c>
      <c r="CG230">
        <v>0.1492537313432836</v>
      </c>
      <c r="CH230">
        <v>0.2444055944055944</v>
      </c>
      <c r="CI230">
        <v>0</v>
      </c>
      <c r="CJ230">
        <v>17571</v>
      </c>
      <c r="CK230" t="s">
        <v>141</v>
      </c>
      <c r="CL230" t="s">
        <v>475</v>
      </c>
      <c r="CM230" t="s">
        <v>143</v>
      </c>
      <c r="CN230">
        <v>5.0687999999999997E-2</v>
      </c>
      <c r="CO230">
        <v>2.198279451260682</v>
      </c>
      <c r="CP230">
        <v>229</v>
      </c>
      <c r="CQ230" t="s">
        <v>774</v>
      </c>
      <c r="CR230">
        <v>93</v>
      </c>
      <c r="CS230" t="s">
        <v>775</v>
      </c>
      <c r="CT230" t="s">
        <v>639</v>
      </c>
      <c r="CU230" t="s">
        <v>776</v>
      </c>
      <c r="CV230" t="s">
        <v>777</v>
      </c>
      <c r="CW230" t="s">
        <v>642</v>
      </c>
      <c r="CX230" t="s">
        <v>778</v>
      </c>
      <c r="CY230" t="s">
        <v>779</v>
      </c>
      <c r="CZ230" t="s">
        <v>645</v>
      </c>
      <c r="DA230" t="s">
        <v>152</v>
      </c>
      <c r="DB230" t="s">
        <v>491</v>
      </c>
      <c r="DC230" t="s">
        <v>459</v>
      </c>
      <c r="DD230" t="s">
        <v>492</v>
      </c>
      <c r="DE230">
        <v>5560</v>
      </c>
      <c r="DF230">
        <v>-88.498699999999999</v>
      </c>
      <c r="DG230">
        <v>38.153100000000002</v>
      </c>
      <c r="DH230">
        <v>7300</v>
      </c>
      <c r="DI230">
        <v>600</v>
      </c>
      <c r="DL230">
        <v>3.5</v>
      </c>
      <c r="DM230">
        <v>4</v>
      </c>
      <c r="DN230">
        <v>4</v>
      </c>
      <c r="DO230">
        <v>65</v>
      </c>
      <c r="DP230">
        <v>1</v>
      </c>
      <c r="DQ230">
        <v>400</v>
      </c>
      <c r="DR230">
        <v>140000</v>
      </c>
      <c r="DS230">
        <v>60</v>
      </c>
      <c r="DT230">
        <v>1.2500000000000001E-2</v>
      </c>
      <c r="DU230">
        <v>1.2500000000000001E-2</v>
      </c>
      <c r="DV230">
        <v>0.32500000000000001</v>
      </c>
      <c r="DW230">
        <v>0.32500000000000001</v>
      </c>
      <c r="DX230">
        <v>0.32500000000000001</v>
      </c>
      <c r="DY230">
        <v>158.3112270842193</v>
      </c>
      <c r="DZ230" s="4">
        <v>3.681</v>
      </c>
      <c r="EA230" s="4" t="s">
        <v>1227</v>
      </c>
      <c r="EB230" s="4" t="s">
        <v>1228</v>
      </c>
      <c r="EC230">
        <v>4.4749999999999996</v>
      </c>
      <c r="ED230">
        <v>805</v>
      </c>
      <c r="EE230" t="s">
        <v>1231</v>
      </c>
      <c r="EF230">
        <v>0</v>
      </c>
      <c r="EH230">
        <f t="shared" si="7"/>
        <v>0.58000000000000007</v>
      </c>
      <c r="EI230">
        <v>3.38</v>
      </c>
      <c r="EJ230">
        <v>3.65</v>
      </c>
    </row>
    <row r="231" spans="1:140" x14ac:dyDescent="0.35">
      <c r="A231" s="1">
        <v>229</v>
      </c>
      <c r="B231">
        <v>-91.524682042613449</v>
      </c>
      <c r="C231">
        <v>41.7054037722109</v>
      </c>
      <c r="D231" t="s">
        <v>1232</v>
      </c>
      <c r="E231">
        <v>0.1</v>
      </c>
      <c r="F231" t="s">
        <v>135</v>
      </c>
      <c r="G231">
        <v>8.8000000000000009E-2</v>
      </c>
      <c r="H231" t="s">
        <v>161</v>
      </c>
      <c r="I231">
        <v>-10188481</v>
      </c>
      <c r="J231">
        <v>5116952</v>
      </c>
      <c r="K231" t="s">
        <v>1224</v>
      </c>
      <c r="L231" t="s">
        <v>1233</v>
      </c>
      <c r="M231">
        <v>52</v>
      </c>
      <c r="N231">
        <v>3.4340000000000002</v>
      </c>
      <c r="O231">
        <v>2</v>
      </c>
      <c r="P231">
        <v>4</v>
      </c>
      <c r="Q231">
        <v>19</v>
      </c>
      <c r="R231">
        <v>103</v>
      </c>
      <c r="S231">
        <v>152861</v>
      </c>
      <c r="T231" t="s">
        <v>1225</v>
      </c>
      <c r="U231">
        <v>6.2116607413637119</v>
      </c>
      <c r="V231" t="s">
        <v>1224</v>
      </c>
      <c r="W231">
        <v>9.3399999999999997E-2</v>
      </c>
      <c r="X231">
        <v>10</v>
      </c>
      <c r="Y231">
        <v>8.9</v>
      </c>
      <c r="Z231">
        <v>8.9</v>
      </c>
      <c r="AA231">
        <v>20</v>
      </c>
      <c r="AB231">
        <v>26</v>
      </c>
      <c r="AC231">
        <v>0.69899999999999995</v>
      </c>
      <c r="AD231">
        <v>67</v>
      </c>
      <c r="AE231">
        <v>0.11109345200254291</v>
      </c>
      <c r="AF231">
        <v>2.86</v>
      </c>
      <c r="AG231" t="s">
        <v>1225</v>
      </c>
      <c r="AH231" t="s">
        <v>1224</v>
      </c>
      <c r="AI231">
        <v>32</v>
      </c>
      <c r="AJ231">
        <v>1.066666666666667E-2</v>
      </c>
      <c r="AK231">
        <v>10.66666666666667</v>
      </c>
      <c r="AL231" t="s">
        <v>1234</v>
      </c>
      <c r="AM231">
        <v>0</v>
      </c>
      <c r="AN231">
        <v>1.32</v>
      </c>
      <c r="AO231">
        <v>0.09</v>
      </c>
      <c r="AP231">
        <v>0.19</v>
      </c>
      <c r="AQ231">
        <v>1.04</v>
      </c>
      <c r="AR231">
        <v>0.98</v>
      </c>
      <c r="AS231">
        <v>0.04</v>
      </c>
      <c r="AT231">
        <v>0.01</v>
      </c>
      <c r="AU231">
        <v>0.02</v>
      </c>
      <c r="AV231">
        <v>2.2599999999999998</v>
      </c>
      <c r="AW231">
        <v>1.26</v>
      </c>
      <c r="AX231">
        <v>0.21</v>
      </c>
      <c r="AY231">
        <v>0.53</v>
      </c>
      <c r="AZ231">
        <v>0</v>
      </c>
      <c r="BA231">
        <v>1.04</v>
      </c>
      <c r="BB231">
        <v>0.08</v>
      </c>
      <c r="BC231">
        <v>0.14000000000000001</v>
      </c>
      <c r="BD231">
        <v>0.27</v>
      </c>
      <c r="BE231">
        <v>5.72</v>
      </c>
      <c r="BF231">
        <v>5.03</v>
      </c>
      <c r="BG231">
        <v>0.24</v>
      </c>
      <c r="BH231">
        <v>0.45</v>
      </c>
      <c r="BI231">
        <v>0</v>
      </c>
      <c r="BJ231">
        <v>0.04</v>
      </c>
      <c r="BK231">
        <v>4.99</v>
      </c>
      <c r="BL231">
        <v>0</v>
      </c>
      <c r="BM231">
        <v>1.8</v>
      </c>
      <c r="BN231">
        <v>0.21</v>
      </c>
      <c r="BO231">
        <v>0.46</v>
      </c>
      <c r="BP231">
        <v>1.1299999999999999</v>
      </c>
      <c r="BQ231">
        <v>0.97</v>
      </c>
      <c r="BR231">
        <v>0.06</v>
      </c>
      <c r="BS231">
        <v>0.1</v>
      </c>
      <c r="BT231">
        <v>0</v>
      </c>
      <c r="BU231">
        <v>6.12</v>
      </c>
      <c r="BV231">
        <v>5.0599999999999996</v>
      </c>
      <c r="BW231">
        <v>0.34</v>
      </c>
      <c r="BX231">
        <v>0.72</v>
      </c>
      <c r="BY231">
        <v>0</v>
      </c>
      <c r="BZ231">
        <v>0.04</v>
      </c>
      <c r="CA231">
        <v>5.0199999999999996</v>
      </c>
      <c r="CB231">
        <v>0</v>
      </c>
      <c r="CC231">
        <f t="shared" si="6"/>
        <v>2.75</v>
      </c>
      <c r="CD231">
        <v>3.96</v>
      </c>
      <c r="CE231">
        <v>0.34230769230769231</v>
      </c>
      <c r="CF231">
        <v>0.44500000000000001</v>
      </c>
      <c r="CG231">
        <v>0.1492537313432836</v>
      </c>
      <c r="CH231">
        <v>0.2444055944055944</v>
      </c>
      <c r="CI231">
        <v>0</v>
      </c>
      <c r="CJ231">
        <v>17111</v>
      </c>
      <c r="CK231" t="s">
        <v>141</v>
      </c>
      <c r="CL231" t="s">
        <v>475</v>
      </c>
      <c r="CM231" t="s">
        <v>143</v>
      </c>
      <c r="CN231">
        <v>8.0102232278499996E-2</v>
      </c>
      <c r="CO231">
        <v>18.570959220353132</v>
      </c>
      <c r="CP231">
        <v>230</v>
      </c>
      <c r="CQ231" t="s">
        <v>774</v>
      </c>
      <c r="CR231">
        <v>93</v>
      </c>
      <c r="CS231" t="s">
        <v>775</v>
      </c>
      <c r="CT231" t="s">
        <v>639</v>
      </c>
      <c r="CU231" t="s">
        <v>776</v>
      </c>
      <c r="CV231" t="s">
        <v>777</v>
      </c>
      <c r="CW231" t="s">
        <v>642</v>
      </c>
      <c r="CX231" t="s">
        <v>778</v>
      </c>
      <c r="CY231" t="s">
        <v>779</v>
      </c>
      <c r="CZ231" t="s">
        <v>645</v>
      </c>
      <c r="DA231" t="s">
        <v>152</v>
      </c>
      <c r="DB231" t="s">
        <v>491</v>
      </c>
      <c r="DC231" t="s">
        <v>459</v>
      </c>
      <c r="DD231" t="s">
        <v>492</v>
      </c>
      <c r="DE231">
        <v>5560</v>
      </c>
      <c r="DF231">
        <v>-88.498699999999999</v>
      </c>
      <c r="DG231">
        <v>38.153100000000002</v>
      </c>
      <c r="DH231">
        <v>7300</v>
      </c>
      <c r="DI231">
        <v>600</v>
      </c>
      <c r="DL231">
        <v>3.5</v>
      </c>
      <c r="DM231">
        <v>4</v>
      </c>
      <c r="DN231">
        <v>4</v>
      </c>
      <c r="DO231">
        <v>65</v>
      </c>
      <c r="DP231">
        <v>1</v>
      </c>
      <c r="DQ231">
        <v>400</v>
      </c>
      <c r="DR231">
        <v>140000</v>
      </c>
      <c r="DS231">
        <v>60</v>
      </c>
      <c r="DT231">
        <v>1.2500000000000001E-2</v>
      </c>
      <c r="DU231">
        <v>1.2500000000000001E-2</v>
      </c>
      <c r="DV231">
        <v>0.32500000000000001</v>
      </c>
      <c r="DW231">
        <v>0.32500000000000001</v>
      </c>
      <c r="DX231">
        <v>0.32500000000000001</v>
      </c>
      <c r="DY231">
        <v>42.671639182793712</v>
      </c>
      <c r="DZ231" s="4">
        <v>3.681</v>
      </c>
      <c r="EA231" s="4" t="s">
        <v>1227</v>
      </c>
      <c r="EB231" s="4" t="s">
        <v>1228</v>
      </c>
      <c r="EC231">
        <v>4.4749999999999996</v>
      </c>
      <c r="ED231">
        <v>676</v>
      </c>
      <c r="EE231" t="s">
        <v>1234</v>
      </c>
      <c r="EF231">
        <v>0</v>
      </c>
      <c r="EH231">
        <f t="shared" si="7"/>
        <v>0.58000000000000007</v>
      </c>
      <c r="EI231">
        <v>3.38</v>
      </c>
      <c r="EJ231">
        <v>3.65</v>
      </c>
    </row>
    <row r="232" spans="1:140" x14ac:dyDescent="0.35">
      <c r="A232" s="1">
        <v>230</v>
      </c>
      <c r="B232">
        <v>-89.728051474374411</v>
      </c>
      <c r="C232">
        <v>41.7054037722109</v>
      </c>
      <c r="D232" t="s">
        <v>1235</v>
      </c>
      <c r="E232">
        <v>0.02</v>
      </c>
      <c r="F232" t="s">
        <v>160</v>
      </c>
      <c r="G232">
        <v>8.8000000000000009E-2</v>
      </c>
      <c r="H232" t="s">
        <v>161</v>
      </c>
      <c r="I232">
        <v>-9988481</v>
      </c>
      <c r="J232">
        <v>5116952</v>
      </c>
      <c r="K232" t="s">
        <v>642</v>
      </c>
      <c r="L232" t="s">
        <v>1236</v>
      </c>
      <c r="M232">
        <v>98</v>
      </c>
      <c r="N232">
        <v>4.1120000000000001</v>
      </c>
      <c r="O232">
        <v>2</v>
      </c>
      <c r="P232">
        <v>3</v>
      </c>
      <c r="Q232">
        <v>17</v>
      </c>
      <c r="R232">
        <v>195</v>
      </c>
      <c r="S232">
        <v>55691</v>
      </c>
      <c r="T232" t="s">
        <v>776</v>
      </c>
      <c r="U232">
        <v>7.0836720178825443</v>
      </c>
      <c r="V232" t="s">
        <v>642</v>
      </c>
      <c r="W232">
        <v>0.1221</v>
      </c>
      <c r="X232">
        <v>10</v>
      </c>
      <c r="Y232">
        <v>8.9</v>
      </c>
      <c r="Z232">
        <v>8.9</v>
      </c>
      <c r="AA232">
        <v>20</v>
      </c>
      <c r="AB232">
        <v>26</v>
      </c>
      <c r="AC232">
        <v>0.51</v>
      </c>
      <c r="AD232">
        <v>67</v>
      </c>
      <c r="AE232">
        <v>8.1055308328035605E-2</v>
      </c>
      <c r="AF232">
        <v>2.86</v>
      </c>
      <c r="AG232" t="s">
        <v>776</v>
      </c>
      <c r="AH232" t="s">
        <v>642</v>
      </c>
      <c r="AI232">
        <v>26</v>
      </c>
      <c r="AJ232">
        <v>8.6666666666666663E-3</v>
      </c>
      <c r="AK232">
        <v>8.6666666666666661</v>
      </c>
      <c r="AL232" t="s">
        <v>1237</v>
      </c>
      <c r="AM232">
        <v>0</v>
      </c>
      <c r="AN232">
        <v>1.47</v>
      </c>
      <c r="AO232">
        <v>0.09</v>
      </c>
      <c r="AP232">
        <v>0.19</v>
      </c>
      <c r="AQ232">
        <v>1.18</v>
      </c>
      <c r="AR232">
        <v>1.1200000000000001</v>
      </c>
      <c r="AS232">
        <v>0.04</v>
      </c>
      <c r="AT232">
        <v>0.02</v>
      </c>
      <c r="AU232">
        <v>0.02</v>
      </c>
      <c r="AV232">
        <v>2.4500000000000002</v>
      </c>
      <c r="AW232">
        <v>1.45</v>
      </c>
      <c r="AX232">
        <v>0.21</v>
      </c>
      <c r="AY232">
        <v>0.53</v>
      </c>
      <c r="AZ232">
        <v>0</v>
      </c>
      <c r="BA232">
        <v>1.19</v>
      </c>
      <c r="BB232">
        <v>0.08</v>
      </c>
      <c r="BC232">
        <v>0.18</v>
      </c>
      <c r="BD232">
        <v>0.27</v>
      </c>
      <c r="BE232">
        <v>7.39</v>
      </c>
      <c r="BF232">
        <v>6.7</v>
      </c>
      <c r="BG232">
        <v>0.24</v>
      </c>
      <c r="BH232">
        <v>0.45</v>
      </c>
      <c r="BI232">
        <v>0</v>
      </c>
      <c r="BJ232">
        <v>0.04</v>
      </c>
      <c r="BK232">
        <v>6.66</v>
      </c>
      <c r="BL232">
        <v>0</v>
      </c>
      <c r="BM232">
        <v>1.97</v>
      </c>
      <c r="BN232">
        <v>0.21</v>
      </c>
      <c r="BO232">
        <v>0.46</v>
      </c>
      <c r="BP232">
        <v>1.3</v>
      </c>
      <c r="BQ232">
        <v>1.1000000000000001</v>
      </c>
      <c r="BR232">
        <v>0.06</v>
      </c>
      <c r="BS232">
        <v>0.13</v>
      </c>
      <c r="BT232">
        <v>0</v>
      </c>
      <c r="BU232">
        <v>7.79</v>
      </c>
      <c r="BV232">
        <v>6.73</v>
      </c>
      <c r="BW232">
        <v>0.34</v>
      </c>
      <c r="BX232">
        <v>0.72</v>
      </c>
      <c r="BY232">
        <v>0</v>
      </c>
      <c r="BZ232">
        <v>0.04</v>
      </c>
      <c r="CA232">
        <v>6.7</v>
      </c>
      <c r="CB232">
        <v>0</v>
      </c>
      <c r="CC232">
        <f t="shared" si="6"/>
        <v>2.75</v>
      </c>
      <c r="CD232">
        <v>3.96</v>
      </c>
      <c r="CE232">
        <v>0.34230769230769231</v>
      </c>
      <c r="CF232">
        <v>0.44500000000000001</v>
      </c>
      <c r="CG232">
        <v>0.1492537313432836</v>
      </c>
      <c r="CH232">
        <v>0.17832167832167831</v>
      </c>
      <c r="CI232">
        <v>0</v>
      </c>
      <c r="CJ232">
        <v>18896</v>
      </c>
      <c r="CK232" t="s">
        <v>169</v>
      </c>
      <c r="CL232" t="s">
        <v>1124</v>
      </c>
      <c r="CM232" t="s">
        <v>143</v>
      </c>
      <c r="CN232">
        <v>3.8592000000000001E-2</v>
      </c>
      <c r="CO232">
        <v>4.3795711305139244</v>
      </c>
      <c r="CP232">
        <v>231</v>
      </c>
      <c r="CQ232" t="s">
        <v>774</v>
      </c>
      <c r="CR232">
        <v>93</v>
      </c>
      <c r="CS232" t="s">
        <v>775</v>
      </c>
      <c r="CT232" t="s">
        <v>639</v>
      </c>
      <c r="CU232" t="s">
        <v>776</v>
      </c>
      <c r="CV232" t="s">
        <v>777</v>
      </c>
      <c r="CW232" t="s">
        <v>642</v>
      </c>
      <c r="CX232" t="s">
        <v>778</v>
      </c>
      <c r="CY232" t="s">
        <v>779</v>
      </c>
      <c r="CZ232" t="s">
        <v>645</v>
      </c>
      <c r="DA232" t="s">
        <v>152</v>
      </c>
      <c r="DB232" t="s">
        <v>491</v>
      </c>
      <c r="DC232" t="s">
        <v>459</v>
      </c>
      <c r="DD232" t="s">
        <v>492</v>
      </c>
      <c r="DE232">
        <v>5560</v>
      </c>
      <c r="DF232">
        <v>-88.498699999999999</v>
      </c>
      <c r="DG232">
        <v>38.153100000000002</v>
      </c>
      <c r="DH232">
        <v>7300</v>
      </c>
      <c r="DI232">
        <v>600</v>
      </c>
      <c r="DL232">
        <v>3.5</v>
      </c>
      <c r="DM232">
        <v>4</v>
      </c>
      <c r="DN232">
        <v>4</v>
      </c>
      <c r="DO232">
        <v>65</v>
      </c>
      <c r="DP232">
        <v>1</v>
      </c>
      <c r="DQ232">
        <v>400</v>
      </c>
      <c r="DR232">
        <v>140000</v>
      </c>
      <c r="DS232">
        <v>60</v>
      </c>
      <c r="DT232">
        <v>1.2500000000000001E-2</v>
      </c>
      <c r="DU232">
        <v>1.2500000000000001E-2</v>
      </c>
      <c r="DV232">
        <v>0.32500000000000001</v>
      </c>
      <c r="DW232">
        <v>0.32500000000000001</v>
      </c>
      <c r="DX232">
        <v>0.32500000000000001</v>
      </c>
      <c r="DY232">
        <v>0</v>
      </c>
      <c r="DZ232" s="4">
        <v>4.1020000000000003</v>
      </c>
      <c r="EA232" s="4" t="s">
        <v>1004</v>
      </c>
      <c r="EB232" s="4" t="s">
        <v>1005</v>
      </c>
      <c r="EC232">
        <v>4.9260000000000002</v>
      </c>
      <c r="ED232">
        <v>869</v>
      </c>
      <c r="EE232" t="s">
        <v>1237</v>
      </c>
      <c r="EF232">
        <v>0</v>
      </c>
      <c r="EH232">
        <f t="shared" si="7"/>
        <v>0.58000000000000007</v>
      </c>
      <c r="EI232">
        <v>3.38</v>
      </c>
      <c r="EJ232">
        <v>3.65</v>
      </c>
    </row>
    <row r="233" spans="1:140" x14ac:dyDescent="0.35">
      <c r="A233" s="1">
        <v>231</v>
      </c>
      <c r="B233">
        <v>-87.931420906135358</v>
      </c>
      <c r="C233">
        <v>41.7054037722109</v>
      </c>
      <c r="D233" t="s">
        <v>1238</v>
      </c>
      <c r="E233">
        <v>0.02</v>
      </c>
      <c r="F233" t="s">
        <v>160</v>
      </c>
      <c r="G233">
        <v>8.8000000000000009E-2</v>
      </c>
      <c r="H233" t="s">
        <v>161</v>
      </c>
      <c r="I233">
        <v>-9788481</v>
      </c>
      <c r="J233">
        <v>5116952</v>
      </c>
      <c r="K233" t="s">
        <v>642</v>
      </c>
      <c r="L233" t="s">
        <v>1239</v>
      </c>
      <c r="M233">
        <v>16</v>
      </c>
      <c r="N233">
        <v>4.2279999999999998</v>
      </c>
      <c r="O233">
        <v>2</v>
      </c>
      <c r="P233">
        <v>3</v>
      </c>
      <c r="Q233">
        <v>17</v>
      </c>
      <c r="R233">
        <v>31</v>
      </c>
      <c r="S233">
        <v>5275522</v>
      </c>
      <c r="T233" t="s">
        <v>776</v>
      </c>
      <c r="U233">
        <v>7.0836720178825443</v>
      </c>
      <c r="V233" t="s">
        <v>642</v>
      </c>
      <c r="W233">
        <v>0.1221</v>
      </c>
      <c r="X233">
        <v>10</v>
      </c>
      <c r="Y233">
        <v>8.9</v>
      </c>
      <c r="Z233">
        <v>8.9</v>
      </c>
      <c r="AA233">
        <v>20</v>
      </c>
      <c r="AB233">
        <v>26</v>
      </c>
      <c r="AC233">
        <v>0.51</v>
      </c>
      <c r="AD233">
        <v>67</v>
      </c>
      <c r="AE233">
        <v>8.1055308328035605E-2</v>
      </c>
      <c r="AF233">
        <v>2.86</v>
      </c>
      <c r="AG233" t="s">
        <v>776</v>
      </c>
      <c r="AH233" t="s">
        <v>642</v>
      </c>
      <c r="AI233">
        <v>26</v>
      </c>
      <c r="AJ233">
        <v>8.6666666666666663E-3</v>
      </c>
      <c r="AK233">
        <v>8.6666666666666661</v>
      </c>
      <c r="AL233" t="s">
        <v>1240</v>
      </c>
      <c r="AM233">
        <v>0</v>
      </c>
      <c r="AN233">
        <v>1.47</v>
      </c>
      <c r="AO233">
        <v>0.09</v>
      </c>
      <c r="AP233">
        <v>0.19</v>
      </c>
      <c r="AQ233">
        <v>1.18</v>
      </c>
      <c r="AR233">
        <v>1.1200000000000001</v>
      </c>
      <c r="AS233">
        <v>0.04</v>
      </c>
      <c r="AT233">
        <v>0.02</v>
      </c>
      <c r="AU233">
        <v>0.02</v>
      </c>
      <c r="AV233">
        <v>2.4500000000000002</v>
      </c>
      <c r="AW233">
        <v>1.45</v>
      </c>
      <c r="AX233">
        <v>0.21</v>
      </c>
      <c r="AY233">
        <v>0.53</v>
      </c>
      <c r="AZ233">
        <v>0</v>
      </c>
      <c r="BA233">
        <v>1.19</v>
      </c>
      <c r="BB233">
        <v>0.08</v>
      </c>
      <c r="BC233">
        <v>0.18</v>
      </c>
      <c r="BD233">
        <v>0.27</v>
      </c>
      <c r="BE233">
        <v>7.39</v>
      </c>
      <c r="BF233">
        <v>6.7</v>
      </c>
      <c r="BG233">
        <v>0.24</v>
      </c>
      <c r="BH233">
        <v>0.45</v>
      </c>
      <c r="BI233">
        <v>0</v>
      </c>
      <c r="BJ233">
        <v>0.04</v>
      </c>
      <c r="BK233">
        <v>6.66</v>
      </c>
      <c r="BL233">
        <v>0</v>
      </c>
      <c r="BM233">
        <v>1.97</v>
      </c>
      <c r="BN233">
        <v>0.21</v>
      </c>
      <c r="BO233">
        <v>0.46</v>
      </c>
      <c r="BP233">
        <v>1.3</v>
      </c>
      <c r="BQ233">
        <v>1.1000000000000001</v>
      </c>
      <c r="BR233">
        <v>0.06</v>
      </c>
      <c r="BS233">
        <v>0.13</v>
      </c>
      <c r="BT233">
        <v>0</v>
      </c>
      <c r="BU233">
        <v>7.79</v>
      </c>
      <c r="BV233">
        <v>6.73</v>
      </c>
      <c r="BW233">
        <v>0.34</v>
      </c>
      <c r="BX233">
        <v>0.72</v>
      </c>
      <c r="BY233">
        <v>0</v>
      </c>
      <c r="BZ233">
        <v>0.04</v>
      </c>
      <c r="CA233">
        <v>6.7</v>
      </c>
      <c r="CB233">
        <v>0</v>
      </c>
      <c r="CC233">
        <f t="shared" si="6"/>
        <v>2.75</v>
      </c>
      <c r="CD233">
        <v>3.96</v>
      </c>
      <c r="CE233">
        <v>0.34230769230769231</v>
      </c>
      <c r="CF233">
        <v>0.44500000000000001</v>
      </c>
      <c r="CG233">
        <v>0.1492537313432836</v>
      </c>
      <c r="CH233">
        <v>0.17832167832167831</v>
      </c>
      <c r="CI233">
        <v>0</v>
      </c>
      <c r="CJ233">
        <v>18552</v>
      </c>
      <c r="CK233" t="s">
        <v>169</v>
      </c>
      <c r="CL233" t="s">
        <v>1124</v>
      </c>
      <c r="CM233" t="s">
        <v>143</v>
      </c>
      <c r="CN233">
        <v>4.3647999999999999E-2</v>
      </c>
      <c r="CO233">
        <v>1.1673347640037679</v>
      </c>
      <c r="CP233">
        <v>232</v>
      </c>
      <c r="CQ233" t="s">
        <v>774</v>
      </c>
      <c r="CR233">
        <v>93</v>
      </c>
      <c r="CS233" t="s">
        <v>775</v>
      </c>
      <c r="CT233" t="s">
        <v>639</v>
      </c>
      <c r="CU233" t="s">
        <v>776</v>
      </c>
      <c r="CV233" t="s">
        <v>777</v>
      </c>
      <c r="CW233" t="s">
        <v>642</v>
      </c>
      <c r="CX233" t="s">
        <v>778</v>
      </c>
      <c r="CY233" t="s">
        <v>779</v>
      </c>
      <c r="CZ233" t="s">
        <v>645</v>
      </c>
      <c r="DA233" t="s">
        <v>152</v>
      </c>
      <c r="DB233" t="s">
        <v>491</v>
      </c>
      <c r="DC233" t="s">
        <v>459</v>
      </c>
      <c r="DD233" t="s">
        <v>492</v>
      </c>
      <c r="DE233">
        <v>5560</v>
      </c>
      <c r="DF233">
        <v>-88.498699999999999</v>
      </c>
      <c r="DG233">
        <v>38.153100000000002</v>
      </c>
      <c r="DH233">
        <v>7300</v>
      </c>
      <c r="DI233">
        <v>600</v>
      </c>
      <c r="DL233">
        <v>3.5</v>
      </c>
      <c r="DM233">
        <v>4</v>
      </c>
      <c r="DN233">
        <v>4</v>
      </c>
      <c r="DO233">
        <v>65</v>
      </c>
      <c r="DP233">
        <v>1</v>
      </c>
      <c r="DQ233">
        <v>400</v>
      </c>
      <c r="DR233">
        <v>140000</v>
      </c>
      <c r="DS233">
        <v>60</v>
      </c>
      <c r="DT233">
        <v>1.2500000000000001E-2</v>
      </c>
      <c r="DU233">
        <v>1.2500000000000001E-2</v>
      </c>
      <c r="DV233">
        <v>0.32500000000000001</v>
      </c>
      <c r="DW233">
        <v>0.32500000000000001</v>
      </c>
      <c r="DX233">
        <v>0.32500000000000001</v>
      </c>
      <c r="DY233">
        <v>0</v>
      </c>
      <c r="DZ233" s="4">
        <v>4.1020000000000003</v>
      </c>
      <c r="EA233" s="4" t="s">
        <v>1004</v>
      </c>
      <c r="EB233" s="4" t="s">
        <v>1005</v>
      </c>
      <c r="EC233">
        <v>4.9260000000000002</v>
      </c>
      <c r="ED233">
        <v>238</v>
      </c>
      <c r="EE233" t="s">
        <v>1240</v>
      </c>
      <c r="EF233">
        <v>0</v>
      </c>
      <c r="EH233">
        <f t="shared" si="7"/>
        <v>0.58000000000000007</v>
      </c>
      <c r="EI233">
        <v>3.38</v>
      </c>
      <c r="EJ233">
        <v>3.65</v>
      </c>
    </row>
    <row r="234" spans="1:140" x14ac:dyDescent="0.35">
      <c r="A234" s="1">
        <v>232</v>
      </c>
      <c r="B234">
        <v>-86.13479033789632</v>
      </c>
      <c r="C234">
        <v>41.7054037722109</v>
      </c>
      <c r="D234" t="s">
        <v>1241</v>
      </c>
      <c r="E234">
        <v>0.02</v>
      </c>
      <c r="F234" t="s">
        <v>160</v>
      </c>
      <c r="G234">
        <v>3.7100000000000001E-2</v>
      </c>
      <c r="H234" t="s">
        <v>161</v>
      </c>
      <c r="I234">
        <v>-9588481</v>
      </c>
      <c r="J234">
        <v>5116952</v>
      </c>
      <c r="K234" t="s">
        <v>1010</v>
      </c>
      <c r="L234" t="s">
        <v>1242</v>
      </c>
      <c r="T234" t="s">
        <v>1011</v>
      </c>
      <c r="U234">
        <v>6.9429307472785728</v>
      </c>
      <c r="V234" t="s">
        <v>1010</v>
      </c>
      <c r="W234">
        <v>0.1138</v>
      </c>
      <c r="X234">
        <v>10</v>
      </c>
      <c r="Y234">
        <v>8.9</v>
      </c>
      <c r="Z234">
        <v>8.9</v>
      </c>
      <c r="AA234">
        <v>20</v>
      </c>
      <c r="AB234">
        <v>26</v>
      </c>
      <c r="AC234">
        <v>1.393</v>
      </c>
      <c r="AD234">
        <v>67</v>
      </c>
      <c r="AE234">
        <v>0.2213922441195168</v>
      </c>
      <c r="AF234">
        <v>2.86</v>
      </c>
      <c r="AG234" t="s">
        <v>1011</v>
      </c>
      <c r="AH234" t="s">
        <v>1010</v>
      </c>
      <c r="AI234">
        <v>30</v>
      </c>
      <c r="AJ234">
        <v>0.01</v>
      </c>
      <c r="AK234">
        <v>10</v>
      </c>
      <c r="AL234" t="s">
        <v>1243</v>
      </c>
      <c r="AM234">
        <v>0</v>
      </c>
      <c r="AN234">
        <v>1.44</v>
      </c>
      <c r="AO234">
        <v>0.09</v>
      </c>
      <c r="AP234">
        <v>0.19</v>
      </c>
      <c r="AQ234">
        <v>1.1499999999999999</v>
      </c>
      <c r="AR234">
        <v>1.1000000000000001</v>
      </c>
      <c r="AS234">
        <v>0.04</v>
      </c>
      <c r="AT234">
        <v>0.01</v>
      </c>
      <c r="AU234">
        <v>0.02</v>
      </c>
      <c r="AV234">
        <v>2.41</v>
      </c>
      <c r="AW234">
        <v>1.41</v>
      </c>
      <c r="AX234">
        <v>0.21</v>
      </c>
      <c r="AY234">
        <v>0.53</v>
      </c>
      <c r="AZ234">
        <v>0</v>
      </c>
      <c r="BA234">
        <v>1.17</v>
      </c>
      <c r="BB234">
        <v>0.08</v>
      </c>
      <c r="BC234">
        <v>0.17</v>
      </c>
      <c r="BD234">
        <v>0.27</v>
      </c>
      <c r="BE234">
        <v>6.83</v>
      </c>
      <c r="BF234">
        <v>6.14</v>
      </c>
      <c r="BG234">
        <v>0.24</v>
      </c>
      <c r="BH234">
        <v>0.45</v>
      </c>
      <c r="BI234">
        <v>0</v>
      </c>
      <c r="BJ234">
        <v>0.04</v>
      </c>
      <c r="BK234">
        <v>6.1</v>
      </c>
      <c r="BL234">
        <v>0</v>
      </c>
      <c r="BM234">
        <v>1.93</v>
      </c>
      <c r="BN234">
        <v>0.21</v>
      </c>
      <c r="BO234">
        <v>0.46</v>
      </c>
      <c r="BP234">
        <v>1.26</v>
      </c>
      <c r="BQ234">
        <v>1.08</v>
      </c>
      <c r="BR234">
        <v>0.06</v>
      </c>
      <c r="BS234">
        <v>0.12</v>
      </c>
      <c r="BT234">
        <v>0</v>
      </c>
      <c r="BU234">
        <v>7.24</v>
      </c>
      <c r="BV234">
        <v>6.18</v>
      </c>
      <c r="BW234">
        <v>0.34</v>
      </c>
      <c r="BX234">
        <v>0.72</v>
      </c>
      <c r="BY234">
        <v>0</v>
      </c>
      <c r="BZ234">
        <v>0.04</v>
      </c>
      <c r="CA234">
        <v>6.14</v>
      </c>
      <c r="CB234">
        <v>0</v>
      </c>
      <c r="CC234">
        <f t="shared" si="6"/>
        <v>2.75</v>
      </c>
      <c r="CD234">
        <v>3.96</v>
      </c>
      <c r="CE234">
        <v>0.34230769230769231</v>
      </c>
      <c r="CF234">
        <v>0.44500000000000001</v>
      </c>
      <c r="CG234">
        <v>0.1492537313432836</v>
      </c>
      <c r="CH234">
        <v>0.48706293706293707</v>
      </c>
      <c r="CI234">
        <v>0</v>
      </c>
      <c r="CJ234">
        <v>29764</v>
      </c>
      <c r="CK234" t="s">
        <v>141</v>
      </c>
      <c r="CL234" t="s">
        <v>1244</v>
      </c>
      <c r="CM234" t="s">
        <v>143</v>
      </c>
      <c r="CN234">
        <v>0.51214757414599998</v>
      </c>
      <c r="CO234">
        <v>7.7006334136644909</v>
      </c>
      <c r="CP234">
        <v>233</v>
      </c>
      <c r="CQ234" t="s">
        <v>1018</v>
      </c>
      <c r="CR234">
        <v>144</v>
      </c>
      <c r="CS234" t="s">
        <v>650</v>
      </c>
      <c r="CT234" t="s">
        <v>651</v>
      </c>
      <c r="CU234" t="s">
        <v>640</v>
      </c>
      <c r="CV234" t="s">
        <v>652</v>
      </c>
      <c r="CW234" t="s">
        <v>653</v>
      </c>
      <c r="CX234" t="s">
        <v>654</v>
      </c>
      <c r="CY234" t="s">
        <v>655</v>
      </c>
      <c r="CZ234" t="s">
        <v>645</v>
      </c>
      <c r="DA234" t="s">
        <v>152</v>
      </c>
      <c r="DB234" t="s">
        <v>178</v>
      </c>
      <c r="DC234" t="s">
        <v>656</v>
      </c>
      <c r="DD234" t="s">
        <v>657</v>
      </c>
      <c r="DE234">
        <v>10350</v>
      </c>
      <c r="DF234">
        <v>-84.596498999999994</v>
      </c>
      <c r="DG234">
        <v>38.291331</v>
      </c>
      <c r="DH234">
        <v>4500</v>
      </c>
      <c r="DI234">
        <v>200</v>
      </c>
      <c r="DL234">
        <v>10</v>
      </c>
      <c r="DM234">
        <v>8</v>
      </c>
      <c r="DN234">
        <v>12</v>
      </c>
      <c r="DO234">
        <v>50</v>
      </c>
      <c r="DP234">
        <v>25</v>
      </c>
      <c r="DQ234">
        <v>100</v>
      </c>
      <c r="DS234" t="s">
        <v>658</v>
      </c>
      <c r="DT234">
        <v>1.2500000000000001E-2</v>
      </c>
      <c r="DU234">
        <v>1.2500000000000001E-2</v>
      </c>
      <c r="DV234">
        <v>0.32500000000000001</v>
      </c>
      <c r="DW234">
        <v>0.32500000000000001</v>
      </c>
      <c r="DX234">
        <v>0.32500000000000001</v>
      </c>
      <c r="DY234">
        <v>0</v>
      </c>
      <c r="DZ234" s="4">
        <v>3.262</v>
      </c>
      <c r="EA234" s="4" t="s">
        <v>1013</v>
      </c>
      <c r="EB234" s="4" t="s">
        <v>1014</v>
      </c>
      <c r="EC234">
        <v>4.8860000000000001</v>
      </c>
      <c r="ED234">
        <v>641</v>
      </c>
      <c r="EE234" t="s">
        <v>1243</v>
      </c>
      <c r="EF234">
        <v>0</v>
      </c>
      <c r="EH234">
        <f t="shared" si="7"/>
        <v>0.58000000000000007</v>
      </c>
      <c r="EI234">
        <v>3.38</v>
      </c>
      <c r="EJ234">
        <v>3.65</v>
      </c>
    </row>
    <row r="235" spans="1:140" x14ac:dyDescent="0.35">
      <c r="A235" s="1">
        <v>233</v>
      </c>
      <c r="B235">
        <v>-84.338159769657281</v>
      </c>
      <c r="C235">
        <v>41.7054037722109</v>
      </c>
      <c r="D235" t="s">
        <v>1245</v>
      </c>
      <c r="E235">
        <v>0.02</v>
      </c>
      <c r="F235" t="s">
        <v>160</v>
      </c>
      <c r="G235">
        <v>3.7100000000000001E-2</v>
      </c>
      <c r="H235" t="s">
        <v>161</v>
      </c>
      <c r="I235">
        <v>-9388481</v>
      </c>
      <c r="J235">
        <v>5116952</v>
      </c>
      <c r="K235" t="s">
        <v>1020</v>
      </c>
      <c r="L235" t="s">
        <v>1246</v>
      </c>
      <c r="M235">
        <v>26</v>
      </c>
      <c r="N235">
        <v>3.6589999999999998</v>
      </c>
      <c r="O235">
        <v>2</v>
      </c>
      <c r="P235">
        <v>3</v>
      </c>
      <c r="Q235">
        <v>39</v>
      </c>
      <c r="R235">
        <v>51</v>
      </c>
      <c r="S235">
        <v>42713</v>
      </c>
      <c r="T235" t="s">
        <v>800</v>
      </c>
      <c r="U235">
        <v>7.7910183558024109</v>
      </c>
      <c r="V235" t="s">
        <v>1020</v>
      </c>
      <c r="W235">
        <v>0.1129</v>
      </c>
      <c r="X235">
        <v>10</v>
      </c>
      <c r="Y235">
        <v>8.9</v>
      </c>
      <c r="Z235">
        <v>8.9</v>
      </c>
      <c r="AA235">
        <v>20</v>
      </c>
      <c r="AB235">
        <v>26</v>
      </c>
      <c r="AC235">
        <v>1.0049999999999999</v>
      </c>
      <c r="AD235">
        <v>67</v>
      </c>
      <c r="AE235">
        <v>0.15972663699936421</v>
      </c>
      <c r="AF235">
        <v>2.86</v>
      </c>
      <c r="AG235" t="s">
        <v>800</v>
      </c>
      <c r="AH235" t="s">
        <v>1020</v>
      </c>
      <c r="AI235">
        <v>27</v>
      </c>
      <c r="AJ235">
        <v>8.9999999999999993E-3</v>
      </c>
      <c r="AK235">
        <v>9</v>
      </c>
      <c r="AL235" t="s">
        <v>1247</v>
      </c>
      <c r="AM235">
        <v>0</v>
      </c>
      <c r="AN235">
        <v>1.58</v>
      </c>
      <c r="AO235">
        <v>0.09</v>
      </c>
      <c r="AP235">
        <v>0.19</v>
      </c>
      <c r="AQ235">
        <v>1.29</v>
      </c>
      <c r="AR235">
        <v>1.23</v>
      </c>
      <c r="AS235">
        <v>0.04</v>
      </c>
      <c r="AT235">
        <v>0.01</v>
      </c>
      <c r="AU235">
        <v>0.02</v>
      </c>
      <c r="AV235">
        <v>2.5499999999999998</v>
      </c>
      <c r="AW235">
        <v>1.56</v>
      </c>
      <c r="AX235">
        <v>0.21</v>
      </c>
      <c r="AY235">
        <v>0.53</v>
      </c>
      <c r="AZ235">
        <v>0</v>
      </c>
      <c r="BA235">
        <v>1.31</v>
      </c>
      <c r="BB235">
        <v>0.08</v>
      </c>
      <c r="BC235">
        <v>0.17</v>
      </c>
      <c r="BD235">
        <v>0.27</v>
      </c>
      <c r="BE235">
        <v>6.83</v>
      </c>
      <c r="BF235">
        <v>6.14</v>
      </c>
      <c r="BG235">
        <v>0.24</v>
      </c>
      <c r="BH235">
        <v>0.45</v>
      </c>
      <c r="BI235">
        <v>0</v>
      </c>
      <c r="BJ235">
        <v>0.04</v>
      </c>
      <c r="BK235">
        <v>6.1</v>
      </c>
      <c r="BL235">
        <v>0</v>
      </c>
      <c r="BM235">
        <v>2.0699999999999998</v>
      </c>
      <c r="BN235">
        <v>0.21</v>
      </c>
      <c r="BO235">
        <v>0.46</v>
      </c>
      <c r="BP235">
        <v>1.4</v>
      </c>
      <c r="BQ235">
        <v>1.22</v>
      </c>
      <c r="BR235">
        <v>0.06</v>
      </c>
      <c r="BS235">
        <v>0.12</v>
      </c>
      <c r="BT235">
        <v>0</v>
      </c>
      <c r="BU235">
        <v>7.24</v>
      </c>
      <c r="BV235">
        <v>6.18</v>
      </c>
      <c r="BW235">
        <v>0.34</v>
      </c>
      <c r="BX235">
        <v>0.72</v>
      </c>
      <c r="BY235">
        <v>0</v>
      </c>
      <c r="BZ235">
        <v>0.04</v>
      </c>
      <c r="CA235">
        <v>6.14</v>
      </c>
      <c r="CB235">
        <v>0</v>
      </c>
      <c r="CC235">
        <f t="shared" si="6"/>
        <v>2.75</v>
      </c>
      <c r="CD235">
        <v>3.96</v>
      </c>
      <c r="CE235">
        <v>0.34230769230769231</v>
      </c>
      <c r="CF235">
        <v>0.44500000000000001</v>
      </c>
      <c r="CG235">
        <v>0.1492537313432836</v>
      </c>
      <c r="CH235">
        <v>0.35139860139860141</v>
      </c>
      <c r="CI235">
        <v>0</v>
      </c>
      <c r="CJ235">
        <v>31735</v>
      </c>
      <c r="CK235" t="s">
        <v>141</v>
      </c>
      <c r="CL235" t="s">
        <v>1248</v>
      </c>
      <c r="CM235" t="s">
        <v>143</v>
      </c>
      <c r="CN235">
        <v>0.39910105303900001</v>
      </c>
      <c r="CO235">
        <v>9.3796300283653107</v>
      </c>
      <c r="CP235">
        <v>234</v>
      </c>
      <c r="CQ235" t="s">
        <v>1018</v>
      </c>
      <c r="CR235">
        <v>144</v>
      </c>
      <c r="CS235" t="s">
        <v>650</v>
      </c>
      <c r="CT235" t="s">
        <v>651</v>
      </c>
      <c r="CU235" t="s">
        <v>640</v>
      </c>
      <c r="CV235" t="s">
        <v>652</v>
      </c>
      <c r="CW235" t="s">
        <v>653</v>
      </c>
      <c r="CX235" t="s">
        <v>654</v>
      </c>
      <c r="CY235" t="s">
        <v>655</v>
      </c>
      <c r="CZ235" t="s">
        <v>645</v>
      </c>
      <c r="DA235" t="s">
        <v>152</v>
      </c>
      <c r="DB235" t="s">
        <v>178</v>
      </c>
      <c r="DC235" t="s">
        <v>656</v>
      </c>
      <c r="DD235" t="s">
        <v>657</v>
      </c>
      <c r="DE235">
        <v>10350</v>
      </c>
      <c r="DF235">
        <v>-84.596498999999994</v>
      </c>
      <c r="DG235">
        <v>38.291331</v>
      </c>
      <c r="DH235">
        <v>4500</v>
      </c>
      <c r="DI235">
        <v>200</v>
      </c>
      <c r="DL235">
        <v>10</v>
      </c>
      <c r="DM235">
        <v>8</v>
      </c>
      <c r="DN235">
        <v>12</v>
      </c>
      <c r="DO235">
        <v>50</v>
      </c>
      <c r="DP235">
        <v>25</v>
      </c>
      <c r="DQ235">
        <v>100</v>
      </c>
      <c r="DS235" t="s">
        <v>658</v>
      </c>
      <c r="DT235">
        <v>1.2500000000000001E-2</v>
      </c>
      <c r="DU235">
        <v>1.2500000000000001E-2</v>
      </c>
      <c r="DV235">
        <v>0.32500000000000001</v>
      </c>
      <c r="DW235">
        <v>0.32500000000000001</v>
      </c>
      <c r="DX235">
        <v>0.32500000000000001</v>
      </c>
      <c r="DY235">
        <v>0</v>
      </c>
      <c r="DZ235" s="4">
        <v>3.8639999999999999</v>
      </c>
      <c r="EA235" s="4" t="s">
        <v>788</v>
      </c>
      <c r="EB235" s="4" t="s">
        <v>1023</v>
      </c>
      <c r="EC235">
        <v>4.7919999999999998</v>
      </c>
      <c r="ED235">
        <v>907</v>
      </c>
      <c r="EE235" t="s">
        <v>1247</v>
      </c>
      <c r="EF235">
        <v>0</v>
      </c>
      <c r="EH235">
        <f t="shared" si="7"/>
        <v>0.58000000000000007</v>
      </c>
      <c r="EI235">
        <v>3.38</v>
      </c>
      <c r="EJ235">
        <v>3.65</v>
      </c>
    </row>
    <row r="236" spans="1:140" x14ac:dyDescent="0.35">
      <c r="A236" s="1">
        <v>234</v>
      </c>
      <c r="B236">
        <v>-82.541529201418243</v>
      </c>
      <c r="C236">
        <v>41.7054037722109</v>
      </c>
      <c r="D236" t="s">
        <v>1249</v>
      </c>
      <c r="E236">
        <v>0.1</v>
      </c>
      <c r="F236" t="s">
        <v>135</v>
      </c>
      <c r="G236">
        <v>3.7100000000000001E-2</v>
      </c>
      <c r="H236" t="s">
        <v>161</v>
      </c>
      <c r="I236">
        <v>-9188481</v>
      </c>
      <c r="J236">
        <v>5116952</v>
      </c>
      <c r="K236" t="s">
        <v>1020</v>
      </c>
      <c r="L236" t="s">
        <v>1250</v>
      </c>
      <c r="T236" t="s">
        <v>800</v>
      </c>
      <c r="U236">
        <v>7.7910183558024109</v>
      </c>
      <c r="V236" t="s">
        <v>1020</v>
      </c>
      <c r="W236">
        <v>0.1129</v>
      </c>
      <c r="X236">
        <v>10</v>
      </c>
      <c r="Y236">
        <v>8.9</v>
      </c>
      <c r="Z236">
        <v>8.9</v>
      </c>
      <c r="AA236">
        <v>20</v>
      </c>
      <c r="AB236">
        <v>26</v>
      </c>
      <c r="AC236">
        <v>1.0049999999999999</v>
      </c>
      <c r="AD236">
        <v>67</v>
      </c>
      <c r="AE236">
        <v>0.15972663699936421</v>
      </c>
      <c r="AF236">
        <v>2.86</v>
      </c>
      <c r="AG236" t="s">
        <v>800</v>
      </c>
      <c r="AH236" t="s">
        <v>1020</v>
      </c>
      <c r="AI236">
        <v>27</v>
      </c>
      <c r="AJ236">
        <v>8.9999999999999993E-3</v>
      </c>
      <c r="AK236">
        <v>9</v>
      </c>
      <c r="AL236" t="s">
        <v>1251</v>
      </c>
      <c r="AM236">
        <v>19018.192659590331</v>
      </c>
      <c r="AN236">
        <v>1.58</v>
      </c>
      <c r="AO236">
        <v>0.09</v>
      </c>
      <c r="AP236">
        <v>0.19</v>
      </c>
      <c r="AQ236">
        <v>1.29</v>
      </c>
      <c r="AR236">
        <v>1.23</v>
      </c>
      <c r="AS236">
        <v>0.04</v>
      </c>
      <c r="AT236">
        <v>0.01</v>
      </c>
      <c r="AU236">
        <v>0.02</v>
      </c>
      <c r="AV236">
        <v>2.5499999999999998</v>
      </c>
      <c r="AW236">
        <v>1.56</v>
      </c>
      <c r="AX236">
        <v>0.21</v>
      </c>
      <c r="AY236">
        <v>0.53</v>
      </c>
      <c r="AZ236">
        <v>0</v>
      </c>
      <c r="BA236">
        <v>1.31</v>
      </c>
      <c r="BB236">
        <v>0.08</v>
      </c>
      <c r="BC236">
        <v>0.17</v>
      </c>
      <c r="BD236">
        <v>0.27</v>
      </c>
      <c r="BE236">
        <v>6.83</v>
      </c>
      <c r="BF236">
        <v>6.14</v>
      </c>
      <c r="BG236">
        <v>0.24</v>
      </c>
      <c r="BH236">
        <v>0.45</v>
      </c>
      <c r="BI236">
        <v>0</v>
      </c>
      <c r="BJ236">
        <v>0.04</v>
      </c>
      <c r="BK236">
        <v>6.1</v>
      </c>
      <c r="BL236">
        <v>0</v>
      </c>
      <c r="BM236">
        <v>2.0699999999999998</v>
      </c>
      <c r="BN236">
        <v>0.21</v>
      </c>
      <c r="BO236">
        <v>0.46</v>
      </c>
      <c r="BP236">
        <v>1.4</v>
      </c>
      <c r="BQ236">
        <v>1.22</v>
      </c>
      <c r="BR236">
        <v>0.06</v>
      </c>
      <c r="BS236">
        <v>0.12</v>
      </c>
      <c r="BT236">
        <v>0</v>
      </c>
      <c r="BU236">
        <v>7.24</v>
      </c>
      <c r="BV236">
        <v>6.18</v>
      </c>
      <c r="BW236">
        <v>0.34</v>
      </c>
      <c r="BX236">
        <v>0.72</v>
      </c>
      <c r="BY236">
        <v>0</v>
      </c>
      <c r="BZ236">
        <v>0.04</v>
      </c>
      <c r="CA236">
        <v>6.14</v>
      </c>
      <c r="CB236">
        <v>0</v>
      </c>
      <c r="CC236">
        <f t="shared" si="6"/>
        <v>2.75</v>
      </c>
      <c r="CD236">
        <v>3.96</v>
      </c>
      <c r="CE236">
        <v>0.34230769230769231</v>
      </c>
      <c r="CF236">
        <v>0.44500000000000001</v>
      </c>
      <c r="CG236">
        <v>0.1492537313432836</v>
      </c>
      <c r="CH236">
        <v>0.35139860139860141</v>
      </c>
      <c r="CI236">
        <v>0</v>
      </c>
      <c r="CJ236">
        <v>2171</v>
      </c>
      <c r="CK236" t="s">
        <v>141</v>
      </c>
      <c r="CL236" t="s">
        <v>914</v>
      </c>
      <c r="CM236" t="s">
        <v>143</v>
      </c>
      <c r="CN236">
        <v>0.17676683523200001</v>
      </c>
      <c r="CO236">
        <v>25.089016266111489</v>
      </c>
      <c r="CP236">
        <v>235</v>
      </c>
      <c r="CQ236" t="s">
        <v>1134</v>
      </c>
      <c r="CR236">
        <v>141</v>
      </c>
      <c r="CS236" t="s">
        <v>1135</v>
      </c>
      <c r="CT236" t="s">
        <v>651</v>
      </c>
      <c r="CU236" t="s">
        <v>1136</v>
      </c>
      <c r="CV236" t="s">
        <v>1137</v>
      </c>
      <c r="CW236" t="s">
        <v>1138</v>
      </c>
      <c r="CX236" t="s">
        <v>1139</v>
      </c>
      <c r="CY236" t="s">
        <v>1140</v>
      </c>
      <c r="CZ236" t="s">
        <v>686</v>
      </c>
      <c r="DA236" t="s">
        <v>152</v>
      </c>
      <c r="DB236" t="s">
        <v>178</v>
      </c>
      <c r="DC236" t="s">
        <v>656</v>
      </c>
      <c r="DD236" t="s">
        <v>657</v>
      </c>
      <c r="DE236">
        <v>4788</v>
      </c>
      <c r="DF236">
        <v>-83.666839999999993</v>
      </c>
      <c r="DG236">
        <v>42.225355</v>
      </c>
      <c r="DH236">
        <v>4000</v>
      </c>
      <c r="DI236">
        <v>250</v>
      </c>
      <c r="DL236">
        <v>12</v>
      </c>
      <c r="DM236">
        <v>10</v>
      </c>
      <c r="DN236">
        <v>14</v>
      </c>
      <c r="DO236">
        <v>125</v>
      </c>
      <c r="DP236">
        <v>60</v>
      </c>
      <c r="DQ236">
        <v>250</v>
      </c>
      <c r="DS236" t="s">
        <v>658</v>
      </c>
      <c r="DT236">
        <v>1.2500000000000001E-2</v>
      </c>
      <c r="DU236">
        <v>1.2500000000000001E-2</v>
      </c>
      <c r="DV236">
        <v>0.32500000000000001</v>
      </c>
      <c r="DW236">
        <v>0.32500000000000001</v>
      </c>
      <c r="DX236">
        <v>0.32500000000000001</v>
      </c>
      <c r="DY236">
        <v>14.86126535156172</v>
      </c>
      <c r="DZ236" s="4">
        <v>3.8639999999999999</v>
      </c>
      <c r="EA236" s="4" t="s">
        <v>788</v>
      </c>
      <c r="EB236" s="4" t="s">
        <v>1023</v>
      </c>
      <c r="EC236">
        <v>4.7919999999999998</v>
      </c>
      <c r="ED236">
        <v>198</v>
      </c>
      <c r="EE236" t="s">
        <v>1251</v>
      </c>
      <c r="EF236">
        <v>0.15479168570068599</v>
      </c>
      <c r="EH236">
        <f t="shared" si="7"/>
        <v>0.58000000000000007</v>
      </c>
      <c r="EI236">
        <v>3.38</v>
      </c>
      <c r="EJ236">
        <v>3.65</v>
      </c>
    </row>
    <row r="237" spans="1:140" x14ac:dyDescent="0.35">
      <c r="A237" s="1">
        <v>235</v>
      </c>
      <c r="B237">
        <v>-80.74489863317919</v>
      </c>
      <c r="C237">
        <v>41.7054037722109</v>
      </c>
      <c r="D237" t="s">
        <v>1252</v>
      </c>
      <c r="E237">
        <v>0.02</v>
      </c>
      <c r="F237" t="s">
        <v>160</v>
      </c>
      <c r="G237">
        <v>3.7100000000000001E-2</v>
      </c>
      <c r="H237" t="s">
        <v>161</v>
      </c>
      <c r="I237">
        <v>-8988481</v>
      </c>
      <c r="J237">
        <v>5116952</v>
      </c>
      <c r="K237" t="s">
        <v>1020</v>
      </c>
      <c r="L237" t="s">
        <v>1253</v>
      </c>
      <c r="M237">
        <v>4</v>
      </c>
      <c r="N237">
        <v>3.7240000000000002</v>
      </c>
      <c r="O237">
        <v>2</v>
      </c>
      <c r="P237">
        <v>3</v>
      </c>
      <c r="Q237">
        <v>39</v>
      </c>
      <c r="R237">
        <v>7</v>
      </c>
      <c r="S237">
        <v>97596</v>
      </c>
      <c r="T237" t="s">
        <v>800</v>
      </c>
      <c r="U237">
        <v>7.7910183558024109</v>
      </c>
      <c r="V237" t="s">
        <v>1020</v>
      </c>
      <c r="W237">
        <v>0.1129</v>
      </c>
      <c r="X237">
        <v>10</v>
      </c>
      <c r="Y237">
        <v>8.9</v>
      </c>
      <c r="Z237">
        <v>8.9</v>
      </c>
      <c r="AA237">
        <v>20</v>
      </c>
      <c r="AB237">
        <v>26</v>
      </c>
      <c r="AC237">
        <v>1.0049999999999999</v>
      </c>
      <c r="AD237">
        <v>67</v>
      </c>
      <c r="AE237">
        <v>0.15972663699936421</v>
      </c>
      <c r="AF237">
        <v>2.86</v>
      </c>
      <c r="AG237" t="s">
        <v>800</v>
      </c>
      <c r="AH237" t="s">
        <v>1020</v>
      </c>
      <c r="AI237">
        <v>27</v>
      </c>
      <c r="AJ237">
        <v>8.9999999999999993E-3</v>
      </c>
      <c r="AK237">
        <v>9</v>
      </c>
      <c r="AL237" t="s">
        <v>1254</v>
      </c>
      <c r="AM237">
        <v>0</v>
      </c>
      <c r="AN237">
        <v>1.58</v>
      </c>
      <c r="AO237">
        <v>0.09</v>
      </c>
      <c r="AP237">
        <v>0.19</v>
      </c>
      <c r="AQ237">
        <v>1.29</v>
      </c>
      <c r="AR237">
        <v>1.23</v>
      </c>
      <c r="AS237">
        <v>0.04</v>
      </c>
      <c r="AT237">
        <v>0.01</v>
      </c>
      <c r="AU237">
        <v>0.02</v>
      </c>
      <c r="AV237">
        <v>2.5499999999999998</v>
      </c>
      <c r="AW237">
        <v>1.56</v>
      </c>
      <c r="AX237">
        <v>0.21</v>
      </c>
      <c r="AY237">
        <v>0.53</v>
      </c>
      <c r="AZ237">
        <v>0</v>
      </c>
      <c r="BA237">
        <v>1.31</v>
      </c>
      <c r="BB237">
        <v>0.08</v>
      </c>
      <c r="BC237">
        <v>0.17</v>
      </c>
      <c r="BD237">
        <v>0.27</v>
      </c>
      <c r="BE237">
        <v>6.83</v>
      </c>
      <c r="BF237">
        <v>6.14</v>
      </c>
      <c r="BG237">
        <v>0.24</v>
      </c>
      <c r="BH237">
        <v>0.45</v>
      </c>
      <c r="BI237">
        <v>0</v>
      </c>
      <c r="BJ237">
        <v>0.04</v>
      </c>
      <c r="BK237">
        <v>6.1</v>
      </c>
      <c r="BL237">
        <v>0</v>
      </c>
      <c r="BM237">
        <v>2.0699999999999998</v>
      </c>
      <c r="BN237">
        <v>0.21</v>
      </c>
      <c r="BO237">
        <v>0.46</v>
      </c>
      <c r="BP237">
        <v>1.4</v>
      </c>
      <c r="BQ237">
        <v>1.22</v>
      </c>
      <c r="BR237">
        <v>0.06</v>
      </c>
      <c r="BS237">
        <v>0.12</v>
      </c>
      <c r="BT237">
        <v>0</v>
      </c>
      <c r="BU237">
        <v>7.24</v>
      </c>
      <c r="BV237">
        <v>6.18</v>
      </c>
      <c r="BW237">
        <v>0.34</v>
      </c>
      <c r="BX237">
        <v>0.72</v>
      </c>
      <c r="BY237">
        <v>0</v>
      </c>
      <c r="BZ237">
        <v>0.04</v>
      </c>
      <c r="CA237">
        <v>6.14</v>
      </c>
      <c r="CB237">
        <v>0</v>
      </c>
      <c r="CC237">
        <f t="shared" si="6"/>
        <v>2.75</v>
      </c>
      <c r="CD237">
        <v>3.96</v>
      </c>
      <c r="CE237">
        <v>0.34230769230769231</v>
      </c>
      <c r="CF237">
        <v>0.44500000000000001</v>
      </c>
      <c r="CG237">
        <v>0.1492537313432836</v>
      </c>
      <c r="CH237">
        <v>0.35139860139860141</v>
      </c>
      <c r="CI237">
        <v>0</v>
      </c>
      <c r="CJ237">
        <v>1448</v>
      </c>
      <c r="CK237" t="s">
        <v>169</v>
      </c>
      <c r="CL237" t="s">
        <v>1255</v>
      </c>
      <c r="CM237" t="s">
        <v>143</v>
      </c>
      <c r="CN237">
        <v>0.25417982492300001</v>
      </c>
      <c r="CO237">
        <v>0.92697185463519149</v>
      </c>
      <c r="CP237">
        <v>236</v>
      </c>
      <c r="CQ237" t="s">
        <v>1022</v>
      </c>
      <c r="CR237">
        <v>143</v>
      </c>
      <c r="CS237" t="s">
        <v>799</v>
      </c>
      <c r="CT237" t="s">
        <v>651</v>
      </c>
      <c r="CU237" t="s">
        <v>800</v>
      </c>
      <c r="CV237" t="s">
        <v>801</v>
      </c>
      <c r="CW237" t="s">
        <v>802</v>
      </c>
      <c r="CX237" t="s">
        <v>803</v>
      </c>
      <c r="CY237" t="s">
        <v>804</v>
      </c>
      <c r="CZ237" t="s">
        <v>645</v>
      </c>
      <c r="DA237" t="s">
        <v>152</v>
      </c>
      <c r="DB237" t="s">
        <v>178</v>
      </c>
      <c r="DC237" t="s">
        <v>656</v>
      </c>
      <c r="DD237" t="s">
        <v>657</v>
      </c>
      <c r="DE237">
        <v>21400</v>
      </c>
      <c r="DF237">
        <v>-83.760228999999995</v>
      </c>
      <c r="DG237">
        <v>40.092838999999998</v>
      </c>
      <c r="DH237">
        <v>3000</v>
      </c>
      <c r="DI237">
        <v>200</v>
      </c>
      <c r="DL237">
        <v>12</v>
      </c>
      <c r="DM237">
        <v>10</v>
      </c>
      <c r="DN237">
        <v>14</v>
      </c>
      <c r="DO237">
        <v>125</v>
      </c>
      <c r="DP237">
        <v>60</v>
      </c>
      <c r="DQ237">
        <v>250</v>
      </c>
      <c r="DS237" t="s">
        <v>658</v>
      </c>
      <c r="DT237">
        <v>1.2500000000000001E-2</v>
      </c>
      <c r="DU237">
        <v>1.2500000000000001E-2</v>
      </c>
      <c r="DV237">
        <v>0.32500000000000001</v>
      </c>
      <c r="DW237">
        <v>0.32500000000000001</v>
      </c>
      <c r="DX237">
        <v>0.32500000000000001</v>
      </c>
      <c r="DY237">
        <v>0</v>
      </c>
      <c r="DZ237" s="4">
        <v>3.8639999999999999</v>
      </c>
      <c r="EA237" s="4" t="s">
        <v>788</v>
      </c>
      <c r="EB237" s="4" t="s">
        <v>1023</v>
      </c>
      <c r="EC237">
        <v>4.7919999999999998</v>
      </c>
      <c r="ED237">
        <v>609</v>
      </c>
      <c r="EE237" t="s">
        <v>1254</v>
      </c>
      <c r="EF237">
        <v>0</v>
      </c>
      <c r="EH237">
        <f t="shared" si="7"/>
        <v>0.58000000000000007</v>
      </c>
      <c r="EI237">
        <v>3.38</v>
      </c>
      <c r="EJ237">
        <v>3.65</v>
      </c>
    </row>
    <row r="238" spans="1:140" x14ac:dyDescent="0.35">
      <c r="A238" s="1">
        <v>236</v>
      </c>
      <c r="B238">
        <v>-78.948268064940152</v>
      </c>
      <c r="C238">
        <v>41.7054037722109</v>
      </c>
      <c r="D238" t="s">
        <v>1256</v>
      </c>
      <c r="E238">
        <v>0.02</v>
      </c>
      <c r="F238" t="s">
        <v>160</v>
      </c>
      <c r="G238">
        <v>3.7100000000000001E-2</v>
      </c>
      <c r="H238" t="s">
        <v>161</v>
      </c>
      <c r="I238">
        <v>-8788481</v>
      </c>
      <c r="J238">
        <v>5116952</v>
      </c>
      <c r="K238" t="s">
        <v>1144</v>
      </c>
      <c r="L238" t="s">
        <v>1257</v>
      </c>
      <c r="T238" t="s">
        <v>1146</v>
      </c>
      <c r="U238">
        <v>9.0305121245715299</v>
      </c>
      <c r="V238" t="s">
        <v>1144</v>
      </c>
      <c r="W238">
        <v>0.12509999999999999</v>
      </c>
      <c r="X238">
        <v>10</v>
      </c>
      <c r="Y238">
        <v>8.9</v>
      </c>
      <c r="Z238">
        <v>8.9</v>
      </c>
      <c r="AA238">
        <v>20</v>
      </c>
      <c r="AB238">
        <v>26</v>
      </c>
      <c r="AC238">
        <v>0.65900000000000003</v>
      </c>
      <c r="AD238">
        <v>67</v>
      </c>
      <c r="AE238">
        <v>0.1047361729179911</v>
      </c>
      <c r="AF238">
        <v>2.86</v>
      </c>
      <c r="AG238" t="s">
        <v>1146</v>
      </c>
      <c r="AH238" t="s">
        <v>1144</v>
      </c>
      <c r="AI238">
        <v>31</v>
      </c>
      <c r="AJ238">
        <v>1.033333333333333E-2</v>
      </c>
      <c r="AK238">
        <v>10.33333333333333</v>
      </c>
      <c r="AL238" t="s">
        <v>1258</v>
      </c>
      <c r="AM238">
        <v>0</v>
      </c>
      <c r="AN238">
        <v>1.78</v>
      </c>
      <c r="AO238">
        <v>0.09</v>
      </c>
      <c r="AP238">
        <v>0.19</v>
      </c>
      <c r="AQ238">
        <v>1.49</v>
      </c>
      <c r="AR238">
        <v>1.43</v>
      </c>
      <c r="AS238">
        <v>0.04</v>
      </c>
      <c r="AT238">
        <v>0.02</v>
      </c>
      <c r="AU238">
        <v>0.02</v>
      </c>
      <c r="AV238">
        <v>2.79</v>
      </c>
      <c r="AW238">
        <v>1.79</v>
      </c>
      <c r="AX238">
        <v>0.21</v>
      </c>
      <c r="AY238">
        <v>0.53</v>
      </c>
      <c r="AZ238">
        <v>0</v>
      </c>
      <c r="BA238">
        <v>1.52</v>
      </c>
      <c r="BB238">
        <v>0.08</v>
      </c>
      <c r="BC238">
        <v>0.2</v>
      </c>
      <c r="BD238">
        <v>0.27</v>
      </c>
      <c r="BE238">
        <v>7.94</v>
      </c>
      <c r="BF238">
        <v>7.25</v>
      </c>
      <c r="BG238">
        <v>0.24</v>
      </c>
      <c r="BH238">
        <v>0.45</v>
      </c>
      <c r="BI238">
        <v>0</v>
      </c>
      <c r="BJ238">
        <v>0.04</v>
      </c>
      <c r="BK238">
        <v>7.21</v>
      </c>
      <c r="BL238">
        <v>0</v>
      </c>
      <c r="BM238">
        <v>2.2799999999999998</v>
      </c>
      <c r="BN238">
        <v>0.21</v>
      </c>
      <c r="BO238">
        <v>0.46</v>
      </c>
      <c r="BP238">
        <v>1.61</v>
      </c>
      <c r="BQ238">
        <v>1.41</v>
      </c>
      <c r="BR238">
        <v>0.06</v>
      </c>
      <c r="BS238">
        <v>0.14000000000000001</v>
      </c>
      <c r="BT238">
        <v>0</v>
      </c>
      <c r="BU238">
        <v>8.35</v>
      </c>
      <c r="BV238">
        <v>7.29</v>
      </c>
      <c r="BW238">
        <v>0.34</v>
      </c>
      <c r="BX238">
        <v>0.72</v>
      </c>
      <c r="BY238">
        <v>0</v>
      </c>
      <c r="BZ238">
        <v>0.04</v>
      </c>
      <c r="CA238">
        <v>7.25</v>
      </c>
      <c r="CB238">
        <v>0</v>
      </c>
      <c r="CC238">
        <f t="shared" si="6"/>
        <v>2.75</v>
      </c>
      <c r="CD238">
        <v>3.96</v>
      </c>
      <c r="CE238">
        <v>0.34230769230769231</v>
      </c>
      <c r="CF238">
        <v>0.44500000000000001</v>
      </c>
      <c r="CG238">
        <v>0.1492537313432836</v>
      </c>
      <c r="CH238">
        <v>0.23041958041958041</v>
      </c>
      <c r="CI238">
        <v>0</v>
      </c>
      <c r="CJ238">
        <v>11363</v>
      </c>
      <c r="CK238" t="s">
        <v>141</v>
      </c>
      <c r="CL238" t="s">
        <v>1259</v>
      </c>
      <c r="CM238" t="s">
        <v>143</v>
      </c>
      <c r="CN238">
        <v>8.4211999999999995E-2</v>
      </c>
      <c r="CO238">
        <v>0.25465807078536029</v>
      </c>
      <c r="CP238">
        <v>237</v>
      </c>
      <c r="CQ238" t="s">
        <v>798</v>
      </c>
      <c r="CR238">
        <v>143</v>
      </c>
      <c r="CS238" t="s">
        <v>799</v>
      </c>
      <c r="CT238" t="s">
        <v>651</v>
      </c>
      <c r="CU238" t="s">
        <v>800</v>
      </c>
      <c r="CV238" t="s">
        <v>801</v>
      </c>
      <c r="CW238" t="s">
        <v>802</v>
      </c>
      <c r="CX238" t="s">
        <v>803</v>
      </c>
      <c r="CY238" t="s">
        <v>804</v>
      </c>
      <c r="CZ238" t="s">
        <v>645</v>
      </c>
      <c r="DA238" t="s">
        <v>152</v>
      </c>
      <c r="DB238" t="s">
        <v>178</v>
      </c>
      <c r="DC238" t="s">
        <v>656</v>
      </c>
      <c r="DD238" t="s">
        <v>657</v>
      </c>
      <c r="DE238">
        <v>21400</v>
      </c>
      <c r="DF238">
        <v>-83.760228999999995</v>
      </c>
      <c r="DG238">
        <v>40.092838999999998</v>
      </c>
      <c r="DH238">
        <v>3000</v>
      </c>
      <c r="DI238">
        <v>200</v>
      </c>
      <c r="DL238">
        <v>12</v>
      </c>
      <c r="DM238">
        <v>10</v>
      </c>
      <c r="DN238">
        <v>14</v>
      </c>
      <c r="DO238">
        <v>125</v>
      </c>
      <c r="DP238">
        <v>60</v>
      </c>
      <c r="DQ238">
        <v>250</v>
      </c>
      <c r="DS238" t="s">
        <v>658</v>
      </c>
      <c r="DT238">
        <v>1.2500000000000001E-2</v>
      </c>
      <c r="DU238">
        <v>1.2500000000000001E-2</v>
      </c>
      <c r="DV238">
        <v>0.32500000000000001</v>
      </c>
      <c r="DW238">
        <v>0.32500000000000001</v>
      </c>
      <c r="DX238">
        <v>0.32500000000000001</v>
      </c>
      <c r="DY238">
        <v>0</v>
      </c>
      <c r="DZ238" s="4">
        <v>3.996</v>
      </c>
      <c r="EA238" s="4" t="s">
        <v>1150</v>
      </c>
      <c r="EB238" s="4" t="s">
        <v>1151</v>
      </c>
      <c r="EC238">
        <v>5.3650000000000002</v>
      </c>
      <c r="ED238">
        <v>860</v>
      </c>
      <c r="EE238" t="s">
        <v>1258</v>
      </c>
      <c r="EF238">
        <v>0</v>
      </c>
      <c r="EH238">
        <f t="shared" si="7"/>
        <v>0.58000000000000007</v>
      </c>
      <c r="EI238">
        <v>3.38</v>
      </c>
      <c r="EJ238">
        <v>3.65</v>
      </c>
    </row>
    <row r="239" spans="1:140" x14ac:dyDescent="0.35">
      <c r="A239" s="1">
        <v>237</v>
      </c>
      <c r="B239">
        <v>-77.151637496701113</v>
      </c>
      <c r="C239">
        <v>41.7054037722109</v>
      </c>
      <c r="D239" t="s">
        <v>1260</v>
      </c>
      <c r="E239">
        <v>0.02</v>
      </c>
      <c r="F239" t="s">
        <v>160</v>
      </c>
      <c r="G239">
        <v>3.7100000000000001E-2</v>
      </c>
      <c r="H239" t="s">
        <v>161</v>
      </c>
      <c r="I239">
        <v>-8588481</v>
      </c>
      <c r="J239">
        <v>5116952</v>
      </c>
      <c r="K239" t="s">
        <v>1144</v>
      </c>
      <c r="L239" t="s">
        <v>1261</v>
      </c>
      <c r="M239">
        <v>59</v>
      </c>
      <c r="N239">
        <v>3.9060000000000001</v>
      </c>
      <c r="O239">
        <v>1</v>
      </c>
      <c r="P239">
        <v>2</v>
      </c>
      <c r="Q239">
        <v>42</v>
      </c>
      <c r="R239">
        <v>117</v>
      </c>
      <c r="S239">
        <v>41046</v>
      </c>
      <c r="T239" t="s">
        <v>1146</v>
      </c>
      <c r="U239">
        <v>9.0305121245715299</v>
      </c>
      <c r="V239" t="s">
        <v>1144</v>
      </c>
      <c r="W239">
        <v>0.12509999999999999</v>
      </c>
      <c r="X239">
        <v>10</v>
      </c>
      <c r="Y239">
        <v>8.9</v>
      </c>
      <c r="Z239">
        <v>8.9</v>
      </c>
      <c r="AA239">
        <v>20</v>
      </c>
      <c r="AB239">
        <v>26</v>
      </c>
      <c r="AC239">
        <v>0.65900000000000003</v>
      </c>
      <c r="AD239">
        <v>67</v>
      </c>
      <c r="AE239">
        <v>0.1047361729179911</v>
      </c>
      <c r="AF239">
        <v>2.86</v>
      </c>
      <c r="AG239" t="s">
        <v>1146</v>
      </c>
      <c r="AH239" t="s">
        <v>1144</v>
      </c>
      <c r="AI239">
        <v>31</v>
      </c>
      <c r="AJ239">
        <v>1.033333333333333E-2</v>
      </c>
      <c r="AK239">
        <v>10.33333333333333</v>
      </c>
      <c r="AL239" t="s">
        <v>1262</v>
      </c>
      <c r="AM239">
        <v>23624.14075995185</v>
      </c>
      <c r="AN239">
        <v>1.78</v>
      </c>
      <c r="AO239">
        <v>0.09</v>
      </c>
      <c r="AP239">
        <v>0.19</v>
      </c>
      <c r="AQ239">
        <v>1.49</v>
      </c>
      <c r="AR239">
        <v>1.43</v>
      </c>
      <c r="AS239">
        <v>0.04</v>
      </c>
      <c r="AT239">
        <v>0.02</v>
      </c>
      <c r="AU239">
        <v>0.02</v>
      </c>
      <c r="AV239">
        <v>2.79</v>
      </c>
      <c r="AW239">
        <v>1.79</v>
      </c>
      <c r="AX239">
        <v>0.21</v>
      </c>
      <c r="AY239">
        <v>0.53</v>
      </c>
      <c r="AZ239">
        <v>0</v>
      </c>
      <c r="BA239">
        <v>1.52</v>
      </c>
      <c r="BB239">
        <v>0.08</v>
      </c>
      <c r="BC239">
        <v>0.2</v>
      </c>
      <c r="BD239">
        <v>0.27</v>
      </c>
      <c r="BE239">
        <v>7.94</v>
      </c>
      <c r="BF239">
        <v>7.25</v>
      </c>
      <c r="BG239">
        <v>0.24</v>
      </c>
      <c r="BH239">
        <v>0.45</v>
      </c>
      <c r="BI239">
        <v>0</v>
      </c>
      <c r="BJ239">
        <v>0.04</v>
      </c>
      <c r="BK239">
        <v>7.21</v>
      </c>
      <c r="BL239">
        <v>0</v>
      </c>
      <c r="BM239">
        <v>2.2799999999999998</v>
      </c>
      <c r="BN239">
        <v>0.21</v>
      </c>
      <c r="BO239">
        <v>0.46</v>
      </c>
      <c r="BP239">
        <v>1.61</v>
      </c>
      <c r="BQ239">
        <v>1.41</v>
      </c>
      <c r="BR239">
        <v>0.06</v>
      </c>
      <c r="BS239">
        <v>0.14000000000000001</v>
      </c>
      <c r="BT239">
        <v>0</v>
      </c>
      <c r="BU239">
        <v>8.35</v>
      </c>
      <c r="BV239">
        <v>7.29</v>
      </c>
      <c r="BW239">
        <v>0.34</v>
      </c>
      <c r="BX239">
        <v>0.72</v>
      </c>
      <c r="BY239">
        <v>0</v>
      </c>
      <c r="BZ239">
        <v>0.04</v>
      </c>
      <c r="CA239">
        <v>7.25</v>
      </c>
      <c r="CB239">
        <v>0</v>
      </c>
      <c r="CC239">
        <f t="shared" si="6"/>
        <v>2.75</v>
      </c>
      <c r="CD239">
        <v>3.96</v>
      </c>
      <c r="CE239">
        <v>0.34230769230769231</v>
      </c>
      <c r="CF239">
        <v>0.44500000000000001</v>
      </c>
      <c r="CG239">
        <v>0.1492537313432836</v>
      </c>
      <c r="CH239">
        <v>0.23041958041958041</v>
      </c>
      <c r="CI239">
        <v>0</v>
      </c>
      <c r="CJ239">
        <v>19773</v>
      </c>
      <c r="CK239" t="s">
        <v>141</v>
      </c>
      <c r="CL239" t="s">
        <v>1263</v>
      </c>
      <c r="CM239" t="s">
        <v>143</v>
      </c>
      <c r="CN239">
        <v>7.5263454937299995E-2</v>
      </c>
      <c r="CO239">
        <v>2.457180034214856</v>
      </c>
      <c r="CP239">
        <v>238</v>
      </c>
      <c r="CQ239" t="s">
        <v>798</v>
      </c>
      <c r="CR239">
        <v>143</v>
      </c>
      <c r="CS239" t="s">
        <v>799</v>
      </c>
      <c r="CT239" t="s">
        <v>651</v>
      </c>
      <c r="CU239" t="s">
        <v>800</v>
      </c>
      <c r="CV239" t="s">
        <v>801</v>
      </c>
      <c r="CW239" t="s">
        <v>802</v>
      </c>
      <c r="CX239" t="s">
        <v>803</v>
      </c>
      <c r="CY239" t="s">
        <v>804</v>
      </c>
      <c r="CZ239" t="s">
        <v>645</v>
      </c>
      <c r="DA239" t="s">
        <v>152</v>
      </c>
      <c r="DB239" t="s">
        <v>178</v>
      </c>
      <c r="DC239" t="s">
        <v>656</v>
      </c>
      <c r="DD239" t="s">
        <v>657</v>
      </c>
      <c r="DE239">
        <v>21400</v>
      </c>
      <c r="DF239">
        <v>-83.760228999999995</v>
      </c>
      <c r="DG239">
        <v>40.092838999999998</v>
      </c>
      <c r="DH239">
        <v>3000</v>
      </c>
      <c r="DI239">
        <v>200</v>
      </c>
      <c r="DL239">
        <v>12</v>
      </c>
      <c r="DM239">
        <v>10</v>
      </c>
      <c r="DN239">
        <v>14</v>
      </c>
      <c r="DO239">
        <v>125</v>
      </c>
      <c r="DP239">
        <v>60</v>
      </c>
      <c r="DQ239">
        <v>250</v>
      </c>
      <c r="DS239" t="s">
        <v>658</v>
      </c>
      <c r="DT239">
        <v>1.2500000000000001E-2</v>
      </c>
      <c r="DU239">
        <v>1.2500000000000001E-2</v>
      </c>
      <c r="DV239">
        <v>0.32500000000000001</v>
      </c>
      <c r="DW239">
        <v>0.32500000000000001</v>
      </c>
      <c r="DX239">
        <v>0.32500000000000001</v>
      </c>
      <c r="DY239">
        <v>0</v>
      </c>
      <c r="DZ239" s="4">
        <v>3.996</v>
      </c>
      <c r="EA239" s="4" t="s">
        <v>1150</v>
      </c>
      <c r="EB239" s="4" t="s">
        <v>1151</v>
      </c>
      <c r="EC239">
        <v>5.3650000000000002</v>
      </c>
      <c r="ED239">
        <v>782</v>
      </c>
      <c r="EE239" t="s">
        <v>1262</v>
      </c>
      <c r="EF239">
        <v>0.15866387364359069</v>
      </c>
      <c r="EH239">
        <f t="shared" si="7"/>
        <v>0.58000000000000007</v>
      </c>
      <c r="EI239">
        <v>3.38</v>
      </c>
      <c r="EJ239">
        <v>3.65</v>
      </c>
    </row>
    <row r="240" spans="1:140" x14ac:dyDescent="0.35">
      <c r="A240" s="1">
        <v>238</v>
      </c>
      <c r="B240">
        <v>-75.355006928462075</v>
      </c>
      <c r="C240">
        <v>41.7054037722109</v>
      </c>
      <c r="D240" t="s">
        <v>1264</v>
      </c>
      <c r="E240">
        <v>0.02</v>
      </c>
      <c r="F240" t="s">
        <v>160</v>
      </c>
      <c r="G240">
        <v>3.7100000000000001E-2</v>
      </c>
      <c r="H240" t="s">
        <v>161</v>
      </c>
      <c r="I240">
        <v>-8388481</v>
      </c>
      <c r="J240">
        <v>5116952</v>
      </c>
      <c r="K240" t="s">
        <v>1144</v>
      </c>
      <c r="L240" t="s">
        <v>1265</v>
      </c>
      <c r="M240">
        <v>64</v>
      </c>
      <c r="N240">
        <v>3.996</v>
      </c>
      <c r="O240">
        <v>1</v>
      </c>
      <c r="P240">
        <v>2</v>
      </c>
      <c r="Q240">
        <v>42</v>
      </c>
      <c r="R240">
        <v>127</v>
      </c>
      <c r="S240">
        <v>51151</v>
      </c>
      <c r="T240" t="s">
        <v>1146</v>
      </c>
      <c r="U240">
        <v>9.0305121245715299</v>
      </c>
      <c r="V240" t="s">
        <v>1144</v>
      </c>
      <c r="W240">
        <v>0.12509999999999999</v>
      </c>
      <c r="X240">
        <v>10</v>
      </c>
      <c r="Y240">
        <v>8.9</v>
      </c>
      <c r="Z240">
        <v>8.9</v>
      </c>
      <c r="AA240">
        <v>20</v>
      </c>
      <c r="AB240">
        <v>26</v>
      </c>
      <c r="AC240">
        <v>0.65900000000000003</v>
      </c>
      <c r="AD240">
        <v>67</v>
      </c>
      <c r="AE240">
        <v>0.1047361729179911</v>
      </c>
      <c r="AF240">
        <v>2.86</v>
      </c>
      <c r="AG240" t="s">
        <v>1146</v>
      </c>
      <c r="AH240" t="s">
        <v>1144</v>
      </c>
      <c r="AI240">
        <v>31</v>
      </c>
      <c r="AJ240">
        <v>1.033333333333333E-2</v>
      </c>
      <c r="AK240">
        <v>10.33333333333333</v>
      </c>
      <c r="AL240" t="s">
        <v>1266</v>
      </c>
      <c r="AM240">
        <v>15277.60493356223</v>
      </c>
      <c r="AN240">
        <v>1.78</v>
      </c>
      <c r="AO240">
        <v>0.09</v>
      </c>
      <c r="AP240">
        <v>0.19</v>
      </c>
      <c r="AQ240">
        <v>1.49</v>
      </c>
      <c r="AR240">
        <v>1.43</v>
      </c>
      <c r="AS240">
        <v>0.04</v>
      </c>
      <c r="AT240">
        <v>0.02</v>
      </c>
      <c r="AU240">
        <v>0.02</v>
      </c>
      <c r="AV240">
        <v>2.79</v>
      </c>
      <c r="AW240">
        <v>1.79</v>
      </c>
      <c r="AX240">
        <v>0.21</v>
      </c>
      <c r="AY240">
        <v>0.53</v>
      </c>
      <c r="AZ240">
        <v>0</v>
      </c>
      <c r="BA240">
        <v>1.52</v>
      </c>
      <c r="BB240">
        <v>0.08</v>
      </c>
      <c r="BC240">
        <v>0.2</v>
      </c>
      <c r="BD240">
        <v>0.27</v>
      </c>
      <c r="BE240">
        <v>7.94</v>
      </c>
      <c r="BF240">
        <v>7.25</v>
      </c>
      <c r="BG240">
        <v>0.24</v>
      </c>
      <c r="BH240">
        <v>0.45</v>
      </c>
      <c r="BI240">
        <v>0</v>
      </c>
      <c r="BJ240">
        <v>0.04</v>
      </c>
      <c r="BK240">
        <v>7.21</v>
      </c>
      <c r="BL240">
        <v>0</v>
      </c>
      <c r="BM240">
        <v>2.2799999999999998</v>
      </c>
      <c r="BN240">
        <v>0.21</v>
      </c>
      <c r="BO240">
        <v>0.46</v>
      </c>
      <c r="BP240">
        <v>1.61</v>
      </c>
      <c r="BQ240">
        <v>1.41</v>
      </c>
      <c r="BR240">
        <v>0.06</v>
      </c>
      <c r="BS240">
        <v>0.14000000000000001</v>
      </c>
      <c r="BT240">
        <v>0</v>
      </c>
      <c r="BU240">
        <v>8.35</v>
      </c>
      <c r="BV240">
        <v>7.29</v>
      </c>
      <c r="BW240">
        <v>0.34</v>
      </c>
      <c r="BX240">
        <v>0.72</v>
      </c>
      <c r="BY240">
        <v>0</v>
      </c>
      <c r="BZ240">
        <v>0.04</v>
      </c>
      <c r="CA240">
        <v>7.25</v>
      </c>
      <c r="CB240">
        <v>0</v>
      </c>
      <c r="CC240">
        <f t="shared" si="6"/>
        <v>2.75</v>
      </c>
      <c r="CD240">
        <v>3.96</v>
      </c>
      <c r="CE240">
        <v>0.34230769230769231</v>
      </c>
      <c r="CF240">
        <v>0.44500000000000001</v>
      </c>
      <c r="CG240">
        <v>0.1492537313432836</v>
      </c>
      <c r="CH240">
        <v>0.23041958041958041</v>
      </c>
      <c r="CI240">
        <v>0</v>
      </c>
      <c r="CJ240">
        <v>24076</v>
      </c>
      <c r="CK240" t="s">
        <v>141</v>
      </c>
      <c r="CL240" t="s">
        <v>377</v>
      </c>
      <c r="CM240" t="s">
        <v>143</v>
      </c>
      <c r="CN240">
        <v>0.22751344073800001</v>
      </c>
      <c r="CO240">
        <v>7.450510118140433</v>
      </c>
      <c r="CP240">
        <v>239</v>
      </c>
      <c r="CQ240" t="s">
        <v>1149</v>
      </c>
      <c r="CR240">
        <v>143</v>
      </c>
      <c r="CS240" t="s">
        <v>799</v>
      </c>
      <c r="CT240" t="s">
        <v>651</v>
      </c>
      <c r="CU240" t="s">
        <v>800</v>
      </c>
      <c r="CV240" t="s">
        <v>801</v>
      </c>
      <c r="CW240" t="s">
        <v>802</v>
      </c>
      <c r="CX240" t="s">
        <v>803</v>
      </c>
      <c r="CY240" t="s">
        <v>804</v>
      </c>
      <c r="CZ240" t="s">
        <v>645</v>
      </c>
      <c r="DA240" t="s">
        <v>152</v>
      </c>
      <c r="DB240" t="s">
        <v>178</v>
      </c>
      <c r="DC240" t="s">
        <v>656</v>
      </c>
      <c r="DD240" t="s">
        <v>657</v>
      </c>
      <c r="DE240">
        <v>21400</v>
      </c>
      <c r="DF240">
        <v>-83.760228999999995</v>
      </c>
      <c r="DG240">
        <v>40.092838999999998</v>
      </c>
      <c r="DH240">
        <v>3000</v>
      </c>
      <c r="DI240">
        <v>200</v>
      </c>
      <c r="DL240">
        <v>12</v>
      </c>
      <c r="DM240">
        <v>10</v>
      </c>
      <c r="DN240">
        <v>14</v>
      </c>
      <c r="DO240">
        <v>125</v>
      </c>
      <c r="DP240">
        <v>60</v>
      </c>
      <c r="DQ240">
        <v>250</v>
      </c>
      <c r="DS240" t="s">
        <v>658</v>
      </c>
      <c r="DT240">
        <v>1.2500000000000001E-2</v>
      </c>
      <c r="DU240">
        <v>1.2500000000000001E-2</v>
      </c>
      <c r="DV240">
        <v>0.32500000000000001</v>
      </c>
      <c r="DW240">
        <v>0.32500000000000001</v>
      </c>
      <c r="DX240">
        <v>0.32500000000000001</v>
      </c>
      <c r="DY240">
        <v>0</v>
      </c>
      <c r="DZ240" s="4">
        <v>3.996</v>
      </c>
      <c r="EA240" s="4" t="s">
        <v>1150</v>
      </c>
      <c r="EB240" s="4" t="s">
        <v>1151</v>
      </c>
      <c r="EC240">
        <v>5.3650000000000002</v>
      </c>
      <c r="ED240">
        <v>91</v>
      </c>
      <c r="EE240" t="s">
        <v>1266</v>
      </c>
      <c r="EF240">
        <v>0.12493284195254679</v>
      </c>
      <c r="EH240">
        <f t="shared" si="7"/>
        <v>0.58000000000000007</v>
      </c>
      <c r="EI240">
        <v>3.38</v>
      </c>
      <c r="EJ240">
        <v>3.65</v>
      </c>
    </row>
    <row r="241" spans="1:140" x14ac:dyDescent="0.35">
      <c r="A241" s="1">
        <v>239</v>
      </c>
      <c r="B241">
        <v>-73.558376360223022</v>
      </c>
      <c r="C241">
        <v>41.7054037722109</v>
      </c>
      <c r="D241" t="s">
        <v>1267</v>
      </c>
      <c r="E241">
        <v>0.1</v>
      </c>
      <c r="F241" t="s">
        <v>306</v>
      </c>
      <c r="G241">
        <v>3.7100000000000001E-2</v>
      </c>
      <c r="H241" t="s">
        <v>161</v>
      </c>
      <c r="I241">
        <v>-8188481</v>
      </c>
      <c r="J241">
        <v>5116952</v>
      </c>
      <c r="K241" t="s">
        <v>1159</v>
      </c>
      <c r="L241" t="s">
        <v>1268</v>
      </c>
      <c r="M241">
        <v>14</v>
      </c>
      <c r="N241">
        <v>4.0919999999999996</v>
      </c>
      <c r="O241">
        <v>1</v>
      </c>
      <c r="P241">
        <v>2</v>
      </c>
      <c r="Q241">
        <v>36</v>
      </c>
      <c r="R241">
        <v>27</v>
      </c>
      <c r="S241">
        <v>295897</v>
      </c>
      <c r="T241" t="s">
        <v>1161</v>
      </c>
      <c r="U241">
        <v>8.3286235013208714</v>
      </c>
      <c r="V241" t="s">
        <v>1159</v>
      </c>
      <c r="W241">
        <v>0.1966</v>
      </c>
      <c r="X241">
        <v>10</v>
      </c>
      <c r="Y241">
        <v>8.9</v>
      </c>
      <c r="Z241">
        <v>8.9</v>
      </c>
      <c r="AA241">
        <v>20</v>
      </c>
      <c r="AB241">
        <v>26</v>
      </c>
      <c r="AC241">
        <v>0.53700000000000003</v>
      </c>
      <c r="AD241">
        <v>67</v>
      </c>
      <c r="AE241">
        <v>8.5346471710108077E-2</v>
      </c>
      <c r="AF241">
        <v>2.86</v>
      </c>
      <c r="AG241" t="s">
        <v>1161</v>
      </c>
      <c r="AH241" t="s">
        <v>1159</v>
      </c>
      <c r="AI241">
        <v>30</v>
      </c>
      <c r="AJ241">
        <v>0.01</v>
      </c>
      <c r="AK241">
        <v>10</v>
      </c>
      <c r="AL241" t="s">
        <v>1162</v>
      </c>
      <c r="AM241">
        <v>0</v>
      </c>
      <c r="AN241">
        <v>1.67</v>
      </c>
      <c r="AO241">
        <v>0.09</v>
      </c>
      <c r="AP241">
        <v>0.19</v>
      </c>
      <c r="AQ241">
        <v>1.39</v>
      </c>
      <c r="AR241">
        <v>1.32</v>
      </c>
      <c r="AS241">
        <v>0.04</v>
      </c>
      <c r="AT241">
        <v>0.03</v>
      </c>
      <c r="AU241">
        <v>0.02</v>
      </c>
      <c r="AV241">
        <v>2.78</v>
      </c>
      <c r="AW241">
        <v>1.78</v>
      </c>
      <c r="AX241">
        <v>0.21</v>
      </c>
      <c r="AY241">
        <v>0.53</v>
      </c>
      <c r="AZ241">
        <v>0</v>
      </c>
      <c r="BA241">
        <v>1.4</v>
      </c>
      <c r="BB241">
        <v>0.08</v>
      </c>
      <c r="BC241">
        <v>0.3</v>
      </c>
      <c r="BD241">
        <v>0.27</v>
      </c>
      <c r="BE241">
        <v>11.83</v>
      </c>
      <c r="BF241">
        <v>11.14</v>
      </c>
      <c r="BG241">
        <v>0.24</v>
      </c>
      <c r="BH241">
        <v>0.45</v>
      </c>
      <c r="BI241">
        <v>0</v>
      </c>
      <c r="BJ241">
        <v>0.04</v>
      </c>
      <c r="BK241">
        <v>11.1</v>
      </c>
      <c r="BL241">
        <v>0</v>
      </c>
      <c r="BM241">
        <v>2.25</v>
      </c>
      <c r="BN241">
        <v>0.21</v>
      </c>
      <c r="BO241">
        <v>0.46</v>
      </c>
      <c r="BP241">
        <v>1.58</v>
      </c>
      <c r="BQ241">
        <v>1.3</v>
      </c>
      <c r="BR241">
        <v>0.06</v>
      </c>
      <c r="BS241">
        <v>0.22</v>
      </c>
      <c r="BT241">
        <v>0</v>
      </c>
      <c r="BU241">
        <v>12.26</v>
      </c>
      <c r="BV241">
        <v>11.2</v>
      </c>
      <c r="BW241">
        <v>0.34</v>
      </c>
      <c r="BX241">
        <v>0.72</v>
      </c>
      <c r="BY241">
        <v>0</v>
      </c>
      <c r="BZ241">
        <v>0.04</v>
      </c>
      <c r="CA241">
        <v>11.16</v>
      </c>
      <c r="CB241">
        <v>0</v>
      </c>
      <c r="CC241">
        <f t="shared" si="6"/>
        <v>2.75</v>
      </c>
      <c r="CD241">
        <v>3.96</v>
      </c>
      <c r="CE241">
        <v>0.34230769230769231</v>
      </c>
      <c r="CF241">
        <v>0.44500000000000001</v>
      </c>
      <c r="CG241">
        <v>0.1492537313432836</v>
      </c>
      <c r="CH241">
        <v>0.1877622377622378</v>
      </c>
      <c r="CI241">
        <v>0</v>
      </c>
      <c r="CJ241">
        <v>14310</v>
      </c>
      <c r="CK241" t="s">
        <v>141</v>
      </c>
      <c r="CL241" t="s">
        <v>1269</v>
      </c>
      <c r="CM241" t="s">
        <v>143</v>
      </c>
      <c r="CN241">
        <v>2.27689086252E-3</v>
      </c>
      <c r="CO241">
        <v>2.5333556861566349</v>
      </c>
      <c r="CP241">
        <v>240</v>
      </c>
      <c r="CQ241" t="s">
        <v>1149</v>
      </c>
      <c r="CR241">
        <v>143</v>
      </c>
      <c r="CS241" t="s">
        <v>799</v>
      </c>
      <c r="CT241" t="s">
        <v>651</v>
      </c>
      <c r="CU241" t="s">
        <v>800</v>
      </c>
      <c r="CV241" t="s">
        <v>801</v>
      </c>
      <c r="CW241" t="s">
        <v>802</v>
      </c>
      <c r="CX241" t="s">
        <v>803</v>
      </c>
      <c r="CY241" t="s">
        <v>804</v>
      </c>
      <c r="CZ241" t="s">
        <v>645</v>
      </c>
      <c r="DA241" t="s">
        <v>152</v>
      </c>
      <c r="DB241" t="s">
        <v>178</v>
      </c>
      <c r="DC241" t="s">
        <v>656</v>
      </c>
      <c r="DD241" t="s">
        <v>657</v>
      </c>
      <c r="DE241">
        <v>21400</v>
      </c>
      <c r="DF241">
        <v>-83.760228999999995</v>
      </c>
      <c r="DG241">
        <v>40.092838999999998</v>
      </c>
      <c r="DH241">
        <v>3000</v>
      </c>
      <c r="DI241">
        <v>200</v>
      </c>
      <c r="DL241">
        <v>12</v>
      </c>
      <c r="DM241">
        <v>10</v>
      </c>
      <c r="DN241">
        <v>14</v>
      </c>
      <c r="DO241">
        <v>125</v>
      </c>
      <c r="DP241">
        <v>60</v>
      </c>
      <c r="DQ241">
        <v>250</v>
      </c>
      <c r="DS241" t="s">
        <v>658</v>
      </c>
      <c r="DT241">
        <v>1.2500000000000001E-2</v>
      </c>
      <c r="DU241">
        <v>1.2500000000000001E-2</v>
      </c>
      <c r="DV241">
        <v>0.32500000000000001</v>
      </c>
      <c r="DW241">
        <v>0.32500000000000001</v>
      </c>
      <c r="DX241">
        <v>0.32500000000000001</v>
      </c>
      <c r="DY241">
        <v>109.9702067525027</v>
      </c>
      <c r="DZ241" s="4">
        <v>4.0780000000000003</v>
      </c>
      <c r="EA241" s="4" t="s">
        <v>1163</v>
      </c>
      <c r="EB241" s="4" t="s">
        <v>1164</v>
      </c>
      <c r="EC241">
        <v>5.391</v>
      </c>
      <c r="ED241">
        <v>378</v>
      </c>
      <c r="EE241" t="s">
        <v>1162</v>
      </c>
      <c r="EF241">
        <v>0</v>
      </c>
      <c r="EH241">
        <f t="shared" si="7"/>
        <v>0.58000000000000007</v>
      </c>
      <c r="EI241">
        <v>3.38</v>
      </c>
      <c r="EJ241">
        <v>3.65</v>
      </c>
    </row>
    <row r="242" spans="1:140" x14ac:dyDescent="0.35">
      <c r="A242" s="1">
        <v>240</v>
      </c>
      <c r="B242">
        <v>-71.761745791983984</v>
      </c>
      <c r="C242">
        <v>41.7054037722109</v>
      </c>
      <c r="D242" t="s">
        <v>1270</v>
      </c>
      <c r="E242">
        <v>0.1</v>
      </c>
      <c r="F242" t="s">
        <v>326</v>
      </c>
      <c r="G242">
        <v>3.7100000000000001E-2</v>
      </c>
      <c r="H242" t="s">
        <v>161</v>
      </c>
      <c r="I242">
        <v>-7988481</v>
      </c>
      <c r="J242">
        <v>5116952</v>
      </c>
      <c r="K242" t="s">
        <v>1271</v>
      </c>
      <c r="L242" t="s">
        <v>1036</v>
      </c>
      <c r="M242">
        <v>2</v>
      </c>
      <c r="N242">
        <v>3.7610000000000001</v>
      </c>
      <c r="O242">
        <v>1</v>
      </c>
      <c r="P242">
        <v>1</v>
      </c>
      <c r="Q242">
        <v>44</v>
      </c>
      <c r="R242">
        <v>3</v>
      </c>
      <c r="S242">
        <v>170358</v>
      </c>
      <c r="T242" t="s">
        <v>1272</v>
      </c>
      <c r="U242">
        <v>10.04705200249755</v>
      </c>
      <c r="V242" t="s">
        <v>1271</v>
      </c>
      <c r="W242">
        <v>0.24149999999999999</v>
      </c>
      <c r="X242">
        <v>10</v>
      </c>
      <c r="Y242">
        <v>8.9</v>
      </c>
      <c r="Z242">
        <v>8.9</v>
      </c>
      <c r="AA242">
        <v>20</v>
      </c>
      <c r="AB242">
        <v>26</v>
      </c>
      <c r="AC242">
        <v>0.82799999999999996</v>
      </c>
      <c r="AD242">
        <v>67</v>
      </c>
      <c r="AE242">
        <v>0.13159567705022249</v>
      </c>
      <c r="AF242">
        <v>2.86</v>
      </c>
      <c r="AG242" t="s">
        <v>1272</v>
      </c>
      <c r="AH242" t="s">
        <v>1271</v>
      </c>
      <c r="AI242">
        <v>32</v>
      </c>
      <c r="AJ242">
        <v>1.066666666666667E-2</v>
      </c>
      <c r="AK242">
        <v>10.66666666666667</v>
      </c>
      <c r="AL242" t="s">
        <v>1273</v>
      </c>
      <c r="AM242">
        <v>0</v>
      </c>
      <c r="AN242">
        <v>1.95</v>
      </c>
      <c r="AO242">
        <v>0.09</v>
      </c>
      <c r="AP242">
        <v>0.19</v>
      </c>
      <c r="AQ242">
        <v>1.66</v>
      </c>
      <c r="AR242">
        <v>1.59</v>
      </c>
      <c r="AS242">
        <v>0.04</v>
      </c>
      <c r="AT242">
        <v>0.03</v>
      </c>
      <c r="AU242">
        <v>0.02</v>
      </c>
      <c r="AV242">
        <v>3.13</v>
      </c>
      <c r="AW242">
        <v>2.13</v>
      </c>
      <c r="AX242">
        <v>0.21</v>
      </c>
      <c r="AY242">
        <v>0.53</v>
      </c>
      <c r="AZ242">
        <v>0</v>
      </c>
      <c r="BA242">
        <v>1.69</v>
      </c>
      <c r="BB242">
        <v>0.08</v>
      </c>
      <c r="BC242">
        <v>0.36</v>
      </c>
      <c r="BD242">
        <v>0.27</v>
      </c>
      <c r="BE242">
        <v>14.05</v>
      </c>
      <c r="BF242">
        <v>13.36</v>
      </c>
      <c r="BG242">
        <v>0.24</v>
      </c>
      <c r="BH242">
        <v>0.45</v>
      </c>
      <c r="BI242">
        <v>0</v>
      </c>
      <c r="BJ242">
        <v>0.04</v>
      </c>
      <c r="BK242">
        <v>13.32</v>
      </c>
      <c r="BL242">
        <v>0</v>
      </c>
      <c r="BM242">
        <v>2.56</v>
      </c>
      <c r="BN242">
        <v>0.21</v>
      </c>
      <c r="BO242">
        <v>0.46</v>
      </c>
      <c r="BP242">
        <v>1.89</v>
      </c>
      <c r="BQ242">
        <v>1.57</v>
      </c>
      <c r="BR242">
        <v>0.06</v>
      </c>
      <c r="BS242">
        <v>0.27</v>
      </c>
      <c r="BT242">
        <v>0</v>
      </c>
      <c r="BU242">
        <v>14.49</v>
      </c>
      <c r="BV242">
        <v>13.43</v>
      </c>
      <c r="BW242">
        <v>0.34</v>
      </c>
      <c r="BX242">
        <v>0.72</v>
      </c>
      <c r="BY242">
        <v>0</v>
      </c>
      <c r="BZ242">
        <v>0.04</v>
      </c>
      <c r="CA242">
        <v>13.39</v>
      </c>
      <c r="CB242">
        <v>0</v>
      </c>
      <c r="CC242">
        <f t="shared" si="6"/>
        <v>2.75</v>
      </c>
      <c r="CD242">
        <v>3.96</v>
      </c>
      <c r="CE242">
        <v>0.34230769230769231</v>
      </c>
      <c r="CF242">
        <v>0.44500000000000001</v>
      </c>
      <c r="CG242">
        <v>0.1492537313432836</v>
      </c>
      <c r="CH242">
        <v>0.28951048951048952</v>
      </c>
      <c r="CI242">
        <v>0</v>
      </c>
      <c r="CJ242">
        <v>24154</v>
      </c>
      <c r="CK242" t="s">
        <v>141</v>
      </c>
      <c r="CL242" t="s">
        <v>377</v>
      </c>
      <c r="CM242" t="s">
        <v>143</v>
      </c>
      <c r="CN242">
        <v>0.193658363482</v>
      </c>
      <c r="CO242">
        <v>21.253511732835111</v>
      </c>
      <c r="CP242">
        <v>241</v>
      </c>
      <c r="CQ242" t="s">
        <v>1149</v>
      </c>
      <c r="CR242">
        <v>143</v>
      </c>
      <c r="CS242" t="s">
        <v>799</v>
      </c>
      <c r="CT242" t="s">
        <v>651</v>
      </c>
      <c r="CU242" t="s">
        <v>800</v>
      </c>
      <c r="CV242" t="s">
        <v>801</v>
      </c>
      <c r="CW242" t="s">
        <v>802</v>
      </c>
      <c r="CX242" t="s">
        <v>803</v>
      </c>
      <c r="CY242" t="s">
        <v>804</v>
      </c>
      <c r="CZ242" t="s">
        <v>645</v>
      </c>
      <c r="DA242" t="s">
        <v>152</v>
      </c>
      <c r="DB242" t="s">
        <v>178</v>
      </c>
      <c r="DC242" t="s">
        <v>656</v>
      </c>
      <c r="DD242" t="s">
        <v>657</v>
      </c>
      <c r="DE242">
        <v>21400</v>
      </c>
      <c r="DF242">
        <v>-83.760228999999995</v>
      </c>
      <c r="DG242">
        <v>40.092838999999998</v>
      </c>
      <c r="DH242">
        <v>3000</v>
      </c>
      <c r="DI242">
        <v>200</v>
      </c>
      <c r="DL242">
        <v>12</v>
      </c>
      <c r="DM242">
        <v>10</v>
      </c>
      <c r="DN242">
        <v>14</v>
      </c>
      <c r="DO242">
        <v>125</v>
      </c>
      <c r="DP242">
        <v>60</v>
      </c>
      <c r="DQ242">
        <v>250</v>
      </c>
      <c r="DS242" t="s">
        <v>658</v>
      </c>
      <c r="DT242">
        <v>1.2500000000000001E-2</v>
      </c>
      <c r="DU242">
        <v>1.2500000000000001E-2</v>
      </c>
      <c r="DV242">
        <v>0.32500000000000001</v>
      </c>
      <c r="DW242">
        <v>0.32500000000000001</v>
      </c>
      <c r="DX242">
        <v>0.32500000000000001</v>
      </c>
      <c r="DY242">
        <v>234.1798206349826</v>
      </c>
      <c r="DZ242" s="4">
        <v>3.8420000000000001</v>
      </c>
      <c r="EA242" s="4" t="s">
        <v>1274</v>
      </c>
      <c r="EB242" s="4" t="s">
        <v>1275</v>
      </c>
      <c r="EC242">
        <v>4.9630000000000001</v>
      </c>
      <c r="ED242">
        <v>83</v>
      </c>
      <c r="EE242" t="s">
        <v>1273</v>
      </c>
      <c r="EF242">
        <v>0</v>
      </c>
      <c r="EH242">
        <f t="shared" si="7"/>
        <v>0.58000000000000007</v>
      </c>
      <c r="EI242">
        <v>3.38</v>
      </c>
      <c r="EJ242">
        <v>3.65</v>
      </c>
    </row>
    <row r="243" spans="1:140" x14ac:dyDescent="0.35">
      <c r="A243" s="1">
        <v>241</v>
      </c>
      <c r="B243">
        <v>-69.965115223744945</v>
      </c>
      <c r="C243">
        <v>41.7054037722109</v>
      </c>
      <c r="D243" t="s">
        <v>1276</v>
      </c>
      <c r="E243">
        <v>0.1</v>
      </c>
      <c r="F243" t="s">
        <v>1277</v>
      </c>
      <c r="G243">
        <v>3.7100000000000001E-2</v>
      </c>
      <c r="H243" t="s">
        <v>161</v>
      </c>
      <c r="I243">
        <v>-7788481</v>
      </c>
      <c r="J243">
        <v>5116952</v>
      </c>
      <c r="K243" t="s">
        <v>1278</v>
      </c>
      <c r="L243" t="s">
        <v>1279</v>
      </c>
      <c r="M243">
        <v>1</v>
      </c>
      <c r="N243">
        <v>3.9009999999999998</v>
      </c>
      <c r="O243">
        <v>1</v>
      </c>
      <c r="P243">
        <v>1</v>
      </c>
      <c r="Q243">
        <v>25</v>
      </c>
      <c r="R243">
        <v>1</v>
      </c>
      <c r="S243">
        <v>229004</v>
      </c>
      <c r="T243" t="s">
        <v>1280</v>
      </c>
      <c r="U243">
        <v>10.682216521032309</v>
      </c>
      <c r="V243" t="s">
        <v>1278</v>
      </c>
      <c r="W243">
        <v>0.2394</v>
      </c>
      <c r="X243">
        <v>10</v>
      </c>
      <c r="Y243">
        <v>8.9</v>
      </c>
      <c r="Z243">
        <v>8.9</v>
      </c>
      <c r="AA243">
        <v>20</v>
      </c>
      <c r="AB243">
        <v>26</v>
      </c>
      <c r="AC243">
        <v>0.93600000000000005</v>
      </c>
      <c r="AD243">
        <v>67</v>
      </c>
      <c r="AE243">
        <v>0.1487603305785124</v>
      </c>
      <c r="AF243">
        <v>2.86</v>
      </c>
      <c r="AG243" t="s">
        <v>1280</v>
      </c>
      <c r="AH243" t="s">
        <v>1278</v>
      </c>
      <c r="AI243">
        <v>34</v>
      </c>
      <c r="AJ243">
        <v>1.1333333333333331E-2</v>
      </c>
      <c r="AK243">
        <v>11.33333333333333</v>
      </c>
      <c r="AL243" t="s">
        <v>1281</v>
      </c>
      <c r="AM243">
        <v>0</v>
      </c>
      <c r="AN243">
        <v>2.0499999999999998</v>
      </c>
      <c r="AO243">
        <v>0.09</v>
      </c>
      <c r="AP243">
        <v>0.19</v>
      </c>
      <c r="AQ243">
        <v>1.76</v>
      </c>
      <c r="AR243">
        <v>1.69</v>
      </c>
      <c r="AS243">
        <v>0.04</v>
      </c>
      <c r="AT243">
        <v>0.03</v>
      </c>
      <c r="AU243">
        <v>0.02</v>
      </c>
      <c r="AV243">
        <v>3.23</v>
      </c>
      <c r="AW243">
        <v>2.2400000000000002</v>
      </c>
      <c r="AX243">
        <v>0.21</v>
      </c>
      <c r="AY243">
        <v>0.53</v>
      </c>
      <c r="AZ243">
        <v>0</v>
      </c>
      <c r="BA243">
        <v>1.79</v>
      </c>
      <c r="BB243">
        <v>0.08</v>
      </c>
      <c r="BC243">
        <v>0.36</v>
      </c>
      <c r="BD243">
        <v>0.27</v>
      </c>
      <c r="BE243">
        <v>14.05</v>
      </c>
      <c r="BF243">
        <v>13.36</v>
      </c>
      <c r="BG243">
        <v>0.24</v>
      </c>
      <c r="BH243">
        <v>0.45</v>
      </c>
      <c r="BI243">
        <v>0</v>
      </c>
      <c r="BJ243">
        <v>0.04</v>
      </c>
      <c r="BK243">
        <v>13.32</v>
      </c>
      <c r="BL243">
        <v>0</v>
      </c>
      <c r="BM243">
        <v>2.66</v>
      </c>
      <c r="BN243">
        <v>0.21</v>
      </c>
      <c r="BO243">
        <v>0.46</v>
      </c>
      <c r="BP243">
        <v>1.99</v>
      </c>
      <c r="BQ243">
        <v>1.67</v>
      </c>
      <c r="BR243">
        <v>0.06</v>
      </c>
      <c r="BS243">
        <v>0.27</v>
      </c>
      <c r="BT243">
        <v>0</v>
      </c>
      <c r="BU243">
        <v>14.49</v>
      </c>
      <c r="BV243">
        <v>13.43</v>
      </c>
      <c r="BW243">
        <v>0.34</v>
      </c>
      <c r="BX243">
        <v>0.72</v>
      </c>
      <c r="BY243">
        <v>0</v>
      </c>
      <c r="BZ243">
        <v>0.04</v>
      </c>
      <c r="CA243">
        <v>13.39</v>
      </c>
      <c r="CB243">
        <v>0</v>
      </c>
      <c r="CC243">
        <f t="shared" si="6"/>
        <v>2.75</v>
      </c>
      <c r="CD243">
        <v>3.96</v>
      </c>
      <c r="CE243">
        <v>0.34230769230769231</v>
      </c>
      <c r="CF243">
        <v>0.44500000000000001</v>
      </c>
      <c r="CG243">
        <v>0.1492537313432836</v>
      </c>
      <c r="CH243">
        <v>0.32727272727272733</v>
      </c>
      <c r="CI243">
        <v>0</v>
      </c>
      <c r="CJ243">
        <v>31341</v>
      </c>
      <c r="CK243" t="s">
        <v>141</v>
      </c>
      <c r="CL243" t="s">
        <v>1167</v>
      </c>
      <c r="CM243" t="s">
        <v>143</v>
      </c>
      <c r="CN243">
        <v>3.6546480883999997E-2</v>
      </c>
      <c r="CO243">
        <v>40.644204381177673</v>
      </c>
      <c r="CP243">
        <v>242</v>
      </c>
      <c r="CQ243" t="s">
        <v>1149</v>
      </c>
      <c r="CR243">
        <v>143</v>
      </c>
      <c r="CS243" t="s">
        <v>799</v>
      </c>
      <c r="CT243" t="s">
        <v>651</v>
      </c>
      <c r="CU243" t="s">
        <v>800</v>
      </c>
      <c r="CV243" t="s">
        <v>801</v>
      </c>
      <c r="CW243" t="s">
        <v>802</v>
      </c>
      <c r="CX243" t="s">
        <v>803</v>
      </c>
      <c r="CY243" t="s">
        <v>804</v>
      </c>
      <c r="CZ243" t="s">
        <v>645</v>
      </c>
      <c r="DA243" t="s">
        <v>152</v>
      </c>
      <c r="DB243" t="s">
        <v>178</v>
      </c>
      <c r="DC243" t="s">
        <v>656</v>
      </c>
      <c r="DD243" t="s">
        <v>657</v>
      </c>
      <c r="DE243">
        <v>21400</v>
      </c>
      <c r="DF243">
        <v>-83.760228999999995</v>
      </c>
      <c r="DG243">
        <v>40.092838999999998</v>
      </c>
      <c r="DH243">
        <v>3000</v>
      </c>
      <c r="DI243">
        <v>200</v>
      </c>
      <c r="DL243">
        <v>12</v>
      </c>
      <c r="DM243">
        <v>10</v>
      </c>
      <c r="DN243">
        <v>14</v>
      </c>
      <c r="DO243">
        <v>125</v>
      </c>
      <c r="DP243">
        <v>60</v>
      </c>
      <c r="DQ243">
        <v>250</v>
      </c>
      <c r="DS243" t="s">
        <v>658</v>
      </c>
      <c r="DT243">
        <v>1.2500000000000001E-2</v>
      </c>
      <c r="DU243">
        <v>1.2500000000000001E-2</v>
      </c>
      <c r="DV243">
        <v>0.32500000000000001</v>
      </c>
      <c r="DW243">
        <v>0.32500000000000001</v>
      </c>
      <c r="DX243">
        <v>0.32500000000000001</v>
      </c>
      <c r="DY243">
        <v>358.41217944615971</v>
      </c>
      <c r="DZ243" s="4">
        <v>3.8959999999999999</v>
      </c>
      <c r="EA243" s="4" t="s">
        <v>1282</v>
      </c>
      <c r="EB243" s="4" t="s">
        <v>1283</v>
      </c>
      <c r="EC243">
        <v>5.17</v>
      </c>
      <c r="ED243">
        <v>336</v>
      </c>
      <c r="EE243" t="s">
        <v>1281</v>
      </c>
      <c r="EF243">
        <v>0</v>
      </c>
      <c r="EH243">
        <f t="shared" si="7"/>
        <v>0.58000000000000007</v>
      </c>
      <c r="EI243">
        <v>3.38</v>
      </c>
      <c r="EJ243">
        <v>3.65</v>
      </c>
    </row>
    <row r="244" spans="1:140" x14ac:dyDescent="0.35">
      <c r="A244" s="1">
        <v>242</v>
      </c>
      <c r="B244">
        <v>-123.8640322709162</v>
      </c>
      <c r="C244">
        <v>43.032710206823502</v>
      </c>
      <c r="D244" t="s">
        <v>1284</v>
      </c>
      <c r="E244">
        <v>0.02</v>
      </c>
      <c r="F244" t="s">
        <v>160</v>
      </c>
      <c r="G244">
        <v>7.3200000000000001E-2</v>
      </c>
      <c r="H244" t="s">
        <v>161</v>
      </c>
      <c r="I244">
        <v>-13788481</v>
      </c>
      <c r="J244">
        <v>5316952</v>
      </c>
      <c r="K244" t="s">
        <v>1285</v>
      </c>
      <c r="L244" t="s">
        <v>1286</v>
      </c>
      <c r="M244">
        <v>6</v>
      </c>
      <c r="N244">
        <v>4.9409999999999998</v>
      </c>
      <c r="O244">
        <v>4</v>
      </c>
      <c r="P244">
        <v>9</v>
      </c>
      <c r="Q244">
        <v>41</v>
      </c>
      <c r="R244">
        <v>11</v>
      </c>
      <c r="S244">
        <v>64929</v>
      </c>
      <c r="T244" t="s">
        <v>1287</v>
      </c>
      <c r="U244">
        <v>6.447431924405608</v>
      </c>
      <c r="V244" t="s">
        <v>1285</v>
      </c>
      <c r="W244">
        <v>0.1111</v>
      </c>
      <c r="X244">
        <v>10</v>
      </c>
      <c r="Y244">
        <v>8.9</v>
      </c>
      <c r="Z244">
        <v>8.9</v>
      </c>
      <c r="AA244">
        <v>20</v>
      </c>
      <c r="AB244">
        <v>26</v>
      </c>
      <c r="AC244">
        <v>0.35199999999999998</v>
      </c>
      <c r="AD244">
        <v>67</v>
      </c>
      <c r="AE244">
        <v>5.5944055944055937E-2</v>
      </c>
      <c r="AF244">
        <v>2.86</v>
      </c>
      <c r="AG244" t="s">
        <v>1287</v>
      </c>
      <c r="AH244" t="s">
        <v>1285</v>
      </c>
      <c r="AI244">
        <v>76</v>
      </c>
      <c r="AJ244">
        <v>2.5333333333333329E-2</v>
      </c>
      <c r="AK244">
        <v>25.333333333333329</v>
      </c>
      <c r="AL244" t="s">
        <v>1288</v>
      </c>
      <c r="AM244">
        <v>0</v>
      </c>
      <c r="AN244">
        <v>1.45</v>
      </c>
      <c r="AO244">
        <v>0.09</v>
      </c>
      <c r="AP244">
        <v>0.19</v>
      </c>
      <c r="AQ244">
        <v>1.1599999999999999</v>
      </c>
      <c r="AR244">
        <v>1.02</v>
      </c>
      <c r="AS244">
        <v>0.13</v>
      </c>
      <c r="AT244">
        <v>0.01</v>
      </c>
      <c r="AU244">
        <v>0.02</v>
      </c>
      <c r="AV244">
        <v>2.4900000000000002</v>
      </c>
      <c r="AW244">
        <v>1.49</v>
      </c>
      <c r="AX244">
        <v>0.21</v>
      </c>
      <c r="AY244">
        <v>0.53</v>
      </c>
      <c r="AZ244">
        <v>0</v>
      </c>
      <c r="BA244">
        <v>1.08</v>
      </c>
      <c r="BB244">
        <v>0.24</v>
      </c>
      <c r="BC244">
        <v>0.17</v>
      </c>
      <c r="BD244">
        <v>0.27</v>
      </c>
      <c r="BE244">
        <v>6.91</v>
      </c>
      <c r="BF244">
        <v>6.22</v>
      </c>
      <c r="BG244">
        <v>0.24</v>
      </c>
      <c r="BH244">
        <v>0.45</v>
      </c>
      <c r="BI244">
        <v>0</v>
      </c>
      <c r="BJ244">
        <v>0.11</v>
      </c>
      <c r="BK244">
        <v>6.1</v>
      </c>
      <c r="BL244">
        <v>0</v>
      </c>
      <c r="BM244">
        <v>1.97</v>
      </c>
      <c r="BN244">
        <v>0.21</v>
      </c>
      <c r="BO244">
        <v>0.46</v>
      </c>
      <c r="BP244">
        <v>1.3</v>
      </c>
      <c r="BQ244">
        <v>1.01</v>
      </c>
      <c r="BR244">
        <v>0.17</v>
      </c>
      <c r="BS244">
        <v>0.12</v>
      </c>
      <c r="BT244">
        <v>0</v>
      </c>
      <c r="BU244">
        <v>7.31</v>
      </c>
      <c r="BV244">
        <v>6.25</v>
      </c>
      <c r="BW244">
        <v>0.34</v>
      </c>
      <c r="BX244">
        <v>0.72</v>
      </c>
      <c r="BY244">
        <v>0</v>
      </c>
      <c r="BZ244">
        <v>0.11</v>
      </c>
      <c r="CA244">
        <v>6.14</v>
      </c>
      <c r="CB244">
        <v>0</v>
      </c>
      <c r="CC244">
        <f t="shared" si="6"/>
        <v>2.75</v>
      </c>
      <c r="CD244">
        <v>3.96</v>
      </c>
      <c r="CE244">
        <v>0.34230769230769231</v>
      </c>
      <c r="CF244">
        <v>0.44500000000000001</v>
      </c>
      <c r="CG244">
        <v>0.1492537313432836</v>
      </c>
      <c r="CH244">
        <v>0.1230769230769231</v>
      </c>
      <c r="CI244">
        <v>0</v>
      </c>
      <c r="CJ244">
        <v>2821</v>
      </c>
      <c r="CK244" t="s">
        <v>169</v>
      </c>
      <c r="CL244" t="s">
        <v>1289</v>
      </c>
      <c r="CM244" t="s">
        <v>143</v>
      </c>
      <c r="CN244">
        <v>0.98407229820300002</v>
      </c>
      <c r="CO244">
        <v>10.76046912798348</v>
      </c>
      <c r="CP244">
        <v>243</v>
      </c>
      <c r="CQ244" t="s">
        <v>1290</v>
      </c>
      <c r="CR244">
        <v>223</v>
      </c>
      <c r="CS244" t="s">
        <v>717</v>
      </c>
      <c r="CT244" t="s">
        <v>718</v>
      </c>
      <c r="CU244" t="s">
        <v>315</v>
      </c>
      <c r="CV244" t="s">
        <v>719</v>
      </c>
      <c r="CW244" t="s">
        <v>720</v>
      </c>
      <c r="CX244" t="s">
        <v>721</v>
      </c>
      <c r="CY244" t="s">
        <v>551</v>
      </c>
      <c r="CZ244" t="s">
        <v>319</v>
      </c>
      <c r="DA244" t="s">
        <v>152</v>
      </c>
      <c r="DB244" t="s">
        <v>178</v>
      </c>
      <c r="DC244" t="s">
        <v>207</v>
      </c>
      <c r="DD244" t="s">
        <v>155</v>
      </c>
      <c r="DE244">
        <v>2069</v>
      </c>
      <c r="DF244">
        <v>-121.36967300000001</v>
      </c>
      <c r="DG244">
        <v>38.049534000000001</v>
      </c>
      <c r="DH244">
        <v>7600</v>
      </c>
      <c r="DI244">
        <v>1000</v>
      </c>
      <c r="DL244">
        <v>18</v>
      </c>
      <c r="DM244">
        <v>15</v>
      </c>
      <c r="DN244">
        <v>30</v>
      </c>
      <c r="DO244">
        <v>5</v>
      </c>
      <c r="DP244">
        <v>10</v>
      </c>
      <c r="DQ244">
        <v>1700</v>
      </c>
      <c r="DS244" t="s">
        <v>322</v>
      </c>
      <c r="DT244">
        <v>1.2500000000000001E-2</v>
      </c>
      <c r="DU244">
        <v>1.2500000000000001E-2</v>
      </c>
      <c r="DV244">
        <v>0.32500000000000001</v>
      </c>
      <c r="DW244">
        <v>0.32500000000000001</v>
      </c>
      <c r="DX244">
        <v>0.32500000000000001</v>
      </c>
      <c r="DY244">
        <v>0</v>
      </c>
      <c r="DZ244" s="4">
        <v>4.5339999999999998</v>
      </c>
      <c r="EA244" s="4" t="s">
        <v>1291</v>
      </c>
      <c r="EB244" s="4" t="s">
        <v>1292</v>
      </c>
      <c r="EC244">
        <v>5.33</v>
      </c>
      <c r="ED244">
        <v>894</v>
      </c>
      <c r="EE244" t="s">
        <v>1288</v>
      </c>
      <c r="EF244">
        <v>0</v>
      </c>
      <c r="EH244">
        <f t="shared" si="7"/>
        <v>0.58000000000000007</v>
      </c>
      <c r="EI244">
        <v>3.38</v>
      </c>
      <c r="EJ244">
        <v>3.65</v>
      </c>
    </row>
    <row r="245" spans="1:140" x14ac:dyDescent="0.35">
      <c r="A245" s="1">
        <v>243</v>
      </c>
      <c r="B245">
        <v>-122.0674017026772</v>
      </c>
      <c r="C245">
        <v>43.032710206823502</v>
      </c>
      <c r="D245" t="s">
        <v>1293</v>
      </c>
      <c r="E245">
        <v>0.1</v>
      </c>
      <c r="F245" t="s">
        <v>135</v>
      </c>
      <c r="G245">
        <v>7.3200000000000001E-2</v>
      </c>
      <c r="H245" t="s">
        <v>161</v>
      </c>
      <c r="I245">
        <v>-13588481</v>
      </c>
      <c r="J245">
        <v>5316952</v>
      </c>
      <c r="K245" t="s">
        <v>1285</v>
      </c>
      <c r="L245" t="s">
        <v>1294</v>
      </c>
      <c r="M245">
        <v>18</v>
      </c>
      <c r="N245">
        <v>4.29</v>
      </c>
      <c r="O245">
        <v>4</v>
      </c>
      <c r="P245">
        <v>9</v>
      </c>
      <c r="Q245">
        <v>41</v>
      </c>
      <c r="R245">
        <v>35</v>
      </c>
      <c r="S245">
        <v>69416</v>
      </c>
      <c r="T245" t="s">
        <v>1287</v>
      </c>
      <c r="U245">
        <v>6.447431924405608</v>
      </c>
      <c r="V245" t="s">
        <v>1285</v>
      </c>
      <c r="W245">
        <v>0.1111</v>
      </c>
      <c r="X245">
        <v>10</v>
      </c>
      <c r="Y245">
        <v>8.9</v>
      </c>
      <c r="Z245">
        <v>8.9</v>
      </c>
      <c r="AA245">
        <v>20</v>
      </c>
      <c r="AB245">
        <v>26</v>
      </c>
      <c r="AC245">
        <v>0.35199999999999998</v>
      </c>
      <c r="AD245">
        <v>67</v>
      </c>
      <c r="AE245">
        <v>5.5944055944055937E-2</v>
      </c>
      <c r="AF245">
        <v>2.86</v>
      </c>
      <c r="AG245" t="s">
        <v>1287</v>
      </c>
      <c r="AH245" t="s">
        <v>1285</v>
      </c>
      <c r="AI245">
        <v>76</v>
      </c>
      <c r="AJ245">
        <v>2.5333333333333329E-2</v>
      </c>
      <c r="AK245">
        <v>25.333333333333329</v>
      </c>
      <c r="AL245" t="s">
        <v>1174</v>
      </c>
      <c r="AM245">
        <v>0</v>
      </c>
      <c r="AN245">
        <v>1.45</v>
      </c>
      <c r="AO245">
        <v>0.09</v>
      </c>
      <c r="AP245">
        <v>0.19</v>
      </c>
      <c r="AQ245">
        <v>1.1599999999999999</v>
      </c>
      <c r="AR245">
        <v>1.02</v>
      </c>
      <c r="AS245">
        <v>0.13</v>
      </c>
      <c r="AT245">
        <v>0.01</v>
      </c>
      <c r="AU245">
        <v>0.02</v>
      </c>
      <c r="AV245">
        <v>2.4900000000000002</v>
      </c>
      <c r="AW245">
        <v>1.49</v>
      </c>
      <c r="AX245">
        <v>0.21</v>
      </c>
      <c r="AY245">
        <v>0.53</v>
      </c>
      <c r="AZ245">
        <v>0</v>
      </c>
      <c r="BA245">
        <v>1.08</v>
      </c>
      <c r="BB245">
        <v>0.24</v>
      </c>
      <c r="BC245">
        <v>0.17</v>
      </c>
      <c r="BD245">
        <v>0.27</v>
      </c>
      <c r="BE245">
        <v>6.91</v>
      </c>
      <c r="BF245">
        <v>6.22</v>
      </c>
      <c r="BG245">
        <v>0.24</v>
      </c>
      <c r="BH245">
        <v>0.45</v>
      </c>
      <c r="BI245">
        <v>0</v>
      </c>
      <c r="BJ245">
        <v>0.11</v>
      </c>
      <c r="BK245">
        <v>6.1</v>
      </c>
      <c r="BL245">
        <v>0</v>
      </c>
      <c r="BM245">
        <v>1.97</v>
      </c>
      <c r="BN245">
        <v>0.21</v>
      </c>
      <c r="BO245">
        <v>0.46</v>
      </c>
      <c r="BP245">
        <v>1.3</v>
      </c>
      <c r="BQ245">
        <v>1.01</v>
      </c>
      <c r="BR245">
        <v>0.17</v>
      </c>
      <c r="BS245">
        <v>0.12</v>
      </c>
      <c r="BT245">
        <v>0</v>
      </c>
      <c r="BU245">
        <v>7.31</v>
      </c>
      <c r="BV245">
        <v>6.25</v>
      </c>
      <c r="BW245">
        <v>0.34</v>
      </c>
      <c r="BX245">
        <v>0.72</v>
      </c>
      <c r="BY245">
        <v>0</v>
      </c>
      <c r="BZ245">
        <v>0.11</v>
      </c>
      <c r="CA245">
        <v>6.14</v>
      </c>
      <c r="CB245">
        <v>0</v>
      </c>
      <c r="CC245">
        <f t="shared" si="6"/>
        <v>2.75</v>
      </c>
      <c r="CD245">
        <v>3.96</v>
      </c>
      <c r="CE245">
        <v>0.34230769230769231</v>
      </c>
      <c r="CF245">
        <v>0.44500000000000001</v>
      </c>
      <c r="CG245">
        <v>0.1492537313432836</v>
      </c>
      <c r="CH245">
        <v>0.1230769230769231</v>
      </c>
      <c r="CI245">
        <v>0</v>
      </c>
      <c r="CJ245">
        <v>21459</v>
      </c>
      <c r="CK245" t="s">
        <v>141</v>
      </c>
      <c r="CL245" t="s">
        <v>1295</v>
      </c>
      <c r="CM245" t="s">
        <v>143</v>
      </c>
      <c r="CN245">
        <v>0.41271134948600002</v>
      </c>
      <c r="CO245">
        <v>17.20364966682223</v>
      </c>
      <c r="CP245">
        <v>244</v>
      </c>
      <c r="CQ245" t="s">
        <v>1296</v>
      </c>
      <c r="CR245">
        <v>223</v>
      </c>
      <c r="CS245" t="s">
        <v>717</v>
      </c>
      <c r="CT245" t="s">
        <v>718</v>
      </c>
      <c r="CU245" t="s">
        <v>315</v>
      </c>
      <c r="CV245" t="s">
        <v>719</v>
      </c>
      <c r="CW245" t="s">
        <v>720</v>
      </c>
      <c r="CX245" t="s">
        <v>721</v>
      </c>
      <c r="CY245" t="s">
        <v>551</v>
      </c>
      <c r="CZ245" t="s">
        <v>319</v>
      </c>
      <c r="DA245" t="s">
        <v>152</v>
      </c>
      <c r="DB245" t="s">
        <v>178</v>
      </c>
      <c r="DC245" t="s">
        <v>207</v>
      </c>
      <c r="DD245" t="s">
        <v>155</v>
      </c>
      <c r="DE245">
        <v>2069</v>
      </c>
      <c r="DF245">
        <v>-121.36967300000001</v>
      </c>
      <c r="DG245">
        <v>38.049534000000001</v>
      </c>
      <c r="DH245">
        <v>7600</v>
      </c>
      <c r="DI245">
        <v>1000</v>
      </c>
      <c r="DL245">
        <v>18</v>
      </c>
      <c r="DM245">
        <v>15</v>
      </c>
      <c r="DN245">
        <v>30</v>
      </c>
      <c r="DO245">
        <v>5</v>
      </c>
      <c r="DP245">
        <v>10</v>
      </c>
      <c r="DQ245">
        <v>1700</v>
      </c>
      <c r="DS245" t="s">
        <v>322</v>
      </c>
      <c r="DT245">
        <v>1.2500000000000001E-2</v>
      </c>
      <c r="DU245">
        <v>1.2500000000000001E-2</v>
      </c>
      <c r="DV245">
        <v>0.32500000000000001</v>
      </c>
      <c r="DW245">
        <v>0.32500000000000001</v>
      </c>
      <c r="DX245">
        <v>0.32500000000000001</v>
      </c>
      <c r="DY245">
        <v>58.546093697444071</v>
      </c>
      <c r="DZ245" s="4">
        <v>4.5339999999999998</v>
      </c>
      <c r="EA245" s="4" t="s">
        <v>1291</v>
      </c>
      <c r="EB245" s="4" t="s">
        <v>1292</v>
      </c>
      <c r="EC245">
        <v>5.33</v>
      </c>
      <c r="ED245">
        <v>282</v>
      </c>
      <c r="EE245" t="s">
        <v>1174</v>
      </c>
      <c r="EF245">
        <v>0</v>
      </c>
      <c r="EH245">
        <f t="shared" si="7"/>
        <v>0.58000000000000007</v>
      </c>
      <c r="EI245">
        <v>3.38</v>
      </c>
      <c r="EJ245">
        <v>3.65</v>
      </c>
    </row>
    <row r="246" spans="1:140" x14ac:dyDescent="0.35">
      <c r="A246" s="1">
        <v>244</v>
      </c>
      <c r="B246">
        <v>-120.27077113443811</v>
      </c>
      <c r="C246">
        <v>43.032710206823502</v>
      </c>
      <c r="D246" t="s">
        <v>1297</v>
      </c>
      <c r="E246">
        <v>0.1</v>
      </c>
      <c r="F246" t="s">
        <v>135</v>
      </c>
      <c r="G246">
        <v>7.3200000000000001E-2</v>
      </c>
      <c r="H246" t="s">
        <v>161</v>
      </c>
      <c r="I246">
        <v>-13388481</v>
      </c>
      <c r="J246">
        <v>5316952</v>
      </c>
      <c r="K246" t="s">
        <v>1285</v>
      </c>
      <c r="L246" t="s">
        <v>1298</v>
      </c>
      <c r="M246">
        <v>19</v>
      </c>
      <c r="N246">
        <v>4.4000000000000004</v>
      </c>
      <c r="O246">
        <v>4</v>
      </c>
      <c r="P246">
        <v>9</v>
      </c>
      <c r="Q246">
        <v>41</v>
      </c>
      <c r="R246">
        <v>37</v>
      </c>
      <c r="S246">
        <v>8158</v>
      </c>
      <c r="T246" t="s">
        <v>1287</v>
      </c>
      <c r="U246">
        <v>6.447431924405608</v>
      </c>
      <c r="V246" t="s">
        <v>1285</v>
      </c>
      <c r="W246">
        <v>0.1111</v>
      </c>
      <c r="X246">
        <v>10</v>
      </c>
      <c r="Y246">
        <v>8.9</v>
      </c>
      <c r="Z246">
        <v>8.9</v>
      </c>
      <c r="AA246">
        <v>20</v>
      </c>
      <c r="AB246">
        <v>26</v>
      </c>
      <c r="AC246">
        <v>0.35199999999999998</v>
      </c>
      <c r="AD246">
        <v>67</v>
      </c>
      <c r="AE246">
        <v>5.5944055944055937E-2</v>
      </c>
      <c r="AF246">
        <v>2.86</v>
      </c>
      <c r="AG246" t="s">
        <v>1287</v>
      </c>
      <c r="AH246" t="s">
        <v>1285</v>
      </c>
      <c r="AI246">
        <v>76</v>
      </c>
      <c r="AJ246">
        <v>2.5333333333333329E-2</v>
      </c>
      <c r="AK246">
        <v>25.333333333333329</v>
      </c>
      <c r="AL246" t="s">
        <v>1174</v>
      </c>
      <c r="AM246">
        <v>81062.328444702536</v>
      </c>
      <c r="AN246">
        <v>1.45</v>
      </c>
      <c r="AO246">
        <v>0.09</v>
      </c>
      <c r="AP246">
        <v>0.19</v>
      </c>
      <c r="AQ246">
        <v>1.1599999999999999</v>
      </c>
      <c r="AR246">
        <v>1.02</v>
      </c>
      <c r="AS246">
        <v>0.13</v>
      </c>
      <c r="AT246">
        <v>0.01</v>
      </c>
      <c r="AU246">
        <v>0.02</v>
      </c>
      <c r="AV246">
        <v>2.4900000000000002</v>
      </c>
      <c r="AW246">
        <v>1.49</v>
      </c>
      <c r="AX246">
        <v>0.21</v>
      </c>
      <c r="AY246">
        <v>0.53</v>
      </c>
      <c r="AZ246">
        <v>0</v>
      </c>
      <c r="BA246">
        <v>1.08</v>
      </c>
      <c r="BB246">
        <v>0.24</v>
      </c>
      <c r="BC246">
        <v>0.17</v>
      </c>
      <c r="BD246">
        <v>0.27</v>
      </c>
      <c r="BE246">
        <v>6.91</v>
      </c>
      <c r="BF246">
        <v>6.22</v>
      </c>
      <c r="BG246">
        <v>0.24</v>
      </c>
      <c r="BH246">
        <v>0.45</v>
      </c>
      <c r="BI246">
        <v>0</v>
      </c>
      <c r="BJ246">
        <v>0.11</v>
      </c>
      <c r="BK246">
        <v>6.1</v>
      </c>
      <c r="BL246">
        <v>0</v>
      </c>
      <c r="BM246">
        <v>1.97</v>
      </c>
      <c r="BN246">
        <v>0.21</v>
      </c>
      <c r="BO246">
        <v>0.46</v>
      </c>
      <c r="BP246">
        <v>1.3</v>
      </c>
      <c r="BQ246">
        <v>1.01</v>
      </c>
      <c r="BR246">
        <v>0.17</v>
      </c>
      <c r="BS246">
        <v>0.12</v>
      </c>
      <c r="BT246">
        <v>0</v>
      </c>
      <c r="BU246">
        <v>7.31</v>
      </c>
      <c r="BV246">
        <v>6.25</v>
      </c>
      <c r="BW246">
        <v>0.34</v>
      </c>
      <c r="BX246">
        <v>0.72</v>
      </c>
      <c r="BY246">
        <v>0</v>
      </c>
      <c r="BZ246">
        <v>0.11</v>
      </c>
      <c r="CA246">
        <v>6.14</v>
      </c>
      <c r="CB246">
        <v>0</v>
      </c>
      <c r="CC246">
        <f t="shared" si="6"/>
        <v>2.75</v>
      </c>
      <c r="CD246">
        <v>3.96</v>
      </c>
      <c r="CE246">
        <v>0.34230769230769231</v>
      </c>
      <c r="CF246">
        <v>0.44500000000000001</v>
      </c>
      <c r="CG246">
        <v>0.1492537313432836</v>
      </c>
      <c r="CH246">
        <v>0.1230769230769231</v>
      </c>
      <c r="CI246">
        <v>0</v>
      </c>
      <c r="CJ246">
        <v>31701</v>
      </c>
      <c r="CK246" t="s">
        <v>141</v>
      </c>
      <c r="CL246" t="s">
        <v>1179</v>
      </c>
      <c r="CM246" t="s">
        <v>143</v>
      </c>
      <c r="CN246">
        <v>1.49094951384</v>
      </c>
      <c r="CO246">
        <v>83.735279187797616</v>
      </c>
      <c r="CP246">
        <v>245</v>
      </c>
      <c r="CQ246" t="s">
        <v>1296</v>
      </c>
      <c r="CR246">
        <v>223</v>
      </c>
      <c r="CS246" t="s">
        <v>717</v>
      </c>
      <c r="CT246" t="s">
        <v>718</v>
      </c>
      <c r="CU246" t="s">
        <v>315</v>
      </c>
      <c r="CV246" t="s">
        <v>719</v>
      </c>
      <c r="CW246" t="s">
        <v>720</v>
      </c>
      <c r="CX246" t="s">
        <v>721</v>
      </c>
      <c r="CY246" t="s">
        <v>551</v>
      </c>
      <c r="CZ246" t="s">
        <v>319</v>
      </c>
      <c r="DA246" t="s">
        <v>152</v>
      </c>
      <c r="DB246" t="s">
        <v>178</v>
      </c>
      <c r="DC246" t="s">
        <v>207</v>
      </c>
      <c r="DD246" t="s">
        <v>155</v>
      </c>
      <c r="DE246">
        <v>2069</v>
      </c>
      <c r="DF246">
        <v>-121.36967300000001</v>
      </c>
      <c r="DG246">
        <v>38.049534000000001</v>
      </c>
      <c r="DH246">
        <v>7600</v>
      </c>
      <c r="DI246">
        <v>1000</v>
      </c>
      <c r="DL246">
        <v>18</v>
      </c>
      <c r="DM246">
        <v>15</v>
      </c>
      <c r="DN246">
        <v>30</v>
      </c>
      <c r="DO246">
        <v>5</v>
      </c>
      <c r="DP246">
        <v>10</v>
      </c>
      <c r="DQ246">
        <v>1700</v>
      </c>
      <c r="DS246" t="s">
        <v>322</v>
      </c>
      <c r="DT246">
        <v>1.2500000000000001E-2</v>
      </c>
      <c r="DU246">
        <v>1.2500000000000001E-2</v>
      </c>
      <c r="DV246">
        <v>0.32500000000000001</v>
      </c>
      <c r="DW246">
        <v>0.32500000000000001</v>
      </c>
      <c r="DX246">
        <v>0.32500000000000001</v>
      </c>
      <c r="DY246">
        <v>4.6673451401460877</v>
      </c>
      <c r="DZ246" s="4">
        <v>4.5339999999999998</v>
      </c>
      <c r="EA246" s="4" t="s">
        <v>1291</v>
      </c>
      <c r="EB246" s="4" t="s">
        <v>1292</v>
      </c>
      <c r="EC246">
        <v>5.33</v>
      </c>
      <c r="ED246">
        <v>203</v>
      </c>
      <c r="EE246" t="s">
        <v>1299</v>
      </c>
      <c r="EF246">
        <v>0.57889560100434589</v>
      </c>
      <c r="EH246">
        <f t="shared" si="7"/>
        <v>0.58000000000000007</v>
      </c>
      <c r="EI246">
        <v>3.38</v>
      </c>
      <c r="EJ246">
        <v>3.65</v>
      </c>
    </row>
    <row r="247" spans="1:140" x14ac:dyDescent="0.35">
      <c r="A247" s="1">
        <v>245</v>
      </c>
      <c r="B247">
        <v>-118.4741405661991</v>
      </c>
      <c r="C247">
        <v>43.032710206823502</v>
      </c>
      <c r="D247" t="s">
        <v>1300</v>
      </c>
      <c r="E247">
        <v>0.1</v>
      </c>
      <c r="F247" t="s">
        <v>135</v>
      </c>
      <c r="G247">
        <v>7.3200000000000001E-2</v>
      </c>
      <c r="H247" t="s">
        <v>136</v>
      </c>
      <c r="I247">
        <v>-13188481</v>
      </c>
      <c r="J247">
        <v>5316952</v>
      </c>
      <c r="K247" t="s">
        <v>1285</v>
      </c>
      <c r="L247" t="s">
        <v>1301</v>
      </c>
      <c r="M247">
        <v>13</v>
      </c>
      <c r="N247">
        <v>4.5419999999999998</v>
      </c>
      <c r="O247">
        <v>4</v>
      </c>
      <c r="P247">
        <v>9</v>
      </c>
      <c r="Q247">
        <v>41</v>
      </c>
      <c r="R247">
        <v>25</v>
      </c>
      <c r="S247">
        <v>7499</v>
      </c>
      <c r="T247" t="s">
        <v>1287</v>
      </c>
      <c r="U247">
        <v>6.447431924405608</v>
      </c>
      <c r="V247" t="s">
        <v>1285</v>
      </c>
      <c r="W247">
        <v>0.1111</v>
      </c>
      <c r="X247">
        <v>10</v>
      </c>
      <c r="Y247">
        <v>8.9</v>
      </c>
      <c r="Z247">
        <v>8.9</v>
      </c>
      <c r="AA247">
        <v>20</v>
      </c>
      <c r="AB247">
        <v>26</v>
      </c>
      <c r="AC247">
        <v>0.35199999999999998</v>
      </c>
      <c r="AD247">
        <v>67</v>
      </c>
      <c r="AE247">
        <v>5.5944055944055937E-2</v>
      </c>
      <c r="AF247">
        <v>2.86</v>
      </c>
      <c r="AG247" t="s">
        <v>1287</v>
      </c>
      <c r="AH247" t="s">
        <v>1285</v>
      </c>
      <c r="AI247">
        <v>76</v>
      </c>
      <c r="AJ247">
        <v>2.5333333333333329E-2</v>
      </c>
      <c r="AK247">
        <v>25.333333333333329</v>
      </c>
      <c r="AL247" t="s">
        <v>1302</v>
      </c>
      <c r="AM247">
        <v>27324.263869837119</v>
      </c>
      <c r="AN247">
        <v>1.45</v>
      </c>
      <c r="AO247">
        <v>0.09</v>
      </c>
      <c r="AP247">
        <v>0.19</v>
      </c>
      <c r="AQ247">
        <v>1.1599999999999999</v>
      </c>
      <c r="AR247">
        <v>1.02</v>
      </c>
      <c r="AS247">
        <v>0.13</v>
      </c>
      <c r="AT247">
        <v>0.01</v>
      </c>
      <c r="AU247">
        <v>0.02</v>
      </c>
      <c r="AV247">
        <v>2.4900000000000002</v>
      </c>
      <c r="AW247">
        <v>1.49</v>
      </c>
      <c r="AX247">
        <v>0.21</v>
      </c>
      <c r="AY247">
        <v>0.53</v>
      </c>
      <c r="AZ247">
        <v>0</v>
      </c>
      <c r="BA247">
        <v>1.08</v>
      </c>
      <c r="BB247">
        <v>0.24</v>
      </c>
      <c r="BC247">
        <v>0.17</v>
      </c>
      <c r="BD247">
        <v>0.27</v>
      </c>
      <c r="BE247">
        <v>6.91</v>
      </c>
      <c r="BF247">
        <v>6.22</v>
      </c>
      <c r="BG247">
        <v>0.24</v>
      </c>
      <c r="BH247">
        <v>0.45</v>
      </c>
      <c r="BI247">
        <v>0</v>
      </c>
      <c r="BJ247">
        <v>0.11</v>
      </c>
      <c r="BK247">
        <v>6.1</v>
      </c>
      <c r="BL247">
        <v>0</v>
      </c>
      <c r="BM247">
        <v>1.97</v>
      </c>
      <c r="BN247">
        <v>0.21</v>
      </c>
      <c r="BO247">
        <v>0.46</v>
      </c>
      <c r="BP247">
        <v>1.3</v>
      </c>
      <c r="BQ247">
        <v>1.01</v>
      </c>
      <c r="BR247">
        <v>0.17</v>
      </c>
      <c r="BS247">
        <v>0.12</v>
      </c>
      <c r="BT247">
        <v>0</v>
      </c>
      <c r="BU247">
        <v>7.31</v>
      </c>
      <c r="BV247">
        <v>6.25</v>
      </c>
      <c r="BW247">
        <v>0.34</v>
      </c>
      <c r="BX247">
        <v>0.72</v>
      </c>
      <c r="BY247">
        <v>0</v>
      </c>
      <c r="BZ247">
        <v>0.11</v>
      </c>
      <c r="CA247">
        <v>6.14</v>
      </c>
      <c r="CB247">
        <v>0</v>
      </c>
      <c r="CC247">
        <f t="shared" si="6"/>
        <v>2.75</v>
      </c>
      <c r="CD247">
        <v>3.96</v>
      </c>
      <c r="CE247">
        <v>0.34230769230769231</v>
      </c>
      <c r="CF247">
        <v>0.44500000000000001</v>
      </c>
      <c r="CG247">
        <v>0.1492537313432836</v>
      </c>
      <c r="CH247">
        <v>0.1230769230769231</v>
      </c>
      <c r="CI247">
        <v>0</v>
      </c>
      <c r="CJ247">
        <v>31702</v>
      </c>
      <c r="CK247" t="s">
        <v>141</v>
      </c>
      <c r="CL247" t="s">
        <v>1179</v>
      </c>
      <c r="CM247" t="s">
        <v>143</v>
      </c>
      <c r="CN247">
        <v>6.4815094466199996</v>
      </c>
      <c r="CO247">
        <v>141.2318909699068</v>
      </c>
      <c r="CP247">
        <v>246</v>
      </c>
      <c r="CQ247" t="s">
        <v>1301</v>
      </c>
      <c r="CR247">
        <v>223</v>
      </c>
      <c r="CS247" t="s">
        <v>717</v>
      </c>
      <c r="CT247" t="s">
        <v>718</v>
      </c>
      <c r="CU247" t="s">
        <v>315</v>
      </c>
      <c r="CV247" t="s">
        <v>719</v>
      </c>
      <c r="CW247" t="s">
        <v>720</v>
      </c>
      <c r="CX247" t="s">
        <v>721</v>
      </c>
      <c r="CY247" t="s">
        <v>551</v>
      </c>
      <c r="CZ247" t="s">
        <v>319</v>
      </c>
      <c r="DA247" t="s">
        <v>152</v>
      </c>
      <c r="DB247" t="s">
        <v>178</v>
      </c>
      <c r="DC247" t="s">
        <v>207</v>
      </c>
      <c r="DD247" t="s">
        <v>155</v>
      </c>
      <c r="DE247">
        <v>2069</v>
      </c>
      <c r="DF247">
        <v>-121.36967300000001</v>
      </c>
      <c r="DG247">
        <v>38.049534000000001</v>
      </c>
      <c r="DH247">
        <v>7600</v>
      </c>
      <c r="DI247">
        <v>1000</v>
      </c>
      <c r="DL247">
        <v>18</v>
      </c>
      <c r="DM247">
        <v>15</v>
      </c>
      <c r="DN247">
        <v>30</v>
      </c>
      <c r="DO247">
        <v>5</v>
      </c>
      <c r="DP247">
        <v>10</v>
      </c>
      <c r="DQ247">
        <v>1700</v>
      </c>
      <c r="DS247" t="s">
        <v>322</v>
      </c>
      <c r="DT247">
        <v>1.2500000000000001E-2</v>
      </c>
      <c r="DU247">
        <v>1.2500000000000001E-2</v>
      </c>
      <c r="DV247">
        <v>0.32500000000000001</v>
      </c>
      <c r="DW247">
        <v>0.32500000000000001</v>
      </c>
      <c r="DX247">
        <v>0.32500000000000001</v>
      </c>
      <c r="DY247">
        <v>7.8131471615934442</v>
      </c>
      <c r="DZ247" s="4">
        <v>4.5339999999999998</v>
      </c>
      <c r="EA247" s="4" t="s">
        <v>1291</v>
      </c>
      <c r="EB247" s="4" t="s">
        <v>1292</v>
      </c>
      <c r="EC247">
        <v>5.33</v>
      </c>
      <c r="ED247">
        <v>362</v>
      </c>
      <c r="EE247" t="s">
        <v>1302</v>
      </c>
      <c r="EF247">
        <v>0.24545799772751439</v>
      </c>
      <c r="EH247">
        <f t="shared" si="7"/>
        <v>0.58000000000000007</v>
      </c>
      <c r="EI247">
        <v>3.38</v>
      </c>
      <c r="EJ247">
        <v>3.65</v>
      </c>
    </row>
    <row r="248" spans="1:140" x14ac:dyDescent="0.35">
      <c r="A248" s="1">
        <v>246</v>
      </c>
      <c r="B248">
        <v>-116.6775099979601</v>
      </c>
      <c r="C248">
        <v>43.032710206823502</v>
      </c>
      <c r="D248" t="s">
        <v>1303</v>
      </c>
      <c r="E248">
        <v>0.1</v>
      </c>
      <c r="F248" t="s">
        <v>135</v>
      </c>
      <c r="G248">
        <v>4.7399999999999998E-2</v>
      </c>
      <c r="H248" t="s">
        <v>161</v>
      </c>
      <c r="I248">
        <v>-12988481</v>
      </c>
      <c r="J248">
        <v>5316952</v>
      </c>
      <c r="K248" t="s">
        <v>1304</v>
      </c>
      <c r="L248" t="s">
        <v>1305</v>
      </c>
      <c r="M248">
        <v>37</v>
      </c>
      <c r="N248">
        <v>4.0270000000000001</v>
      </c>
      <c r="O248">
        <v>4</v>
      </c>
      <c r="P248">
        <v>8</v>
      </c>
      <c r="Q248">
        <v>16</v>
      </c>
      <c r="R248">
        <v>73</v>
      </c>
      <c r="S248">
        <v>11914</v>
      </c>
      <c r="T248" t="s">
        <v>1306</v>
      </c>
      <c r="U248">
        <v>5.8816805527331848</v>
      </c>
      <c r="V248" t="s">
        <v>1304</v>
      </c>
      <c r="W248">
        <v>9.5100000000000004E-2</v>
      </c>
      <c r="X248">
        <v>10</v>
      </c>
      <c r="Y248">
        <v>8.9</v>
      </c>
      <c r="Z248">
        <v>8.9</v>
      </c>
      <c r="AA248">
        <v>20</v>
      </c>
      <c r="AB248">
        <v>26</v>
      </c>
      <c r="AC248">
        <v>0.38200000000000001</v>
      </c>
      <c r="AD248">
        <v>67</v>
      </c>
      <c r="AE248">
        <v>6.0712015257469797E-2</v>
      </c>
      <c r="AF248">
        <v>2.86</v>
      </c>
      <c r="AG248" t="s">
        <v>1306</v>
      </c>
      <c r="AH248" t="s">
        <v>1304</v>
      </c>
      <c r="AI248">
        <v>38</v>
      </c>
      <c r="AJ248">
        <v>1.266666666666667E-2</v>
      </c>
      <c r="AK248">
        <v>12.66666666666667</v>
      </c>
      <c r="AL248" t="s">
        <v>1307</v>
      </c>
      <c r="AM248">
        <v>0</v>
      </c>
      <c r="AN248">
        <v>1.27</v>
      </c>
      <c r="AO248">
        <v>0.09</v>
      </c>
      <c r="AP248">
        <v>0.19</v>
      </c>
      <c r="AQ248">
        <v>0.99</v>
      </c>
      <c r="AR248">
        <v>0.93</v>
      </c>
      <c r="AS248">
        <v>0.04</v>
      </c>
      <c r="AT248">
        <v>0.01</v>
      </c>
      <c r="AU248">
        <v>0.02</v>
      </c>
      <c r="AV248">
        <v>2.2200000000000002</v>
      </c>
      <c r="AW248">
        <v>1.22</v>
      </c>
      <c r="AX248">
        <v>0.21</v>
      </c>
      <c r="AY248">
        <v>0.53</v>
      </c>
      <c r="AZ248">
        <v>0</v>
      </c>
      <c r="BA248">
        <v>0.99</v>
      </c>
      <c r="BB248">
        <v>0.08</v>
      </c>
      <c r="BC248">
        <v>0.15</v>
      </c>
      <c r="BD248">
        <v>0.27</v>
      </c>
      <c r="BE248">
        <v>6.28</v>
      </c>
      <c r="BF248">
        <v>5.59</v>
      </c>
      <c r="BG248">
        <v>0.24</v>
      </c>
      <c r="BH248">
        <v>0.45</v>
      </c>
      <c r="BI248">
        <v>0</v>
      </c>
      <c r="BJ248">
        <v>0.04</v>
      </c>
      <c r="BK248">
        <v>5.55</v>
      </c>
      <c r="BL248">
        <v>0</v>
      </c>
      <c r="BM248">
        <v>1.76</v>
      </c>
      <c r="BN248">
        <v>0.21</v>
      </c>
      <c r="BO248">
        <v>0.46</v>
      </c>
      <c r="BP248">
        <v>1.0900000000000001</v>
      </c>
      <c r="BQ248">
        <v>0.92</v>
      </c>
      <c r="BR248">
        <v>0.06</v>
      </c>
      <c r="BS248">
        <v>0.11</v>
      </c>
      <c r="BT248">
        <v>0</v>
      </c>
      <c r="BU248">
        <v>6.68</v>
      </c>
      <c r="BV248">
        <v>5.62</v>
      </c>
      <c r="BW248">
        <v>0.34</v>
      </c>
      <c r="BX248">
        <v>0.72</v>
      </c>
      <c r="BY248">
        <v>0</v>
      </c>
      <c r="BZ248">
        <v>0.04</v>
      </c>
      <c r="CA248">
        <v>5.58</v>
      </c>
      <c r="CB248">
        <v>0</v>
      </c>
      <c r="CC248">
        <f t="shared" si="6"/>
        <v>2.75</v>
      </c>
      <c r="CD248">
        <v>3.96</v>
      </c>
      <c r="CE248">
        <v>0.34230769230769231</v>
      </c>
      <c r="CF248">
        <v>0.44500000000000001</v>
      </c>
      <c r="CG248">
        <v>0.1492537313432836</v>
      </c>
      <c r="CH248">
        <v>0.13356643356643361</v>
      </c>
      <c r="CI248">
        <v>0</v>
      </c>
      <c r="CJ248">
        <v>16194</v>
      </c>
      <c r="CK248" t="s">
        <v>141</v>
      </c>
      <c r="CL248" t="s">
        <v>845</v>
      </c>
      <c r="CM248" t="s">
        <v>143</v>
      </c>
      <c r="CN248">
        <v>0.49675109871399997</v>
      </c>
      <c r="CO248">
        <v>52.029357545001552</v>
      </c>
      <c r="CP248">
        <v>247</v>
      </c>
      <c r="CQ248" t="s">
        <v>1308</v>
      </c>
      <c r="CR248">
        <v>213</v>
      </c>
      <c r="CS248" t="s">
        <v>1064</v>
      </c>
      <c r="CT248" t="s">
        <v>1063</v>
      </c>
      <c r="CU248" t="s">
        <v>837</v>
      </c>
      <c r="CV248" t="s">
        <v>1065</v>
      </c>
      <c r="CW248" t="s">
        <v>1066</v>
      </c>
      <c r="CX248" t="s">
        <v>1067</v>
      </c>
      <c r="CY248" t="s">
        <v>1068</v>
      </c>
      <c r="CZ248" t="s">
        <v>206</v>
      </c>
      <c r="DA248" t="s">
        <v>152</v>
      </c>
      <c r="DB248" t="s">
        <v>178</v>
      </c>
      <c r="DC248" t="s">
        <v>961</v>
      </c>
      <c r="DD248" t="s">
        <v>208</v>
      </c>
      <c r="DE248">
        <v>4436</v>
      </c>
      <c r="DF248">
        <v>-111.185568</v>
      </c>
      <c r="DG248">
        <v>41.139183000000003</v>
      </c>
      <c r="DH248">
        <v>6780</v>
      </c>
      <c r="DI248">
        <v>420</v>
      </c>
      <c r="DJ248">
        <v>2937</v>
      </c>
      <c r="DK248">
        <v>144</v>
      </c>
      <c r="DL248">
        <v>22</v>
      </c>
      <c r="DO248">
        <v>145</v>
      </c>
      <c r="DP248">
        <v>10</v>
      </c>
      <c r="DQ248">
        <v>200</v>
      </c>
      <c r="DS248" t="s">
        <v>1069</v>
      </c>
      <c r="DT248">
        <v>1.2500000000000001E-2</v>
      </c>
      <c r="DU248">
        <v>1.2500000000000001E-2</v>
      </c>
      <c r="DV248">
        <v>0.32500000000000001</v>
      </c>
      <c r="DW248">
        <v>0.32500000000000001</v>
      </c>
      <c r="DX248">
        <v>0.32500000000000001</v>
      </c>
      <c r="DY248">
        <v>23.511920171536008</v>
      </c>
      <c r="DZ248" s="4">
        <v>4.016</v>
      </c>
      <c r="EA248" s="4" t="s">
        <v>1309</v>
      </c>
      <c r="EB248" s="4" t="s">
        <v>1310</v>
      </c>
      <c r="EC248">
        <v>4.6689999999999996</v>
      </c>
      <c r="ED248">
        <v>43</v>
      </c>
      <c r="EE248" t="s">
        <v>1307</v>
      </c>
      <c r="EF248">
        <v>0</v>
      </c>
      <c r="EH248">
        <f t="shared" si="7"/>
        <v>0.58000000000000007</v>
      </c>
      <c r="EI248">
        <v>3.38</v>
      </c>
      <c r="EJ248">
        <v>3.65</v>
      </c>
    </row>
    <row r="249" spans="1:140" x14ac:dyDescent="0.35">
      <c r="A249" s="1">
        <v>247</v>
      </c>
      <c r="B249">
        <v>-114.88087942972101</v>
      </c>
      <c r="C249">
        <v>43.032710206823502</v>
      </c>
      <c r="D249" t="s">
        <v>1311</v>
      </c>
      <c r="E249">
        <v>0.1</v>
      </c>
      <c r="F249" t="s">
        <v>306</v>
      </c>
      <c r="G249">
        <v>7.3200000000000001E-2</v>
      </c>
      <c r="H249" t="s">
        <v>161</v>
      </c>
      <c r="I249">
        <v>-12788481</v>
      </c>
      <c r="J249">
        <v>5316952</v>
      </c>
      <c r="K249" t="s">
        <v>1304</v>
      </c>
      <c r="L249" t="s">
        <v>1312</v>
      </c>
      <c r="M249">
        <v>24</v>
      </c>
      <c r="N249">
        <v>4.1260000000000003</v>
      </c>
      <c r="O249">
        <v>4</v>
      </c>
      <c r="P249">
        <v>8</v>
      </c>
      <c r="Q249">
        <v>16</v>
      </c>
      <c r="R249">
        <v>47</v>
      </c>
      <c r="S249">
        <v>15599</v>
      </c>
      <c r="T249" t="s">
        <v>1306</v>
      </c>
      <c r="U249">
        <v>5.8816805527331848</v>
      </c>
      <c r="V249" t="s">
        <v>1304</v>
      </c>
      <c r="W249">
        <v>9.5100000000000004E-2</v>
      </c>
      <c r="X249">
        <v>10</v>
      </c>
      <c r="Y249">
        <v>8.9</v>
      </c>
      <c r="Z249">
        <v>8.9</v>
      </c>
      <c r="AA249">
        <v>20</v>
      </c>
      <c r="AB249">
        <v>26</v>
      </c>
      <c r="AC249">
        <v>0.38200000000000001</v>
      </c>
      <c r="AD249">
        <v>67</v>
      </c>
      <c r="AE249">
        <v>6.0712015257469797E-2</v>
      </c>
      <c r="AF249">
        <v>2.86</v>
      </c>
      <c r="AG249" t="s">
        <v>1306</v>
      </c>
      <c r="AH249" t="s">
        <v>1304</v>
      </c>
      <c r="AI249">
        <v>38</v>
      </c>
      <c r="AJ249">
        <v>1.266666666666667E-2</v>
      </c>
      <c r="AK249">
        <v>12.66666666666667</v>
      </c>
      <c r="AL249" t="s">
        <v>1313</v>
      </c>
      <c r="AM249">
        <v>19983.776849614911</v>
      </c>
      <c r="AN249">
        <v>1.27</v>
      </c>
      <c r="AO249">
        <v>0.09</v>
      </c>
      <c r="AP249">
        <v>0.19</v>
      </c>
      <c r="AQ249">
        <v>0.99</v>
      </c>
      <c r="AR249">
        <v>0.93</v>
      </c>
      <c r="AS249">
        <v>0.04</v>
      </c>
      <c r="AT249">
        <v>0.01</v>
      </c>
      <c r="AU249">
        <v>0.02</v>
      </c>
      <c r="AV249">
        <v>2.2200000000000002</v>
      </c>
      <c r="AW249">
        <v>1.22</v>
      </c>
      <c r="AX249">
        <v>0.21</v>
      </c>
      <c r="AY249">
        <v>0.53</v>
      </c>
      <c r="AZ249">
        <v>0</v>
      </c>
      <c r="BA249">
        <v>0.99</v>
      </c>
      <c r="BB249">
        <v>0.08</v>
      </c>
      <c r="BC249">
        <v>0.15</v>
      </c>
      <c r="BD249">
        <v>0.27</v>
      </c>
      <c r="BE249">
        <v>6.28</v>
      </c>
      <c r="BF249">
        <v>5.59</v>
      </c>
      <c r="BG249">
        <v>0.24</v>
      </c>
      <c r="BH249">
        <v>0.45</v>
      </c>
      <c r="BI249">
        <v>0</v>
      </c>
      <c r="BJ249">
        <v>0.04</v>
      </c>
      <c r="BK249">
        <v>5.55</v>
      </c>
      <c r="BL249">
        <v>0</v>
      </c>
      <c r="BM249">
        <v>1.76</v>
      </c>
      <c r="BN249">
        <v>0.21</v>
      </c>
      <c r="BO249">
        <v>0.46</v>
      </c>
      <c r="BP249">
        <v>1.0900000000000001</v>
      </c>
      <c r="BQ249">
        <v>0.92</v>
      </c>
      <c r="BR249">
        <v>0.06</v>
      </c>
      <c r="BS249">
        <v>0.11</v>
      </c>
      <c r="BT249">
        <v>0</v>
      </c>
      <c r="BU249">
        <v>6.68</v>
      </c>
      <c r="BV249">
        <v>5.62</v>
      </c>
      <c r="BW249">
        <v>0.34</v>
      </c>
      <c r="BX249">
        <v>0.72</v>
      </c>
      <c r="BY249">
        <v>0</v>
      </c>
      <c r="BZ249">
        <v>0.04</v>
      </c>
      <c r="CA249">
        <v>5.58</v>
      </c>
      <c r="CB249">
        <v>0</v>
      </c>
      <c r="CC249">
        <f t="shared" si="6"/>
        <v>2.75</v>
      </c>
      <c r="CD249">
        <v>3.96</v>
      </c>
      <c r="CE249">
        <v>0.34230769230769231</v>
      </c>
      <c r="CF249">
        <v>0.44500000000000001</v>
      </c>
      <c r="CG249">
        <v>0.1492537313432836</v>
      </c>
      <c r="CH249">
        <v>0.13356643356643361</v>
      </c>
      <c r="CI249">
        <v>0</v>
      </c>
      <c r="CJ249">
        <v>16167</v>
      </c>
      <c r="CK249" t="s">
        <v>141</v>
      </c>
      <c r="CL249" t="s">
        <v>845</v>
      </c>
      <c r="CM249" t="s">
        <v>143</v>
      </c>
      <c r="CN249">
        <v>0.317870138794</v>
      </c>
      <c r="CO249">
        <v>23.749041129508019</v>
      </c>
      <c r="CP249">
        <v>248</v>
      </c>
      <c r="CQ249" t="s">
        <v>712</v>
      </c>
      <c r="CR249">
        <v>223</v>
      </c>
      <c r="CS249" t="s">
        <v>717</v>
      </c>
      <c r="CT249" t="s">
        <v>718</v>
      </c>
      <c r="CU249" t="s">
        <v>315</v>
      </c>
      <c r="CV249" t="s">
        <v>719</v>
      </c>
      <c r="CW249" t="s">
        <v>720</v>
      </c>
      <c r="CX249" t="s">
        <v>721</v>
      </c>
      <c r="CY249" t="s">
        <v>551</v>
      </c>
      <c r="CZ249" t="s">
        <v>319</v>
      </c>
      <c r="DA249" t="s">
        <v>152</v>
      </c>
      <c r="DB249" t="s">
        <v>178</v>
      </c>
      <c r="DC249" t="s">
        <v>207</v>
      </c>
      <c r="DD249" t="s">
        <v>155</v>
      </c>
      <c r="DE249">
        <v>2069</v>
      </c>
      <c r="DF249">
        <v>-121.36967300000001</v>
      </c>
      <c r="DG249">
        <v>38.049534000000001</v>
      </c>
      <c r="DH249">
        <v>7600</v>
      </c>
      <c r="DI249">
        <v>1000</v>
      </c>
      <c r="DL249">
        <v>18</v>
      </c>
      <c r="DM249">
        <v>15</v>
      </c>
      <c r="DN249">
        <v>30</v>
      </c>
      <c r="DO249">
        <v>5</v>
      </c>
      <c r="DP249">
        <v>10</v>
      </c>
      <c r="DQ249">
        <v>1700</v>
      </c>
      <c r="DS249" t="s">
        <v>322</v>
      </c>
      <c r="DT249">
        <v>1.2500000000000001E-2</v>
      </c>
      <c r="DU249">
        <v>1.2500000000000001E-2</v>
      </c>
      <c r="DV249">
        <v>0.32500000000000001</v>
      </c>
      <c r="DW249">
        <v>0.32500000000000001</v>
      </c>
      <c r="DX249">
        <v>0.32500000000000001</v>
      </c>
      <c r="DY249">
        <v>120.646409099251</v>
      </c>
      <c r="DZ249" s="4">
        <v>4.016</v>
      </c>
      <c r="EA249" s="4" t="s">
        <v>1309</v>
      </c>
      <c r="EB249" s="4" t="s">
        <v>1310</v>
      </c>
      <c r="EC249">
        <v>4.6689999999999996</v>
      </c>
      <c r="ED249">
        <v>124</v>
      </c>
      <c r="EE249" t="s">
        <v>1313</v>
      </c>
      <c r="EF249">
        <v>0.14207208353151091</v>
      </c>
      <c r="EH249">
        <f t="shared" si="7"/>
        <v>0.58000000000000007</v>
      </c>
      <c r="EI249">
        <v>3.38</v>
      </c>
      <c r="EJ249">
        <v>3.65</v>
      </c>
    </row>
    <row r="250" spans="1:140" x14ac:dyDescent="0.35">
      <c r="A250" s="1">
        <v>248</v>
      </c>
      <c r="B250">
        <v>-113.084248861482</v>
      </c>
      <c r="C250">
        <v>43.032710206823502</v>
      </c>
      <c r="D250" t="s">
        <v>1314</v>
      </c>
      <c r="E250">
        <v>0.1</v>
      </c>
      <c r="F250" t="s">
        <v>306</v>
      </c>
      <c r="G250">
        <v>4.7399999999999998E-2</v>
      </c>
      <c r="H250" t="s">
        <v>161</v>
      </c>
      <c r="I250">
        <v>-12588481</v>
      </c>
      <c r="J250">
        <v>5316952</v>
      </c>
      <c r="K250" t="s">
        <v>1304</v>
      </c>
      <c r="L250" t="s">
        <v>1315</v>
      </c>
      <c r="M250">
        <v>39</v>
      </c>
      <c r="N250">
        <v>3.952</v>
      </c>
      <c r="O250">
        <v>4</v>
      </c>
      <c r="P250">
        <v>8</v>
      </c>
      <c r="Q250">
        <v>16</v>
      </c>
      <c r="R250">
        <v>77</v>
      </c>
      <c r="S250">
        <v>7874</v>
      </c>
      <c r="T250" t="s">
        <v>1306</v>
      </c>
      <c r="U250">
        <v>5.8816805527331848</v>
      </c>
      <c r="V250" t="s">
        <v>1304</v>
      </c>
      <c r="W250">
        <v>9.5100000000000004E-2</v>
      </c>
      <c r="X250">
        <v>10</v>
      </c>
      <c r="Y250">
        <v>8.9</v>
      </c>
      <c r="Z250">
        <v>8.9</v>
      </c>
      <c r="AA250">
        <v>20</v>
      </c>
      <c r="AB250">
        <v>26</v>
      </c>
      <c r="AC250">
        <v>0.38200000000000001</v>
      </c>
      <c r="AD250">
        <v>67</v>
      </c>
      <c r="AE250">
        <v>6.0712015257469797E-2</v>
      </c>
      <c r="AF250">
        <v>2.86</v>
      </c>
      <c r="AG250" t="s">
        <v>1306</v>
      </c>
      <c r="AH250" t="s">
        <v>1304</v>
      </c>
      <c r="AI250">
        <v>38</v>
      </c>
      <c r="AJ250">
        <v>1.266666666666667E-2</v>
      </c>
      <c r="AK250">
        <v>12.66666666666667</v>
      </c>
      <c r="AL250" t="s">
        <v>1316</v>
      </c>
      <c r="AM250">
        <v>8516.1784768201469</v>
      </c>
      <c r="AN250">
        <v>1.27</v>
      </c>
      <c r="AO250">
        <v>0.09</v>
      </c>
      <c r="AP250">
        <v>0.19</v>
      </c>
      <c r="AQ250">
        <v>0.99</v>
      </c>
      <c r="AR250">
        <v>0.93</v>
      </c>
      <c r="AS250">
        <v>0.04</v>
      </c>
      <c r="AT250">
        <v>0.01</v>
      </c>
      <c r="AU250">
        <v>0.02</v>
      </c>
      <c r="AV250">
        <v>2.2200000000000002</v>
      </c>
      <c r="AW250">
        <v>1.22</v>
      </c>
      <c r="AX250">
        <v>0.21</v>
      </c>
      <c r="AY250">
        <v>0.53</v>
      </c>
      <c r="AZ250">
        <v>0</v>
      </c>
      <c r="BA250">
        <v>0.99</v>
      </c>
      <c r="BB250">
        <v>0.08</v>
      </c>
      <c r="BC250">
        <v>0.15</v>
      </c>
      <c r="BD250">
        <v>0.27</v>
      </c>
      <c r="BE250">
        <v>6.28</v>
      </c>
      <c r="BF250">
        <v>5.59</v>
      </c>
      <c r="BG250">
        <v>0.24</v>
      </c>
      <c r="BH250">
        <v>0.45</v>
      </c>
      <c r="BI250">
        <v>0</v>
      </c>
      <c r="BJ250">
        <v>0.04</v>
      </c>
      <c r="BK250">
        <v>5.55</v>
      </c>
      <c r="BL250">
        <v>0</v>
      </c>
      <c r="BM250">
        <v>1.76</v>
      </c>
      <c r="BN250">
        <v>0.21</v>
      </c>
      <c r="BO250">
        <v>0.46</v>
      </c>
      <c r="BP250">
        <v>1.0900000000000001</v>
      </c>
      <c r="BQ250">
        <v>0.92</v>
      </c>
      <c r="BR250">
        <v>0.06</v>
      </c>
      <c r="BS250">
        <v>0.11</v>
      </c>
      <c r="BT250">
        <v>0</v>
      </c>
      <c r="BU250">
        <v>6.68</v>
      </c>
      <c r="BV250">
        <v>5.62</v>
      </c>
      <c r="BW250">
        <v>0.34</v>
      </c>
      <c r="BX250">
        <v>0.72</v>
      </c>
      <c r="BY250">
        <v>0</v>
      </c>
      <c r="BZ250">
        <v>0.04</v>
      </c>
      <c r="CA250">
        <v>5.58</v>
      </c>
      <c r="CB250">
        <v>0</v>
      </c>
      <c r="CC250">
        <f t="shared" si="6"/>
        <v>2.75</v>
      </c>
      <c r="CD250">
        <v>3.96</v>
      </c>
      <c r="CE250">
        <v>0.34230769230769231</v>
      </c>
      <c r="CF250">
        <v>0.44500000000000001</v>
      </c>
      <c r="CG250">
        <v>0.1492537313432836</v>
      </c>
      <c r="CH250">
        <v>0.13356643356643361</v>
      </c>
      <c r="CI250">
        <v>0</v>
      </c>
      <c r="CJ250">
        <v>16256</v>
      </c>
      <c r="CK250" t="s">
        <v>141</v>
      </c>
      <c r="CL250" t="s">
        <v>845</v>
      </c>
      <c r="CM250" t="s">
        <v>143</v>
      </c>
      <c r="CN250">
        <v>2.3326478986099999</v>
      </c>
      <c r="CO250">
        <v>29.233647473646052</v>
      </c>
      <c r="CP250">
        <v>249</v>
      </c>
      <c r="CQ250" t="s">
        <v>1063</v>
      </c>
      <c r="CR250">
        <v>213</v>
      </c>
      <c r="CS250" t="s">
        <v>1064</v>
      </c>
      <c r="CT250" t="s">
        <v>1063</v>
      </c>
      <c r="CU250" t="s">
        <v>837</v>
      </c>
      <c r="CV250" t="s">
        <v>1065</v>
      </c>
      <c r="CW250" t="s">
        <v>1066</v>
      </c>
      <c r="CX250" t="s">
        <v>1067</v>
      </c>
      <c r="CY250" t="s">
        <v>1068</v>
      </c>
      <c r="CZ250" t="s">
        <v>206</v>
      </c>
      <c r="DA250" t="s">
        <v>152</v>
      </c>
      <c r="DB250" t="s">
        <v>178</v>
      </c>
      <c r="DC250" t="s">
        <v>961</v>
      </c>
      <c r="DD250" t="s">
        <v>208</v>
      </c>
      <c r="DE250">
        <v>4436</v>
      </c>
      <c r="DF250">
        <v>-111.185568</v>
      </c>
      <c r="DG250">
        <v>41.139183000000003</v>
      </c>
      <c r="DH250">
        <v>6780</v>
      </c>
      <c r="DI250">
        <v>420</v>
      </c>
      <c r="DJ250">
        <v>2937</v>
      </c>
      <c r="DK250">
        <v>144</v>
      </c>
      <c r="DL250">
        <v>22</v>
      </c>
      <c r="DO250">
        <v>145</v>
      </c>
      <c r="DP250">
        <v>10</v>
      </c>
      <c r="DQ250">
        <v>200</v>
      </c>
      <c r="DS250" t="s">
        <v>1069</v>
      </c>
      <c r="DT250">
        <v>1.2500000000000001E-2</v>
      </c>
      <c r="DU250">
        <v>1.2500000000000001E-2</v>
      </c>
      <c r="DV250">
        <v>0.32500000000000001</v>
      </c>
      <c r="DW250">
        <v>0.32500000000000001</v>
      </c>
      <c r="DX250">
        <v>0.32500000000000001</v>
      </c>
      <c r="DY250">
        <v>141.03222558215171</v>
      </c>
      <c r="DZ250" s="4">
        <v>4.016</v>
      </c>
      <c r="EA250" s="4" t="s">
        <v>1309</v>
      </c>
      <c r="EB250" s="4" t="s">
        <v>1310</v>
      </c>
      <c r="EC250">
        <v>4.6689999999999996</v>
      </c>
      <c r="ED250">
        <v>744</v>
      </c>
      <c r="EE250" t="s">
        <v>1316</v>
      </c>
      <c r="EF250">
        <v>7.6502135923324263E-2</v>
      </c>
      <c r="EH250">
        <f t="shared" si="7"/>
        <v>0.58000000000000007</v>
      </c>
      <c r="EI250">
        <v>3.38</v>
      </c>
      <c r="EJ250">
        <v>3.65</v>
      </c>
    </row>
    <row r="251" spans="1:140" x14ac:dyDescent="0.35">
      <c r="A251" s="1">
        <v>249</v>
      </c>
      <c r="B251">
        <v>-111.2876182932429</v>
      </c>
      <c r="C251">
        <v>43.032710206823502</v>
      </c>
      <c r="D251" t="s">
        <v>1317</v>
      </c>
      <c r="E251">
        <v>0.1</v>
      </c>
      <c r="F251" t="s">
        <v>135</v>
      </c>
      <c r="G251">
        <v>4.7399999999999998E-2</v>
      </c>
      <c r="H251" t="s">
        <v>161</v>
      </c>
      <c r="I251">
        <v>-12388481</v>
      </c>
      <c r="J251">
        <v>5316952</v>
      </c>
      <c r="K251" t="s">
        <v>1304</v>
      </c>
      <c r="L251" t="s">
        <v>1318</v>
      </c>
      <c r="M251">
        <v>10</v>
      </c>
      <c r="N251">
        <v>3.87</v>
      </c>
      <c r="O251">
        <v>4</v>
      </c>
      <c r="P251">
        <v>8</v>
      </c>
      <c r="Q251">
        <v>16</v>
      </c>
      <c r="R251">
        <v>19</v>
      </c>
      <c r="S251">
        <v>123955</v>
      </c>
      <c r="T251" t="s">
        <v>1306</v>
      </c>
      <c r="U251">
        <v>5.8816805527331848</v>
      </c>
      <c r="V251" t="s">
        <v>1304</v>
      </c>
      <c r="W251">
        <v>9.5100000000000004E-2</v>
      </c>
      <c r="X251">
        <v>10</v>
      </c>
      <c r="Y251">
        <v>8.9</v>
      </c>
      <c r="Z251">
        <v>8.9</v>
      </c>
      <c r="AA251">
        <v>20</v>
      </c>
      <c r="AB251">
        <v>26</v>
      </c>
      <c r="AC251">
        <v>0.38200000000000001</v>
      </c>
      <c r="AD251">
        <v>67</v>
      </c>
      <c r="AE251">
        <v>6.0712015257469797E-2</v>
      </c>
      <c r="AF251">
        <v>2.86</v>
      </c>
      <c r="AG251" t="s">
        <v>1306</v>
      </c>
      <c r="AH251" t="s">
        <v>1304</v>
      </c>
      <c r="AI251">
        <v>38</v>
      </c>
      <c r="AJ251">
        <v>1.266666666666667E-2</v>
      </c>
      <c r="AK251">
        <v>12.66666666666667</v>
      </c>
      <c r="AL251" t="s">
        <v>1319</v>
      </c>
      <c r="AM251">
        <v>0</v>
      </c>
      <c r="AN251">
        <v>1.27</v>
      </c>
      <c r="AO251">
        <v>0.09</v>
      </c>
      <c r="AP251">
        <v>0.19</v>
      </c>
      <c r="AQ251">
        <v>0.99</v>
      </c>
      <c r="AR251">
        <v>0.93</v>
      </c>
      <c r="AS251">
        <v>0.04</v>
      </c>
      <c r="AT251">
        <v>0.01</v>
      </c>
      <c r="AU251">
        <v>0.02</v>
      </c>
      <c r="AV251">
        <v>2.2200000000000002</v>
      </c>
      <c r="AW251">
        <v>1.22</v>
      </c>
      <c r="AX251">
        <v>0.21</v>
      </c>
      <c r="AY251">
        <v>0.53</v>
      </c>
      <c r="AZ251">
        <v>0</v>
      </c>
      <c r="BA251">
        <v>0.99</v>
      </c>
      <c r="BB251">
        <v>0.08</v>
      </c>
      <c r="BC251">
        <v>0.15</v>
      </c>
      <c r="BD251">
        <v>0.27</v>
      </c>
      <c r="BE251">
        <v>6.28</v>
      </c>
      <c r="BF251">
        <v>5.59</v>
      </c>
      <c r="BG251">
        <v>0.24</v>
      </c>
      <c r="BH251">
        <v>0.45</v>
      </c>
      <c r="BI251">
        <v>0</v>
      </c>
      <c r="BJ251">
        <v>0.04</v>
      </c>
      <c r="BK251">
        <v>5.55</v>
      </c>
      <c r="BL251">
        <v>0</v>
      </c>
      <c r="BM251">
        <v>1.76</v>
      </c>
      <c r="BN251">
        <v>0.21</v>
      </c>
      <c r="BO251">
        <v>0.46</v>
      </c>
      <c r="BP251">
        <v>1.0900000000000001</v>
      </c>
      <c r="BQ251">
        <v>0.92</v>
      </c>
      <c r="BR251">
        <v>0.06</v>
      </c>
      <c r="BS251">
        <v>0.11</v>
      </c>
      <c r="BT251">
        <v>0</v>
      </c>
      <c r="BU251">
        <v>6.68</v>
      </c>
      <c r="BV251">
        <v>5.62</v>
      </c>
      <c r="BW251">
        <v>0.34</v>
      </c>
      <c r="BX251">
        <v>0.72</v>
      </c>
      <c r="BY251">
        <v>0</v>
      </c>
      <c r="BZ251">
        <v>0.04</v>
      </c>
      <c r="CA251">
        <v>5.58</v>
      </c>
      <c r="CB251">
        <v>0</v>
      </c>
      <c r="CC251">
        <f t="shared" si="6"/>
        <v>2.75</v>
      </c>
      <c r="CD251">
        <v>3.96</v>
      </c>
      <c r="CE251">
        <v>0.34230769230769231</v>
      </c>
      <c r="CF251">
        <v>0.44500000000000001</v>
      </c>
      <c r="CG251">
        <v>0.1492537313432836</v>
      </c>
      <c r="CH251">
        <v>0.13356643356643361</v>
      </c>
      <c r="CI251">
        <v>0</v>
      </c>
      <c r="CJ251">
        <v>16314</v>
      </c>
      <c r="CK251" t="s">
        <v>141</v>
      </c>
      <c r="CL251" t="s">
        <v>845</v>
      </c>
      <c r="CM251" t="s">
        <v>143</v>
      </c>
      <c r="CN251">
        <v>0.193442899163</v>
      </c>
      <c r="CO251">
        <v>41.901552062418887</v>
      </c>
      <c r="CP251">
        <v>250</v>
      </c>
      <c r="CQ251" t="s">
        <v>1063</v>
      </c>
      <c r="CR251">
        <v>213</v>
      </c>
      <c r="CS251" t="s">
        <v>1064</v>
      </c>
      <c r="CT251" t="s">
        <v>1063</v>
      </c>
      <c r="CU251" t="s">
        <v>837</v>
      </c>
      <c r="CV251" t="s">
        <v>1065</v>
      </c>
      <c r="CW251" t="s">
        <v>1066</v>
      </c>
      <c r="CX251" t="s">
        <v>1067</v>
      </c>
      <c r="CY251" t="s">
        <v>1068</v>
      </c>
      <c r="CZ251" t="s">
        <v>206</v>
      </c>
      <c r="DA251" t="s">
        <v>152</v>
      </c>
      <c r="DB251" t="s">
        <v>178</v>
      </c>
      <c r="DC251" t="s">
        <v>961</v>
      </c>
      <c r="DD251" t="s">
        <v>208</v>
      </c>
      <c r="DE251">
        <v>4436</v>
      </c>
      <c r="DF251">
        <v>-111.185568</v>
      </c>
      <c r="DG251">
        <v>41.139183000000003</v>
      </c>
      <c r="DH251">
        <v>6780</v>
      </c>
      <c r="DI251">
        <v>420</v>
      </c>
      <c r="DJ251">
        <v>2937</v>
      </c>
      <c r="DK251">
        <v>144</v>
      </c>
      <c r="DL251">
        <v>22</v>
      </c>
      <c r="DO251">
        <v>145</v>
      </c>
      <c r="DP251">
        <v>10</v>
      </c>
      <c r="DQ251">
        <v>200</v>
      </c>
      <c r="DS251" t="s">
        <v>1069</v>
      </c>
      <c r="DT251">
        <v>1.2500000000000001E-2</v>
      </c>
      <c r="DU251">
        <v>1.2500000000000001E-2</v>
      </c>
      <c r="DV251">
        <v>0.32500000000000001</v>
      </c>
      <c r="DW251">
        <v>0.32500000000000001</v>
      </c>
      <c r="DX251">
        <v>0.32500000000000001</v>
      </c>
      <c r="DY251">
        <v>16.789872864477339</v>
      </c>
      <c r="DZ251" s="4">
        <v>4.016</v>
      </c>
      <c r="EA251" s="4" t="s">
        <v>1309</v>
      </c>
      <c r="EB251" s="4" t="s">
        <v>1310</v>
      </c>
      <c r="EC251">
        <v>4.6689999999999996</v>
      </c>
      <c r="ED251">
        <v>418</v>
      </c>
      <c r="EE251" t="s">
        <v>1319</v>
      </c>
      <c r="EF251">
        <v>0</v>
      </c>
      <c r="EH251">
        <f t="shared" si="7"/>
        <v>0.58000000000000007</v>
      </c>
      <c r="EI251">
        <v>3.38</v>
      </c>
      <c r="EJ251">
        <v>3.65</v>
      </c>
    </row>
    <row r="252" spans="1:140" x14ac:dyDescent="0.35">
      <c r="A252" s="1">
        <v>250</v>
      </c>
      <c r="B252">
        <v>-109.4909877250039</v>
      </c>
      <c r="C252">
        <v>43.032710206823502</v>
      </c>
      <c r="D252" t="s">
        <v>1320</v>
      </c>
      <c r="E252">
        <v>0.1</v>
      </c>
      <c r="F252" t="s">
        <v>135</v>
      </c>
      <c r="G252">
        <v>4.7399999999999998E-2</v>
      </c>
      <c r="H252" t="s">
        <v>161</v>
      </c>
      <c r="I252">
        <v>-12188481</v>
      </c>
      <c r="J252">
        <v>5316952</v>
      </c>
      <c r="K252" t="s">
        <v>1192</v>
      </c>
      <c r="L252" t="s">
        <v>1321</v>
      </c>
      <c r="M252">
        <v>7</v>
      </c>
      <c r="N252">
        <v>4.282</v>
      </c>
      <c r="O252">
        <v>4</v>
      </c>
      <c r="P252">
        <v>8</v>
      </c>
      <c r="Q252">
        <v>56</v>
      </c>
      <c r="R252">
        <v>13</v>
      </c>
      <c r="S252">
        <v>39234</v>
      </c>
      <c r="T252" t="s">
        <v>1194</v>
      </c>
      <c r="U252">
        <v>5.4553299751975244</v>
      </c>
      <c r="V252" t="s">
        <v>1192</v>
      </c>
      <c r="W252">
        <v>9.1400000000000009E-2</v>
      </c>
      <c r="X252">
        <v>10</v>
      </c>
      <c r="Y252">
        <v>8.9</v>
      </c>
      <c r="Z252">
        <v>8.9</v>
      </c>
      <c r="AA252">
        <v>20</v>
      </c>
      <c r="AB252">
        <v>26</v>
      </c>
      <c r="AC252">
        <v>1.724</v>
      </c>
      <c r="AD252">
        <v>67</v>
      </c>
      <c r="AE252">
        <v>0.27399872854418311</v>
      </c>
      <c r="AF252">
        <v>2.86</v>
      </c>
      <c r="AG252" t="s">
        <v>1194</v>
      </c>
      <c r="AH252" t="s">
        <v>1192</v>
      </c>
      <c r="AI252">
        <v>53</v>
      </c>
      <c r="AJ252">
        <v>1.7666666666666671E-2</v>
      </c>
      <c r="AK252">
        <v>17.666666666666671</v>
      </c>
      <c r="AL252" t="s">
        <v>1322</v>
      </c>
      <c r="AM252">
        <v>0</v>
      </c>
      <c r="AN252">
        <v>1.25</v>
      </c>
      <c r="AO252">
        <v>0.09</v>
      </c>
      <c r="AP252">
        <v>0.19</v>
      </c>
      <c r="AQ252">
        <v>0.96</v>
      </c>
      <c r="AR252">
        <v>0.86</v>
      </c>
      <c r="AS252">
        <v>0.09</v>
      </c>
      <c r="AT252">
        <v>0.01</v>
      </c>
      <c r="AU252">
        <v>0.02</v>
      </c>
      <c r="AV252">
        <v>2.21</v>
      </c>
      <c r="AW252">
        <v>1.21</v>
      </c>
      <c r="AX252">
        <v>0.21</v>
      </c>
      <c r="AY252">
        <v>0.53</v>
      </c>
      <c r="AZ252">
        <v>0</v>
      </c>
      <c r="BA252">
        <v>0.92</v>
      </c>
      <c r="BB252">
        <v>0.16</v>
      </c>
      <c r="BC252">
        <v>0.14000000000000001</v>
      </c>
      <c r="BD252">
        <v>0.27</v>
      </c>
      <c r="BE252">
        <v>5.76</v>
      </c>
      <c r="BF252">
        <v>5.07</v>
      </c>
      <c r="BG252">
        <v>0.24</v>
      </c>
      <c r="BH252">
        <v>0.45</v>
      </c>
      <c r="BI252">
        <v>0</v>
      </c>
      <c r="BJ252">
        <v>0.08</v>
      </c>
      <c r="BK252">
        <v>4.99</v>
      </c>
      <c r="BL252">
        <v>0</v>
      </c>
      <c r="BM252">
        <v>1.74</v>
      </c>
      <c r="BN252">
        <v>0.21</v>
      </c>
      <c r="BO252">
        <v>0.46</v>
      </c>
      <c r="BP252">
        <v>1.07</v>
      </c>
      <c r="BQ252">
        <v>0.85</v>
      </c>
      <c r="BR252">
        <v>0.12</v>
      </c>
      <c r="BS252">
        <v>0.1</v>
      </c>
      <c r="BT252">
        <v>0</v>
      </c>
      <c r="BU252">
        <v>6.16</v>
      </c>
      <c r="BV252">
        <v>5.0999999999999996</v>
      </c>
      <c r="BW252">
        <v>0.34</v>
      </c>
      <c r="BX252">
        <v>0.72</v>
      </c>
      <c r="BY252">
        <v>0</v>
      </c>
      <c r="BZ252">
        <v>0.08</v>
      </c>
      <c r="CA252">
        <v>5.0199999999999996</v>
      </c>
      <c r="CB252">
        <v>0</v>
      </c>
      <c r="CC252">
        <f t="shared" si="6"/>
        <v>2.75</v>
      </c>
      <c r="CD252">
        <v>3.96</v>
      </c>
      <c r="CE252">
        <v>0.34230769230769231</v>
      </c>
      <c r="CF252">
        <v>0.44500000000000001</v>
      </c>
      <c r="CG252">
        <v>0.1492537313432836</v>
      </c>
      <c r="CH252">
        <v>0.60279720279720284</v>
      </c>
      <c r="CI252">
        <v>0</v>
      </c>
      <c r="CJ252">
        <v>13957</v>
      </c>
      <c r="CK252" t="s">
        <v>1323</v>
      </c>
      <c r="CL252" t="s">
        <v>1324</v>
      </c>
      <c r="CM252" t="s">
        <v>143</v>
      </c>
      <c r="CN252">
        <v>0.49135578428600002</v>
      </c>
      <c r="CO252">
        <v>46.414730004439797</v>
      </c>
      <c r="CP252">
        <v>251</v>
      </c>
      <c r="CQ252" t="s">
        <v>1325</v>
      </c>
      <c r="CR252">
        <v>212</v>
      </c>
      <c r="CS252" t="s">
        <v>1326</v>
      </c>
      <c r="CT252" t="s">
        <v>1063</v>
      </c>
      <c r="CU252" t="s">
        <v>1194</v>
      </c>
      <c r="CV252" t="s">
        <v>1327</v>
      </c>
      <c r="CW252" t="s">
        <v>1066</v>
      </c>
      <c r="CX252" t="s">
        <v>1328</v>
      </c>
      <c r="CY252" t="s">
        <v>1329</v>
      </c>
      <c r="CZ252" t="s">
        <v>206</v>
      </c>
      <c r="DA252" t="s">
        <v>152</v>
      </c>
      <c r="DB252" t="s">
        <v>178</v>
      </c>
      <c r="DC252" t="s">
        <v>961</v>
      </c>
      <c r="DD252" t="s">
        <v>208</v>
      </c>
      <c r="DE252">
        <v>6902</v>
      </c>
      <c r="DF252">
        <v>-110.592718</v>
      </c>
      <c r="DG252">
        <v>41.988205999999998</v>
      </c>
      <c r="DH252">
        <v>6375</v>
      </c>
      <c r="DI252">
        <v>440</v>
      </c>
      <c r="DJ252">
        <v>2761</v>
      </c>
      <c r="DK252">
        <v>137</v>
      </c>
      <c r="DL252">
        <v>22</v>
      </c>
      <c r="DO252">
        <v>150</v>
      </c>
      <c r="DP252">
        <v>10</v>
      </c>
      <c r="DQ252">
        <v>200</v>
      </c>
      <c r="DS252" t="s">
        <v>1069</v>
      </c>
      <c r="DT252">
        <v>1.2500000000000001E-2</v>
      </c>
      <c r="DU252">
        <v>1.2500000000000001E-2</v>
      </c>
      <c r="DV252">
        <v>0.32500000000000001</v>
      </c>
      <c r="DW252">
        <v>0.32500000000000001</v>
      </c>
      <c r="DX252">
        <v>0.32500000000000001</v>
      </c>
      <c r="DY252">
        <v>20.898160223957319</v>
      </c>
      <c r="DZ252" s="4">
        <v>3.871</v>
      </c>
      <c r="EA252" s="4" t="s">
        <v>1199</v>
      </c>
      <c r="EB252" s="4" t="s">
        <v>1200</v>
      </c>
      <c r="EC252">
        <v>4.5510000000000002</v>
      </c>
      <c r="ED252">
        <v>274</v>
      </c>
      <c r="EE252" t="s">
        <v>1322</v>
      </c>
      <c r="EF252">
        <v>0</v>
      </c>
      <c r="EH252">
        <f t="shared" si="7"/>
        <v>0.58000000000000007</v>
      </c>
      <c r="EI252">
        <v>3.38</v>
      </c>
      <c r="EJ252">
        <v>3.65</v>
      </c>
    </row>
    <row r="253" spans="1:140" x14ac:dyDescent="0.35">
      <c r="A253" s="1">
        <v>251</v>
      </c>
      <c r="B253">
        <v>-107.6943571567648</v>
      </c>
      <c r="C253">
        <v>43.032710206823502</v>
      </c>
      <c r="D253" t="s">
        <v>1330</v>
      </c>
      <c r="E253">
        <v>0.02</v>
      </c>
      <c r="F253" t="s">
        <v>160</v>
      </c>
      <c r="G253">
        <v>8.1300000000000011E-2</v>
      </c>
      <c r="H253" t="s">
        <v>161</v>
      </c>
      <c r="I253">
        <v>-11988481</v>
      </c>
      <c r="J253">
        <v>5316952</v>
      </c>
      <c r="K253" t="s">
        <v>1192</v>
      </c>
      <c r="L253" t="s">
        <v>1321</v>
      </c>
      <c r="M253">
        <v>7</v>
      </c>
      <c r="N253">
        <v>4.282</v>
      </c>
      <c r="O253">
        <v>4</v>
      </c>
      <c r="P253">
        <v>8</v>
      </c>
      <c r="Q253">
        <v>56</v>
      </c>
      <c r="R253">
        <v>13</v>
      </c>
      <c r="S253">
        <v>39234</v>
      </c>
      <c r="T253" t="s">
        <v>1194</v>
      </c>
      <c r="U253">
        <v>5.4553299751975244</v>
      </c>
      <c r="V253" t="s">
        <v>1192</v>
      </c>
      <c r="W253">
        <v>9.1400000000000009E-2</v>
      </c>
      <c r="X253">
        <v>10</v>
      </c>
      <c r="Y253">
        <v>8.9</v>
      </c>
      <c r="Z253">
        <v>8.9</v>
      </c>
      <c r="AA253">
        <v>20</v>
      </c>
      <c r="AB253">
        <v>26</v>
      </c>
      <c r="AC253">
        <v>1.724</v>
      </c>
      <c r="AD253">
        <v>67</v>
      </c>
      <c r="AE253">
        <v>0.27399872854418311</v>
      </c>
      <c r="AF253">
        <v>2.86</v>
      </c>
      <c r="AG253" t="s">
        <v>1194</v>
      </c>
      <c r="AH253" t="s">
        <v>1192</v>
      </c>
      <c r="AI253">
        <v>53</v>
      </c>
      <c r="AJ253">
        <v>1.7666666666666671E-2</v>
      </c>
      <c r="AK253">
        <v>17.666666666666671</v>
      </c>
      <c r="AL253" t="s">
        <v>1322</v>
      </c>
      <c r="AM253">
        <v>0</v>
      </c>
      <c r="AN253">
        <v>1.25</v>
      </c>
      <c r="AO253">
        <v>0.09</v>
      </c>
      <c r="AP253">
        <v>0.19</v>
      </c>
      <c r="AQ253">
        <v>0.96</v>
      </c>
      <c r="AR253">
        <v>0.86</v>
      </c>
      <c r="AS253">
        <v>0.09</v>
      </c>
      <c r="AT253">
        <v>0.01</v>
      </c>
      <c r="AU253">
        <v>0.02</v>
      </c>
      <c r="AV253">
        <v>2.21</v>
      </c>
      <c r="AW253">
        <v>1.21</v>
      </c>
      <c r="AX253">
        <v>0.21</v>
      </c>
      <c r="AY253">
        <v>0.53</v>
      </c>
      <c r="AZ253">
        <v>0</v>
      </c>
      <c r="BA253">
        <v>0.92</v>
      </c>
      <c r="BB253">
        <v>0.16</v>
      </c>
      <c r="BC253">
        <v>0.14000000000000001</v>
      </c>
      <c r="BD253">
        <v>0.27</v>
      </c>
      <c r="BE253">
        <v>5.76</v>
      </c>
      <c r="BF253">
        <v>5.07</v>
      </c>
      <c r="BG253">
        <v>0.24</v>
      </c>
      <c r="BH253">
        <v>0.45</v>
      </c>
      <c r="BI253">
        <v>0</v>
      </c>
      <c r="BJ253">
        <v>0.08</v>
      </c>
      <c r="BK253">
        <v>4.99</v>
      </c>
      <c r="BL253">
        <v>0</v>
      </c>
      <c r="BM253">
        <v>1.74</v>
      </c>
      <c r="BN253">
        <v>0.21</v>
      </c>
      <c r="BO253">
        <v>0.46</v>
      </c>
      <c r="BP253">
        <v>1.07</v>
      </c>
      <c r="BQ253">
        <v>0.85</v>
      </c>
      <c r="BR253">
        <v>0.12</v>
      </c>
      <c r="BS253">
        <v>0.1</v>
      </c>
      <c r="BT253">
        <v>0</v>
      </c>
      <c r="BU253">
        <v>6.16</v>
      </c>
      <c r="BV253">
        <v>5.0999999999999996</v>
      </c>
      <c r="BW253">
        <v>0.34</v>
      </c>
      <c r="BX253">
        <v>0.72</v>
      </c>
      <c r="BY253">
        <v>0</v>
      </c>
      <c r="BZ253">
        <v>0.08</v>
      </c>
      <c r="CA253">
        <v>5.0199999999999996</v>
      </c>
      <c r="CB253">
        <v>0</v>
      </c>
      <c r="CC253">
        <f t="shared" si="6"/>
        <v>2.75</v>
      </c>
      <c r="CD253">
        <v>3.96</v>
      </c>
      <c r="CE253">
        <v>0.34230769230769231</v>
      </c>
      <c r="CF253">
        <v>0.44500000000000001</v>
      </c>
      <c r="CG253">
        <v>0.1492537313432836</v>
      </c>
      <c r="CH253">
        <v>0.60279720279720284</v>
      </c>
      <c r="CI253">
        <v>0</v>
      </c>
      <c r="CJ253">
        <v>13674</v>
      </c>
      <c r="CK253" t="s">
        <v>1323</v>
      </c>
      <c r="CL253" t="s">
        <v>1331</v>
      </c>
      <c r="CM253" t="s">
        <v>143</v>
      </c>
      <c r="CN253">
        <v>1.82409015528</v>
      </c>
      <c r="CO253">
        <v>0.23060051304854859</v>
      </c>
      <c r="CP253">
        <v>252</v>
      </c>
      <c r="CQ253" t="s">
        <v>1332</v>
      </c>
      <c r="CR253">
        <v>154</v>
      </c>
      <c r="CS253" t="s">
        <v>1333</v>
      </c>
      <c r="CT253" t="s">
        <v>1334</v>
      </c>
      <c r="CU253" t="s">
        <v>1194</v>
      </c>
      <c r="CV253" t="s">
        <v>1335</v>
      </c>
      <c r="CW253" t="s">
        <v>1336</v>
      </c>
      <c r="CX253" t="s">
        <v>1337</v>
      </c>
      <c r="CY253" t="s">
        <v>1338</v>
      </c>
      <c r="CZ253" t="s">
        <v>1339</v>
      </c>
      <c r="DA253" t="s">
        <v>152</v>
      </c>
      <c r="DB253" t="s">
        <v>178</v>
      </c>
      <c r="DC253" t="s">
        <v>961</v>
      </c>
      <c r="DD253" t="s">
        <v>1340</v>
      </c>
      <c r="DE253">
        <v>22707</v>
      </c>
      <c r="DF253">
        <v>-108.48888599999999</v>
      </c>
      <c r="DG253">
        <v>41.830741000000003</v>
      </c>
      <c r="DH253">
        <v>9963</v>
      </c>
      <c r="DI253">
        <v>382</v>
      </c>
      <c r="DJ253">
        <v>4316</v>
      </c>
      <c r="DK253">
        <v>196</v>
      </c>
      <c r="DL253">
        <v>14</v>
      </c>
      <c r="DM253">
        <v>12</v>
      </c>
      <c r="DN253">
        <v>18</v>
      </c>
      <c r="DO253">
        <v>100</v>
      </c>
      <c r="DP253">
        <v>0.1</v>
      </c>
      <c r="DQ253">
        <v>300</v>
      </c>
      <c r="DS253" t="s">
        <v>1341</v>
      </c>
      <c r="DT253">
        <v>1.2500000000000001E-2</v>
      </c>
      <c r="DU253">
        <v>1.2500000000000001E-2</v>
      </c>
      <c r="DV253">
        <v>0.32500000000000001</v>
      </c>
      <c r="DW253">
        <v>0.32500000000000001</v>
      </c>
      <c r="DX253">
        <v>0.32500000000000001</v>
      </c>
      <c r="DY253">
        <v>0</v>
      </c>
      <c r="DZ253" s="4">
        <v>3.871</v>
      </c>
      <c r="EA253" s="4" t="s">
        <v>1199</v>
      </c>
      <c r="EB253" s="4" t="s">
        <v>1200</v>
      </c>
      <c r="EC253">
        <v>4.5510000000000002</v>
      </c>
      <c r="ED253">
        <v>274</v>
      </c>
      <c r="EE253" t="s">
        <v>1322</v>
      </c>
      <c r="EF253">
        <v>0</v>
      </c>
      <c r="EH253">
        <f t="shared" si="7"/>
        <v>0.58000000000000007</v>
      </c>
      <c r="EI253">
        <v>3.38</v>
      </c>
      <c r="EJ253">
        <v>3.65</v>
      </c>
    </row>
    <row r="254" spans="1:140" x14ac:dyDescent="0.35">
      <c r="A254" s="1">
        <v>252</v>
      </c>
      <c r="B254">
        <v>-105.8977265885258</v>
      </c>
      <c r="C254">
        <v>43.032710206823502</v>
      </c>
      <c r="D254" t="s">
        <v>1342</v>
      </c>
      <c r="E254">
        <v>0.02</v>
      </c>
      <c r="F254" t="s">
        <v>160</v>
      </c>
      <c r="G254">
        <v>0.1232</v>
      </c>
      <c r="H254" t="s">
        <v>161</v>
      </c>
      <c r="I254">
        <v>-11788481</v>
      </c>
      <c r="J254">
        <v>5316952</v>
      </c>
      <c r="K254" t="s">
        <v>1192</v>
      </c>
      <c r="L254" t="s">
        <v>1343</v>
      </c>
      <c r="M254">
        <v>5</v>
      </c>
      <c r="N254">
        <v>3.8290000000000002</v>
      </c>
      <c r="O254">
        <v>4</v>
      </c>
      <c r="P254">
        <v>8</v>
      </c>
      <c r="Q254">
        <v>56</v>
      </c>
      <c r="R254">
        <v>9</v>
      </c>
      <c r="S254">
        <v>13747</v>
      </c>
      <c r="T254" t="s">
        <v>1194</v>
      </c>
      <c r="U254">
        <v>5.4553299751975244</v>
      </c>
      <c r="V254" t="s">
        <v>1192</v>
      </c>
      <c r="W254">
        <v>9.1400000000000009E-2</v>
      </c>
      <c r="X254">
        <v>10</v>
      </c>
      <c r="Y254">
        <v>8.9</v>
      </c>
      <c r="Z254">
        <v>8.9</v>
      </c>
      <c r="AA254">
        <v>20</v>
      </c>
      <c r="AB254">
        <v>26</v>
      </c>
      <c r="AC254">
        <v>1.724</v>
      </c>
      <c r="AD254">
        <v>67</v>
      </c>
      <c r="AE254">
        <v>0.27399872854418311</v>
      </c>
      <c r="AF254">
        <v>2.86</v>
      </c>
      <c r="AG254" t="s">
        <v>1194</v>
      </c>
      <c r="AH254" t="s">
        <v>1192</v>
      </c>
      <c r="AI254">
        <v>53</v>
      </c>
      <c r="AJ254">
        <v>1.7666666666666671E-2</v>
      </c>
      <c r="AK254">
        <v>17.666666666666671</v>
      </c>
      <c r="AL254" t="s">
        <v>1344</v>
      </c>
      <c r="AM254">
        <v>19677.213785768719</v>
      </c>
      <c r="AN254">
        <v>1.25</v>
      </c>
      <c r="AO254">
        <v>0.09</v>
      </c>
      <c r="AP254">
        <v>0.19</v>
      </c>
      <c r="AQ254">
        <v>0.96</v>
      </c>
      <c r="AR254">
        <v>0.86</v>
      </c>
      <c r="AS254">
        <v>0.09</v>
      </c>
      <c r="AT254">
        <v>0.01</v>
      </c>
      <c r="AU254">
        <v>0.02</v>
      </c>
      <c r="AV254">
        <v>2.21</v>
      </c>
      <c r="AW254">
        <v>1.21</v>
      </c>
      <c r="AX254">
        <v>0.21</v>
      </c>
      <c r="AY254">
        <v>0.53</v>
      </c>
      <c r="AZ254">
        <v>0</v>
      </c>
      <c r="BA254">
        <v>0.92</v>
      </c>
      <c r="BB254">
        <v>0.16</v>
      </c>
      <c r="BC254">
        <v>0.14000000000000001</v>
      </c>
      <c r="BD254">
        <v>0.27</v>
      </c>
      <c r="BE254">
        <v>5.76</v>
      </c>
      <c r="BF254">
        <v>5.07</v>
      </c>
      <c r="BG254">
        <v>0.24</v>
      </c>
      <c r="BH254">
        <v>0.45</v>
      </c>
      <c r="BI254">
        <v>0</v>
      </c>
      <c r="BJ254">
        <v>0.08</v>
      </c>
      <c r="BK254">
        <v>4.99</v>
      </c>
      <c r="BL254">
        <v>0</v>
      </c>
      <c r="BM254">
        <v>1.74</v>
      </c>
      <c r="BN254">
        <v>0.21</v>
      </c>
      <c r="BO254">
        <v>0.46</v>
      </c>
      <c r="BP254">
        <v>1.07</v>
      </c>
      <c r="BQ254">
        <v>0.85</v>
      </c>
      <c r="BR254">
        <v>0.12</v>
      </c>
      <c r="BS254">
        <v>0.1</v>
      </c>
      <c r="BT254">
        <v>0</v>
      </c>
      <c r="BU254">
        <v>6.16</v>
      </c>
      <c r="BV254">
        <v>5.0999999999999996</v>
      </c>
      <c r="BW254">
        <v>0.34</v>
      </c>
      <c r="BX254">
        <v>0.72</v>
      </c>
      <c r="BY254">
        <v>0</v>
      </c>
      <c r="BZ254">
        <v>0.08</v>
      </c>
      <c r="CA254">
        <v>5.0199999999999996</v>
      </c>
      <c r="CB254">
        <v>0</v>
      </c>
      <c r="CC254">
        <f t="shared" si="6"/>
        <v>2.75</v>
      </c>
      <c r="CD254">
        <v>3.96</v>
      </c>
      <c r="CE254">
        <v>0.34230769230769231</v>
      </c>
      <c r="CF254">
        <v>0.44500000000000001</v>
      </c>
      <c r="CG254">
        <v>0.1492537313432836</v>
      </c>
      <c r="CH254">
        <v>0.60279720279720284</v>
      </c>
      <c r="CI254">
        <v>0</v>
      </c>
      <c r="CJ254">
        <v>10206</v>
      </c>
      <c r="CK254" t="s">
        <v>141</v>
      </c>
      <c r="CL254" t="s">
        <v>1345</v>
      </c>
      <c r="CM254" t="s">
        <v>143</v>
      </c>
      <c r="CN254">
        <v>0.33689468702699998</v>
      </c>
      <c r="CO254">
        <v>14.26285241016525</v>
      </c>
      <c r="CP254">
        <v>253</v>
      </c>
      <c r="CQ254" t="s">
        <v>1346</v>
      </c>
      <c r="CR254">
        <v>118</v>
      </c>
      <c r="CS254" t="s">
        <v>1347</v>
      </c>
      <c r="CT254" t="s">
        <v>908</v>
      </c>
      <c r="CU254" t="s">
        <v>1194</v>
      </c>
      <c r="CV254" t="s">
        <v>1348</v>
      </c>
      <c r="CW254" t="s">
        <v>1349</v>
      </c>
      <c r="CX254" t="s">
        <v>1350</v>
      </c>
      <c r="CY254" t="s">
        <v>1351</v>
      </c>
      <c r="CZ254" t="s">
        <v>1352</v>
      </c>
      <c r="DA254" t="s">
        <v>152</v>
      </c>
      <c r="DB254" t="s">
        <v>153</v>
      </c>
      <c r="DC254" t="s">
        <v>207</v>
      </c>
      <c r="DD254" t="s">
        <v>1353</v>
      </c>
      <c r="DE254">
        <v>27700</v>
      </c>
      <c r="DF254">
        <v>-105.661428</v>
      </c>
      <c r="DG254">
        <v>43.852302999999999</v>
      </c>
      <c r="DH254">
        <v>11000</v>
      </c>
      <c r="DI254">
        <v>833</v>
      </c>
      <c r="DL254">
        <v>10</v>
      </c>
      <c r="DO254">
        <v>5</v>
      </c>
      <c r="DR254" t="s">
        <v>1354</v>
      </c>
      <c r="DS254" t="s">
        <v>1355</v>
      </c>
      <c r="DT254">
        <v>1.2500000000000001E-2</v>
      </c>
      <c r="DU254">
        <v>1.2500000000000001E-2</v>
      </c>
      <c r="DV254">
        <v>0.32500000000000001</v>
      </c>
      <c r="DW254">
        <v>0.32500000000000001</v>
      </c>
      <c r="DX254">
        <v>0.32500000000000001</v>
      </c>
      <c r="DY254">
        <v>0</v>
      </c>
      <c r="DZ254" s="4">
        <v>3.871</v>
      </c>
      <c r="EA254" s="4" t="s">
        <v>1199</v>
      </c>
      <c r="EB254" s="4" t="s">
        <v>1200</v>
      </c>
      <c r="EC254">
        <v>4.5510000000000002</v>
      </c>
      <c r="ED254">
        <v>489</v>
      </c>
      <c r="EE254" t="s">
        <v>1344</v>
      </c>
      <c r="EF254">
        <v>0.17675757522133381</v>
      </c>
      <c r="EH254">
        <f t="shared" si="7"/>
        <v>0.58000000000000007</v>
      </c>
      <c r="EI254">
        <v>3.38</v>
      </c>
      <c r="EJ254">
        <v>3.65</v>
      </c>
    </row>
    <row r="255" spans="1:140" x14ac:dyDescent="0.35">
      <c r="A255" s="1">
        <v>253</v>
      </c>
      <c r="B255">
        <v>-104.1010960202868</v>
      </c>
      <c r="C255">
        <v>43.032710206823502</v>
      </c>
      <c r="D255" t="s">
        <v>1356</v>
      </c>
      <c r="E255">
        <v>0.1</v>
      </c>
      <c r="F255" t="s">
        <v>135</v>
      </c>
      <c r="G255">
        <v>0.1232</v>
      </c>
      <c r="H255" t="s">
        <v>161</v>
      </c>
      <c r="I255">
        <v>-11588481</v>
      </c>
      <c r="J255">
        <v>5316952</v>
      </c>
      <c r="K255" t="s">
        <v>1192</v>
      </c>
      <c r="L255" t="s">
        <v>1357</v>
      </c>
      <c r="M255">
        <v>14</v>
      </c>
      <c r="N255">
        <v>4.0990000000000002</v>
      </c>
      <c r="O255">
        <v>4</v>
      </c>
      <c r="P255">
        <v>8</v>
      </c>
      <c r="Q255">
        <v>56</v>
      </c>
      <c r="R255">
        <v>27</v>
      </c>
      <c r="S255">
        <v>2469</v>
      </c>
      <c r="T255" t="s">
        <v>1194</v>
      </c>
      <c r="U255">
        <v>5.4553299751975244</v>
      </c>
      <c r="V255" t="s">
        <v>1192</v>
      </c>
      <c r="W255">
        <v>9.1400000000000009E-2</v>
      </c>
      <c r="X255">
        <v>10</v>
      </c>
      <c r="Y255">
        <v>8.9</v>
      </c>
      <c r="Z255">
        <v>8.9</v>
      </c>
      <c r="AA255">
        <v>20</v>
      </c>
      <c r="AB255">
        <v>26</v>
      </c>
      <c r="AC255">
        <v>1.724</v>
      </c>
      <c r="AD255">
        <v>67</v>
      </c>
      <c r="AE255">
        <v>0.27399872854418311</v>
      </c>
      <c r="AF255">
        <v>2.86</v>
      </c>
      <c r="AG255" t="s">
        <v>1194</v>
      </c>
      <c r="AH255" t="s">
        <v>1192</v>
      </c>
      <c r="AI255">
        <v>53</v>
      </c>
      <c r="AJ255">
        <v>1.7666666666666671E-2</v>
      </c>
      <c r="AK255">
        <v>17.666666666666671</v>
      </c>
      <c r="AL255" t="s">
        <v>1208</v>
      </c>
      <c r="AM255">
        <v>7249.2887539496887</v>
      </c>
      <c r="AN255">
        <v>1.25</v>
      </c>
      <c r="AO255">
        <v>0.09</v>
      </c>
      <c r="AP255">
        <v>0.19</v>
      </c>
      <c r="AQ255">
        <v>0.96</v>
      </c>
      <c r="AR255">
        <v>0.86</v>
      </c>
      <c r="AS255">
        <v>0.09</v>
      </c>
      <c r="AT255">
        <v>0.01</v>
      </c>
      <c r="AU255">
        <v>0.02</v>
      </c>
      <c r="AV255">
        <v>2.21</v>
      </c>
      <c r="AW255">
        <v>1.21</v>
      </c>
      <c r="AX255">
        <v>0.21</v>
      </c>
      <c r="AY255">
        <v>0.53</v>
      </c>
      <c r="AZ255">
        <v>0</v>
      </c>
      <c r="BA255">
        <v>0.92</v>
      </c>
      <c r="BB255">
        <v>0.16</v>
      </c>
      <c r="BC255">
        <v>0.14000000000000001</v>
      </c>
      <c r="BD255">
        <v>0.27</v>
      </c>
      <c r="BE255">
        <v>5.76</v>
      </c>
      <c r="BF255">
        <v>5.07</v>
      </c>
      <c r="BG255">
        <v>0.24</v>
      </c>
      <c r="BH255">
        <v>0.45</v>
      </c>
      <c r="BI255">
        <v>0</v>
      </c>
      <c r="BJ255">
        <v>0.08</v>
      </c>
      <c r="BK255">
        <v>4.99</v>
      </c>
      <c r="BL255">
        <v>0</v>
      </c>
      <c r="BM255">
        <v>1.74</v>
      </c>
      <c r="BN255">
        <v>0.21</v>
      </c>
      <c r="BO255">
        <v>0.46</v>
      </c>
      <c r="BP255">
        <v>1.07</v>
      </c>
      <c r="BQ255">
        <v>0.85</v>
      </c>
      <c r="BR255">
        <v>0.12</v>
      </c>
      <c r="BS255">
        <v>0.1</v>
      </c>
      <c r="BT255">
        <v>0</v>
      </c>
      <c r="BU255">
        <v>6.16</v>
      </c>
      <c r="BV255">
        <v>5.0999999999999996</v>
      </c>
      <c r="BW255">
        <v>0.34</v>
      </c>
      <c r="BX255">
        <v>0.72</v>
      </c>
      <c r="BY255">
        <v>0</v>
      </c>
      <c r="BZ255">
        <v>0.08</v>
      </c>
      <c r="CA255">
        <v>5.0199999999999996</v>
      </c>
      <c r="CB255">
        <v>0</v>
      </c>
      <c r="CC255">
        <f t="shared" si="6"/>
        <v>2.75</v>
      </c>
      <c r="CD255">
        <v>3.96</v>
      </c>
      <c r="CE255">
        <v>0.34230769230769231</v>
      </c>
      <c r="CF255">
        <v>0.44500000000000001</v>
      </c>
      <c r="CG255">
        <v>0.1492537313432836</v>
      </c>
      <c r="CH255">
        <v>0.60279720279720284</v>
      </c>
      <c r="CI255">
        <v>0</v>
      </c>
      <c r="CJ255">
        <v>10196</v>
      </c>
      <c r="CK255" t="s">
        <v>141</v>
      </c>
      <c r="CL255" t="s">
        <v>1358</v>
      </c>
      <c r="CM255" t="s">
        <v>143</v>
      </c>
      <c r="CN255">
        <v>7.3790783331800003E-2</v>
      </c>
      <c r="CO255">
        <v>71.352393437604377</v>
      </c>
      <c r="CP255">
        <v>254</v>
      </c>
      <c r="CQ255" t="s">
        <v>1359</v>
      </c>
      <c r="CR255">
        <v>118</v>
      </c>
      <c r="CS255" t="s">
        <v>1347</v>
      </c>
      <c r="CT255" t="s">
        <v>908</v>
      </c>
      <c r="CU255" t="s">
        <v>1194</v>
      </c>
      <c r="CV255" t="s">
        <v>1348</v>
      </c>
      <c r="CW255" t="s">
        <v>1349</v>
      </c>
      <c r="CX255" t="s">
        <v>1350</v>
      </c>
      <c r="CY255" t="s">
        <v>1351</v>
      </c>
      <c r="CZ255" t="s">
        <v>1352</v>
      </c>
      <c r="DA255" t="s">
        <v>152</v>
      </c>
      <c r="DB255" t="s">
        <v>153</v>
      </c>
      <c r="DC255" t="s">
        <v>207</v>
      </c>
      <c r="DD255" t="s">
        <v>1353</v>
      </c>
      <c r="DE255">
        <v>27700</v>
      </c>
      <c r="DF255">
        <v>-105.661428</v>
      </c>
      <c r="DG255">
        <v>43.852302999999999</v>
      </c>
      <c r="DH255">
        <v>11000</v>
      </c>
      <c r="DI255">
        <v>833</v>
      </c>
      <c r="DL255">
        <v>10</v>
      </c>
      <c r="DO255">
        <v>5</v>
      </c>
      <c r="DR255" t="s">
        <v>1354</v>
      </c>
      <c r="DS255" t="s">
        <v>1355</v>
      </c>
      <c r="DT255">
        <v>1.2500000000000001E-2</v>
      </c>
      <c r="DU255">
        <v>1.2500000000000001E-2</v>
      </c>
      <c r="DV255">
        <v>0.32500000000000001</v>
      </c>
      <c r="DW255">
        <v>0.32500000000000001</v>
      </c>
      <c r="DX255">
        <v>0.32500000000000001</v>
      </c>
      <c r="DY255">
        <v>14.20328957421696</v>
      </c>
      <c r="DZ255" s="4">
        <v>3.871</v>
      </c>
      <c r="EA255" s="4" t="s">
        <v>1199</v>
      </c>
      <c r="EB255" s="4" t="s">
        <v>1200</v>
      </c>
      <c r="EC255">
        <v>4.5510000000000002</v>
      </c>
      <c r="ED255">
        <v>741</v>
      </c>
      <c r="EE255" t="s">
        <v>1208</v>
      </c>
      <c r="EF255">
        <v>5.7813795852844942E-2</v>
      </c>
      <c r="EH255">
        <f t="shared" si="7"/>
        <v>0.58000000000000007</v>
      </c>
      <c r="EI255">
        <v>3.38</v>
      </c>
      <c r="EJ255">
        <v>3.65</v>
      </c>
    </row>
    <row r="256" spans="1:140" x14ac:dyDescent="0.35">
      <c r="A256" s="1">
        <v>254</v>
      </c>
      <c r="B256">
        <v>-102.30446545204769</v>
      </c>
      <c r="C256">
        <v>43.032710206823502</v>
      </c>
      <c r="D256" t="s">
        <v>1360</v>
      </c>
      <c r="E256">
        <v>0.1</v>
      </c>
      <c r="F256" t="s">
        <v>135</v>
      </c>
      <c r="G256">
        <v>7.9399999999999998E-2</v>
      </c>
      <c r="H256" t="s">
        <v>136</v>
      </c>
      <c r="I256">
        <v>-11388481</v>
      </c>
      <c r="J256">
        <v>5316952</v>
      </c>
      <c r="K256" t="s">
        <v>1361</v>
      </c>
      <c r="L256" t="s">
        <v>1362</v>
      </c>
      <c r="M256">
        <v>56</v>
      </c>
      <c r="N256">
        <v>3.9060000000000001</v>
      </c>
      <c r="T256" t="s">
        <v>1363</v>
      </c>
      <c r="U256">
        <v>5.993541709002236</v>
      </c>
      <c r="V256" t="s">
        <v>1361</v>
      </c>
      <c r="W256">
        <v>0.1087</v>
      </c>
      <c r="X256">
        <v>10</v>
      </c>
      <c r="Y256">
        <v>8.9</v>
      </c>
      <c r="Z256">
        <v>8.9</v>
      </c>
      <c r="AA256">
        <v>20</v>
      </c>
      <c r="AB256">
        <v>26</v>
      </c>
      <c r="AC256">
        <v>0.318</v>
      </c>
      <c r="AD256">
        <v>67</v>
      </c>
      <c r="AE256">
        <v>5.0540368722186903E-2</v>
      </c>
      <c r="AF256">
        <v>2.86</v>
      </c>
      <c r="AG256" t="s">
        <v>1363</v>
      </c>
      <c r="AH256" t="s">
        <v>1361</v>
      </c>
      <c r="AI256">
        <v>26</v>
      </c>
      <c r="AJ256">
        <v>8.6666666666666663E-3</v>
      </c>
      <c r="AK256">
        <v>8.6666666666666661</v>
      </c>
      <c r="AL256" t="s">
        <v>1364</v>
      </c>
      <c r="AM256">
        <v>100250.7965442323</v>
      </c>
      <c r="AN256">
        <v>1.29</v>
      </c>
      <c r="AO256">
        <v>0.09</v>
      </c>
      <c r="AP256">
        <v>0.19</v>
      </c>
      <c r="AQ256">
        <v>1</v>
      </c>
      <c r="AR256">
        <v>0.95</v>
      </c>
      <c r="AS256">
        <v>0.04</v>
      </c>
      <c r="AT256">
        <v>0.01</v>
      </c>
      <c r="AU256">
        <v>0.02</v>
      </c>
      <c r="AV256">
        <v>2.25</v>
      </c>
      <c r="AW256">
        <v>1.25</v>
      </c>
      <c r="AX256">
        <v>0.21</v>
      </c>
      <c r="AY256">
        <v>0.53</v>
      </c>
      <c r="AZ256">
        <v>0</v>
      </c>
      <c r="BA256">
        <v>1.01</v>
      </c>
      <c r="BB256">
        <v>0.08</v>
      </c>
      <c r="BC256">
        <v>0.17</v>
      </c>
      <c r="BD256">
        <v>0.27</v>
      </c>
      <c r="BE256">
        <v>6.83</v>
      </c>
      <c r="BF256">
        <v>6.14</v>
      </c>
      <c r="BG256">
        <v>0.24</v>
      </c>
      <c r="BH256">
        <v>0.45</v>
      </c>
      <c r="BI256">
        <v>0</v>
      </c>
      <c r="BJ256">
        <v>0.04</v>
      </c>
      <c r="BK256">
        <v>6.1</v>
      </c>
      <c r="BL256">
        <v>0</v>
      </c>
      <c r="BM256">
        <v>1.79</v>
      </c>
      <c r="BN256">
        <v>0.21</v>
      </c>
      <c r="BO256">
        <v>0.46</v>
      </c>
      <c r="BP256">
        <v>1.1100000000000001</v>
      </c>
      <c r="BQ256">
        <v>0.93</v>
      </c>
      <c r="BR256">
        <v>0.06</v>
      </c>
      <c r="BS256">
        <v>0.12</v>
      </c>
      <c r="BT256">
        <v>0</v>
      </c>
      <c r="BU256">
        <v>7.24</v>
      </c>
      <c r="BV256">
        <v>6.18</v>
      </c>
      <c r="BW256">
        <v>0.34</v>
      </c>
      <c r="BX256">
        <v>0.72</v>
      </c>
      <c r="BY256">
        <v>0</v>
      </c>
      <c r="BZ256">
        <v>0.04</v>
      </c>
      <c r="CA256">
        <v>6.14</v>
      </c>
      <c r="CB256">
        <v>0</v>
      </c>
      <c r="CC256">
        <f t="shared" si="6"/>
        <v>2.75</v>
      </c>
      <c r="CD256">
        <v>3.96</v>
      </c>
      <c r="CE256">
        <v>0.34230769230769231</v>
      </c>
      <c r="CF256">
        <v>0.44500000000000001</v>
      </c>
      <c r="CG256">
        <v>0.1492537313432836</v>
      </c>
      <c r="CH256">
        <v>0.1111888111888112</v>
      </c>
      <c r="CI256">
        <v>0</v>
      </c>
      <c r="CJ256">
        <v>26908</v>
      </c>
      <c r="CK256" t="s">
        <v>141</v>
      </c>
      <c r="CL256" t="s">
        <v>1365</v>
      </c>
      <c r="CM256" t="s">
        <v>143</v>
      </c>
      <c r="CN256">
        <v>0.165531270762</v>
      </c>
      <c r="CO256">
        <v>114.4690416730344</v>
      </c>
      <c r="CP256">
        <v>255</v>
      </c>
      <c r="CQ256" t="s">
        <v>1366</v>
      </c>
      <c r="CR256">
        <v>13</v>
      </c>
      <c r="CS256" t="s">
        <v>1367</v>
      </c>
      <c r="CT256" t="s">
        <v>1366</v>
      </c>
      <c r="CU256" t="s">
        <v>1368</v>
      </c>
      <c r="CV256" t="s">
        <v>1369</v>
      </c>
      <c r="CW256" t="s">
        <v>1370</v>
      </c>
      <c r="CX256" t="s">
        <v>1371</v>
      </c>
      <c r="CY256" t="s">
        <v>1372</v>
      </c>
      <c r="CZ256" t="s">
        <v>1352</v>
      </c>
      <c r="DA256" t="s">
        <v>152</v>
      </c>
      <c r="DB256" t="s">
        <v>178</v>
      </c>
      <c r="DC256" t="s">
        <v>1373</v>
      </c>
      <c r="DD256" t="s">
        <v>657</v>
      </c>
      <c r="DE256">
        <v>10823</v>
      </c>
      <c r="DF256">
        <v>-100.88397000000001</v>
      </c>
      <c r="DG256">
        <v>47.47186</v>
      </c>
      <c r="DH256">
        <v>7525</v>
      </c>
      <c r="DI256">
        <v>260</v>
      </c>
      <c r="DL256">
        <v>8.6</v>
      </c>
      <c r="DM256">
        <v>0.8</v>
      </c>
      <c r="DN256">
        <v>16.2</v>
      </c>
      <c r="DO256">
        <v>190</v>
      </c>
      <c r="DP256">
        <v>104</v>
      </c>
      <c r="DQ256">
        <v>223</v>
      </c>
      <c r="DR256">
        <v>100000</v>
      </c>
      <c r="DS256" t="s">
        <v>1374</v>
      </c>
      <c r="DT256">
        <v>1.2500000000000001E-2</v>
      </c>
      <c r="DU256">
        <v>1.2500000000000001E-2</v>
      </c>
      <c r="DV256">
        <v>0.32500000000000001</v>
      </c>
      <c r="DW256">
        <v>0.32500000000000001</v>
      </c>
      <c r="DX256">
        <v>0.32500000000000001</v>
      </c>
      <c r="DY256">
        <v>84.367806855459165</v>
      </c>
      <c r="DZ256" s="4">
        <v>3.706</v>
      </c>
      <c r="EA256" s="4" t="s">
        <v>1375</v>
      </c>
      <c r="EB256" s="4" t="s">
        <v>788</v>
      </c>
      <c r="EC256">
        <v>4.2729999999999997</v>
      </c>
      <c r="ED256">
        <v>252</v>
      </c>
      <c r="EE256" t="s">
        <v>1364</v>
      </c>
      <c r="EF256">
        <v>0.65475107899979912</v>
      </c>
      <c r="EH256">
        <f t="shared" si="7"/>
        <v>0.58000000000000007</v>
      </c>
      <c r="EI256">
        <v>3.38</v>
      </c>
      <c r="EJ256">
        <v>3.65</v>
      </c>
    </row>
    <row r="257" spans="1:140" x14ac:dyDescent="0.35">
      <c r="A257" s="1">
        <v>255</v>
      </c>
      <c r="B257">
        <v>-100.5078348838087</v>
      </c>
      <c r="C257">
        <v>43.032710206823502</v>
      </c>
      <c r="D257" t="s">
        <v>1376</v>
      </c>
      <c r="E257">
        <v>0.1</v>
      </c>
      <c r="F257" t="s">
        <v>135</v>
      </c>
      <c r="G257">
        <v>7.9399999999999998E-2</v>
      </c>
      <c r="H257" t="s">
        <v>136</v>
      </c>
      <c r="I257">
        <v>-11188481</v>
      </c>
      <c r="J257">
        <v>5316952</v>
      </c>
      <c r="K257" t="s">
        <v>1361</v>
      </c>
      <c r="L257" t="s">
        <v>1377</v>
      </c>
      <c r="M257">
        <v>60</v>
      </c>
      <c r="N257">
        <v>3.7440000000000002</v>
      </c>
      <c r="O257">
        <v>2</v>
      </c>
      <c r="P257">
        <v>4</v>
      </c>
      <c r="Q257">
        <v>46</v>
      </c>
      <c r="R257">
        <v>121</v>
      </c>
      <c r="S257">
        <v>9319</v>
      </c>
      <c r="T257" t="s">
        <v>1363</v>
      </c>
      <c r="U257">
        <v>5.993541709002236</v>
      </c>
      <c r="V257" t="s">
        <v>1361</v>
      </c>
      <c r="W257">
        <v>0.1087</v>
      </c>
      <c r="X257">
        <v>10</v>
      </c>
      <c r="Y257">
        <v>8.9</v>
      </c>
      <c r="Z257">
        <v>8.9</v>
      </c>
      <c r="AA257">
        <v>20</v>
      </c>
      <c r="AB257">
        <v>26</v>
      </c>
      <c r="AC257">
        <v>0.318</v>
      </c>
      <c r="AD257">
        <v>67</v>
      </c>
      <c r="AE257">
        <v>5.0540368722186903E-2</v>
      </c>
      <c r="AF257">
        <v>2.86</v>
      </c>
      <c r="AG257" t="s">
        <v>1363</v>
      </c>
      <c r="AH257" t="s">
        <v>1361</v>
      </c>
      <c r="AI257">
        <v>26</v>
      </c>
      <c r="AJ257">
        <v>8.6666666666666663E-3</v>
      </c>
      <c r="AK257">
        <v>8.6666666666666661</v>
      </c>
      <c r="AL257" t="s">
        <v>1378</v>
      </c>
      <c r="AM257">
        <v>174608.6996602107</v>
      </c>
      <c r="AN257">
        <v>1.29</v>
      </c>
      <c r="AO257">
        <v>0.09</v>
      </c>
      <c r="AP257">
        <v>0.19</v>
      </c>
      <c r="AQ257">
        <v>1</v>
      </c>
      <c r="AR257">
        <v>0.95</v>
      </c>
      <c r="AS257">
        <v>0.04</v>
      </c>
      <c r="AT257">
        <v>0.01</v>
      </c>
      <c r="AU257">
        <v>0.02</v>
      </c>
      <c r="AV257">
        <v>2.25</v>
      </c>
      <c r="AW257">
        <v>1.25</v>
      </c>
      <c r="AX257">
        <v>0.21</v>
      </c>
      <c r="AY257">
        <v>0.53</v>
      </c>
      <c r="AZ257">
        <v>0</v>
      </c>
      <c r="BA257">
        <v>1.01</v>
      </c>
      <c r="BB257">
        <v>0.08</v>
      </c>
      <c r="BC257">
        <v>0.17</v>
      </c>
      <c r="BD257">
        <v>0.27</v>
      </c>
      <c r="BE257">
        <v>6.83</v>
      </c>
      <c r="BF257">
        <v>6.14</v>
      </c>
      <c r="BG257">
        <v>0.24</v>
      </c>
      <c r="BH257">
        <v>0.45</v>
      </c>
      <c r="BI257">
        <v>0</v>
      </c>
      <c r="BJ257">
        <v>0.04</v>
      </c>
      <c r="BK257">
        <v>6.1</v>
      </c>
      <c r="BL257">
        <v>0</v>
      </c>
      <c r="BM257">
        <v>1.79</v>
      </c>
      <c r="BN257">
        <v>0.21</v>
      </c>
      <c r="BO257">
        <v>0.46</v>
      </c>
      <c r="BP257">
        <v>1.1100000000000001</v>
      </c>
      <c r="BQ257">
        <v>0.93</v>
      </c>
      <c r="BR257">
        <v>0.06</v>
      </c>
      <c r="BS257">
        <v>0.12</v>
      </c>
      <c r="BT257">
        <v>0</v>
      </c>
      <c r="BU257">
        <v>7.24</v>
      </c>
      <c r="BV257">
        <v>6.18</v>
      </c>
      <c r="BW257">
        <v>0.34</v>
      </c>
      <c r="BX257">
        <v>0.72</v>
      </c>
      <c r="BY257">
        <v>0</v>
      </c>
      <c r="BZ257">
        <v>0.04</v>
      </c>
      <c r="CA257">
        <v>6.14</v>
      </c>
      <c r="CB257">
        <v>0</v>
      </c>
      <c r="CC257">
        <f t="shared" si="6"/>
        <v>2.75</v>
      </c>
      <c r="CD257">
        <v>3.96</v>
      </c>
      <c r="CE257">
        <v>0.34230769230769231</v>
      </c>
      <c r="CF257">
        <v>0.44500000000000001</v>
      </c>
      <c r="CG257">
        <v>0.1492537313432836</v>
      </c>
      <c r="CH257">
        <v>0.1111888111888112</v>
      </c>
      <c r="CI257">
        <v>0</v>
      </c>
      <c r="CJ257">
        <v>17920</v>
      </c>
      <c r="CK257" t="s">
        <v>141</v>
      </c>
      <c r="CL257" t="s">
        <v>475</v>
      </c>
      <c r="CM257" t="s">
        <v>143</v>
      </c>
      <c r="CN257">
        <v>6.9888000000000006E-2</v>
      </c>
      <c r="CO257">
        <v>177.5337988617847</v>
      </c>
      <c r="CP257">
        <v>256</v>
      </c>
      <c r="CQ257" t="s">
        <v>1366</v>
      </c>
      <c r="CR257">
        <v>13</v>
      </c>
      <c r="CS257" t="s">
        <v>1367</v>
      </c>
      <c r="CT257" t="s">
        <v>1366</v>
      </c>
      <c r="CU257" t="s">
        <v>1368</v>
      </c>
      <c r="CV257" t="s">
        <v>1369</v>
      </c>
      <c r="CW257" t="s">
        <v>1370</v>
      </c>
      <c r="CX257" t="s">
        <v>1371</v>
      </c>
      <c r="CY257" t="s">
        <v>1372</v>
      </c>
      <c r="CZ257" t="s">
        <v>1352</v>
      </c>
      <c r="DA257" t="s">
        <v>152</v>
      </c>
      <c r="DB257" t="s">
        <v>178</v>
      </c>
      <c r="DC257" t="s">
        <v>1373</v>
      </c>
      <c r="DD257" t="s">
        <v>657</v>
      </c>
      <c r="DE257">
        <v>10823</v>
      </c>
      <c r="DF257">
        <v>-100.88397000000001</v>
      </c>
      <c r="DG257">
        <v>47.47186</v>
      </c>
      <c r="DH257">
        <v>7525</v>
      </c>
      <c r="DI257">
        <v>260</v>
      </c>
      <c r="DL257">
        <v>8.6</v>
      </c>
      <c r="DM257">
        <v>0.8</v>
      </c>
      <c r="DN257">
        <v>16.2</v>
      </c>
      <c r="DO257">
        <v>190</v>
      </c>
      <c r="DP257">
        <v>104</v>
      </c>
      <c r="DQ257">
        <v>223</v>
      </c>
      <c r="DR257">
        <v>100000</v>
      </c>
      <c r="DS257" t="s">
        <v>1374</v>
      </c>
      <c r="DT257">
        <v>1.2500000000000001E-2</v>
      </c>
      <c r="DU257">
        <v>1.2500000000000001E-2</v>
      </c>
      <c r="DV257">
        <v>0.32500000000000001</v>
      </c>
      <c r="DW257">
        <v>0.32500000000000001</v>
      </c>
      <c r="DX257">
        <v>0.32500000000000001</v>
      </c>
      <c r="DY257">
        <v>79.719106935212906</v>
      </c>
      <c r="DZ257" s="4">
        <v>3.706</v>
      </c>
      <c r="EA257" s="4" t="s">
        <v>1375</v>
      </c>
      <c r="EB257" s="4" t="s">
        <v>788</v>
      </c>
      <c r="EC257">
        <v>4.2729999999999997</v>
      </c>
      <c r="ED257">
        <v>765</v>
      </c>
      <c r="EE257" t="s">
        <v>1378</v>
      </c>
      <c r="EF257">
        <v>1.135826935111458</v>
      </c>
      <c r="EH257">
        <f t="shared" si="7"/>
        <v>0.58000000000000007</v>
      </c>
      <c r="EI257">
        <v>3.38</v>
      </c>
      <c r="EJ257">
        <v>3.65</v>
      </c>
    </row>
    <row r="258" spans="1:140" x14ac:dyDescent="0.35">
      <c r="A258" s="1">
        <v>256</v>
      </c>
      <c r="B258">
        <v>-98.711204315569631</v>
      </c>
      <c r="C258">
        <v>43.032710206823502</v>
      </c>
      <c r="D258" t="s">
        <v>1379</v>
      </c>
      <c r="E258">
        <v>0.1</v>
      </c>
      <c r="F258" t="s">
        <v>306</v>
      </c>
      <c r="G258">
        <v>7.9399999999999998E-2</v>
      </c>
      <c r="H258" t="s">
        <v>161</v>
      </c>
      <c r="I258">
        <v>-10988481</v>
      </c>
      <c r="J258">
        <v>5316952</v>
      </c>
      <c r="K258" t="s">
        <v>1361</v>
      </c>
      <c r="L258" t="s">
        <v>1380</v>
      </c>
      <c r="M258">
        <v>26</v>
      </c>
      <c r="N258">
        <v>3.3490000000000002</v>
      </c>
      <c r="O258">
        <v>2</v>
      </c>
      <c r="P258">
        <v>4</v>
      </c>
      <c r="Q258">
        <v>46</v>
      </c>
      <c r="R258">
        <v>53</v>
      </c>
      <c r="S258">
        <v>3991</v>
      </c>
      <c r="T258" t="s">
        <v>1363</v>
      </c>
      <c r="U258">
        <v>5.993541709002236</v>
      </c>
      <c r="V258" t="s">
        <v>1361</v>
      </c>
      <c r="W258">
        <v>0.1087</v>
      </c>
      <c r="X258">
        <v>10</v>
      </c>
      <c r="Y258">
        <v>8.9</v>
      </c>
      <c r="Z258">
        <v>8.9</v>
      </c>
      <c r="AA258">
        <v>20</v>
      </c>
      <c r="AB258">
        <v>26</v>
      </c>
      <c r="AC258">
        <v>0.318</v>
      </c>
      <c r="AD258">
        <v>67</v>
      </c>
      <c r="AE258">
        <v>5.0540368722186903E-2</v>
      </c>
      <c r="AF258">
        <v>2.86</v>
      </c>
      <c r="AG258" t="s">
        <v>1363</v>
      </c>
      <c r="AH258" t="s">
        <v>1361</v>
      </c>
      <c r="AI258">
        <v>26</v>
      </c>
      <c r="AJ258">
        <v>8.6666666666666663E-3</v>
      </c>
      <c r="AK258">
        <v>8.6666666666666661</v>
      </c>
      <c r="AL258" t="s">
        <v>1381</v>
      </c>
      <c r="AM258">
        <v>83453.402488572392</v>
      </c>
      <c r="AN258">
        <v>1.29</v>
      </c>
      <c r="AO258">
        <v>0.09</v>
      </c>
      <c r="AP258">
        <v>0.19</v>
      </c>
      <c r="AQ258">
        <v>1</v>
      </c>
      <c r="AR258">
        <v>0.95</v>
      </c>
      <c r="AS258">
        <v>0.04</v>
      </c>
      <c r="AT258">
        <v>0.01</v>
      </c>
      <c r="AU258">
        <v>0.02</v>
      </c>
      <c r="AV258">
        <v>2.25</v>
      </c>
      <c r="AW258">
        <v>1.25</v>
      </c>
      <c r="AX258">
        <v>0.21</v>
      </c>
      <c r="AY258">
        <v>0.53</v>
      </c>
      <c r="AZ258">
        <v>0</v>
      </c>
      <c r="BA258">
        <v>1.01</v>
      </c>
      <c r="BB258">
        <v>0.08</v>
      </c>
      <c r="BC258">
        <v>0.17</v>
      </c>
      <c r="BD258">
        <v>0.27</v>
      </c>
      <c r="BE258">
        <v>6.83</v>
      </c>
      <c r="BF258">
        <v>6.14</v>
      </c>
      <c r="BG258">
        <v>0.24</v>
      </c>
      <c r="BH258">
        <v>0.45</v>
      </c>
      <c r="BI258">
        <v>0</v>
      </c>
      <c r="BJ258">
        <v>0.04</v>
      </c>
      <c r="BK258">
        <v>6.1</v>
      </c>
      <c r="BL258">
        <v>0</v>
      </c>
      <c r="BM258">
        <v>1.79</v>
      </c>
      <c r="BN258">
        <v>0.21</v>
      </c>
      <c r="BO258">
        <v>0.46</v>
      </c>
      <c r="BP258">
        <v>1.1100000000000001</v>
      </c>
      <c r="BQ258">
        <v>0.93</v>
      </c>
      <c r="BR258">
        <v>0.06</v>
      </c>
      <c r="BS258">
        <v>0.12</v>
      </c>
      <c r="BT258">
        <v>0</v>
      </c>
      <c r="BU258">
        <v>7.24</v>
      </c>
      <c r="BV258">
        <v>6.18</v>
      </c>
      <c r="BW258">
        <v>0.34</v>
      </c>
      <c r="BX258">
        <v>0.72</v>
      </c>
      <c r="BY258">
        <v>0</v>
      </c>
      <c r="BZ258">
        <v>0.04</v>
      </c>
      <c r="CA258">
        <v>6.14</v>
      </c>
      <c r="CB258">
        <v>0</v>
      </c>
      <c r="CC258">
        <f t="shared" si="6"/>
        <v>2.75</v>
      </c>
      <c r="CD258">
        <v>3.96</v>
      </c>
      <c r="CE258">
        <v>0.34230769230769231</v>
      </c>
      <c r="CF258">
        <v>0.44500000000000001</v>
      </c>
      <c r="CG258">
        <v>0.1492537313432836</v>
      </c>
      <c r="CH258">
        <v>0.1111888111888112</v>
      </c>
      <c r="CI258">
        <v>0</v>
      </c>
      <c r="CJ258">
        <v>17920</v>
      </c>
      <c r="CK258" t="s">
        <v>141</v>
      </c>
      <c r="CL258" t="s">
        <v>475</v>
      </c>
      <c r="CM258" t="s">
        <v>143</v>
      </c>
      <c r="CN258">
        <v>6.9888000000000006E-2</v>
      </c>
      <c r="CO258">
        <v>61.836199309077678</v>
      </c>
      <c r="CP258">
        <v>257</v>
      </c>
      <c r="CQ258" t="s">
        <v>1366</v>
      </c>
      <c r="CR258">
        <v>13</v>
      </c>
      <c r="CS258" t="s">
        <v>1367</v>
      </c>
      <c r="CT258" t="s">
        <v>1366</v>
      </c>
      <c r="CU258" t="s">
        <v>1368</v>
      </c>
      <c r="CV258" t="s">
        <v>1369</v>
      </c>
      <c r="CW258" t="s">
        <v>1370</v>
      </c>
      <c r="CX258" t="s">
        <v>1371</v>
      </c>
      <c r="CY258" t="s">
        <v>1372</v>
      </c>
      <c r="CZ258" t="s">
        <v>1352</v>
      </c>
      <c r="DA258" t="s">
        <v>152</v>
      </c>
      <c r="DB258" t="s">
        <v>178</v>
      </c>
      <c r="DC258" t="s">
        <v>1373</v>
      </c>
      <c r="DD258" t="s">
        <v>657</v>
      </c>
      <c r="DE258">
        <v>10823</v>
      </c>
      <c r="DF258">
        <v>-100.88397000000001</v>
      </c>
      <c r="DG258">
        <v>47.47186</v>
      </c>
      <c r="DH258">
        <v>7525</v>
      </c>
      <c r="DI258">
        <v>260</v>
      </c>
      <c r="DL258">
        <v>8.6</v>
      </c>
      <c r="DM258">
        <v>0.8</v>
      </c>
      <c r="DN258">
        <v>16.2</v>
      </c>
      <c r="DO258">
        <v>190</v>
      </c>
      <c r="DP258">
        <v>104</v>
      </c>
      <c r="DQ258">
        <v>223</v>
      </c>
      <c r="DR258">
        <v>100000</v>
      </c>
      <c r="DS258" t="s">
        <v>1374</v>
      </c>
      <c r="DT258">
        <v>1.2500000000000001E-2</v>
      </c>
      <c r="DU258">
        <v>1.2500000000000001E-2</v>
      </c>
      <c r="DV258">
        <v>0.32500000000000001</v>
      </c>
      <c r="DW258">
        <v>0.32500000000000001</v>
      </c>
      <c r="DX258">
        <v>0.32500000000000001</v>
      </c>
      <c r="DY258">
        <v>118.70777303641179</v>
      </c>
      <c r="DZ258" s="4">
        <v>3.706</v>
      </c>
      <c r="EA258" s="4" t="s">
        <v>1375</v>
      </c>
      <c r="EB258" s="4" t="s">
        <v>788</v>
      </c>
      <c r="EC258">
        <v>4.2729999999999997</v>
      </c>
      <c r="ED258">
        <v>709</v>
      </c>
      <c r="EE258" t="s">
        <v>1381</v>
      </c>
      <c r="EF258">
        <v>0.60801024675222726</v>
      </c>
      <c r="EH258">
        <f t="shared" si="7"/>
        <v>0.58000000000000007</v>
      </c>
      <c r="EI258">
        <v>3.38</v>
      </c>
      <c r="EJ258">
        <v>3.65</v>
      </c>
    </row>
    <row r="259" spans="1:140" x14ac:dyDescent="0.35">
      <c r="A259" s="1">
        <v>257</v>
      </c>
      <c r="B259">
        <v>-96.914573747330593</v>
      </c>
      <c r="C259">
        <v>43.032710206823502</v>
      </c>
      <c r="D259" t="s">
        <v>1382</v>
      </c>
      <c r="E259">
        <v>0.1</v>
      </c>
      <c r="F259" t="s">
        <v>326</v>
      </c>
      <c r="G259">
        <v>7.9399999999999998E-2</v>
      </c>
      <c r="H259" t="s">
        <v>161</v>
      </c>
      <c r="I259">
        <v>-10788481</v>
      </c>
      <c r="J259">
        <v>5316952</v>
      </c>
      <c r="K259" t="s">
        <v>1361</v>
      </c>
      <c r="L259" t="s">
        <v>523</v>
      </c>
      <c r="M259">
        <v>13</v>
      </c>
      <c r="N259">
        <v>3.5630000000000002</v>
      </c>
      <c r="O259">
        <v>2</v>
      </c>
      <c r="P259">
        <v>4</v>
      </c>
      <c r="Q259">
        <v>46</v>
      </c>
      <c r="R259">
        <v>27</v>
      </c>
      <c r="S259">
        <v>14966</v>
      </c>
      <c r="T259" t="s">
        <v>1363</v>
      </c>
      <c r="U259">
        <v>5.993541709002236</v>
      </c>
      <c r="V259" t="s">
        <v>1361</v>
      </c>
      <c r="W259">
        <v>0.1087</v>
      </c>
      <c r="X259">
        <v>10</v>
      </c>
      <c r="Y259">
        <v>8.9</v>
      </c>
      <c r="Z259">
        <v>8.9</v>
      </c>
      <c r="AA259">
        <v>20</v>
      </c>
      <c r="AB259">
        <v>26</v>
      </c>
      <c r="AC259">
        <v>0.318</v>
      </c>
      <c r="AD259">
        <v>67</v>
      </c>
      <c r="AE259">
        <v>5.0540368722186903E-2</v>
      </c>
      <c r="AF259">
        <v>2.86</v>
      </c>
      <c r="AG259" t="s">
        <v>1363</v>
      </c>
      <c r="AH259" t="s">
        <v>1361</v>
      </c>
      <c r="AI259">
        <v>26</v>
      </c>
      <c r="AJ259">
        <v>8.6666666666666663E-3</v>
      </c>
      <c r="AK259">
        <v>8.6666666666666661</v>
      </c>
      <c r="AL259" t="s">
        <v>1383</v>
      </c>
      <c r="AM259">
        <v>0</v>
      </c>
      <c r="AN259">
        <v>1.29</v>
      </c>
      <c r="AO259">
        <v>0.09</v>
      </c>
      <c r="AP259">
        <v>0.19</v>
      </c>
      <c r="AQ259">
        <v>1</v>
      </c>
      <c r="AR259">
        <v>0.95</v>
      </c>
      <c r="AS259">
        <v>0.04</v>
      </c>
      <c r="AT259">
        <v>0.01</v>
      </c>
      <c r="AU259">
        <v>0.02</v>
      </c>
      <c r="AV259">
        <v>2.25</v>
      </c>
      <c r="AW259">
        <v>1.25</v>
      </c>
      <c r="AX259">
        <v>0.21</v>
      </c>
      <c r="AY259">
        <v>0.53</v>
      </c>
      <c r="AZ259">
        <v>0</v>
      </c>
      <c r="BA259">
        <v>1.01</v>
      </c>
      <c r="BB259">
        <v>0.08</v>
      </c>
      <c r="BC259">
        <v>0.17</v>
      </c>
      <c r="BD259">
        <v>0.27</v>
      </c>
      <c r="BE259">
        <v>6.83</v>
      </c>
      <c r="BF259">
        <v>6.14</v>
      </c>
      <c r="BG259">
        <v>0.24</v>
      </c>
      <c r="BH259">
        <v>0.45</v>
      </c>
      <c r="BI259">
        <v>0</v>
      </c>
      <c r="BJ259">
        <v>0.04</v>
      </c>
      <c r="BK259">
        <v>6.1</v>
      </c>
      <c r="BL259">
        <v>0</v>
      </c>
      <c r="BM259">
        <v>1.79</v>
      </c>
      <c r="BN259">
        <v>0.21</v>
      </c>
      <c r="BO259">
        <v>0.46</v>
      </c>
      <c r="BP259">
        <v>1.1100000000000001</v>
      </c>
      <c r="BQ259">
        <v>0.93</v>
      </c>
      <c r="BR259">
        <v>0.06</v>
      </c>
      <c r="BS259">
        <v>0.12</v>
      </c>
      <c r="BT259">
        <v>0</v>
      </c>
      <c r="BU259">
        <v>7.24</v>
      </c>
      <c r="BV259">
        <v>6.18</v>
      </c>
      <c r="BW259">
        <v>0.34</v>
      </c>
      <c r="BX259">
        <v>0.72</v>
      </c>
      <c r="BY259">
        <v>0</v>
      </c>
      <c r="BZ259">
        <v>0.04</v>
      </c>
      <c r="CA259">
        <v>6.14</v>
      </c>
      <c r="CB259">
        <v>0</v>
      </c>
      <c r="CC259">
        <f t="shared" ref="CC259:CC322" si="8">6.71-CD259</f>
        <v>2.75</v>
      </c>
      <c r="CD259">
        <v>3.96</v>
      </c>
      <c r="CE259">
        <v>0.34230769230769231</v>
      </c>
      <c r="CF259">
        <v>0.44500000000000001</v>
      </c>
      <c r="CG259">
        <v>0.1492537313432836</v>
      </c>
      <c r="CH259">
        <v>0.1111888111888112</v>
      </c>
      <c r="CI259">
        <v>0</v>
      </c>
      <c r="CJ259">
        <v>17935</v>
      </c>
      <c r="CK259" t="s">
        <v>141</v>
      </c>
      <c r="CL259" t="s">
        <v>475</v>
      </c>
      <c r="CM259" t="s">
        <v>143</v>
      </c>
      <c r="CN259">
        <v>0.14522512443800001</v>
      </c>
      <c r="CO259">
        <v>5.9457657457870319</v>
      </c>
      <c r="CP259">
        <v>258</v>
      </c>
      <c r="CQ259" t="s">
        <v>1366</v>
      </c>
      <c r="CR259">
        <v>13</v>
      </c>
      <c r="CS259" t="s">
        <v>1367</v>
      </c>
      <c r="CT259" t="s">
        <v>1366</v>
      </c>
      <c r="CU259" t="s">
        <v>1368</v>
      </c>
      <c r="CV259" t="s">
        <v>1369</v>
      </c>
      <c r="CW259" t="s">
        <v>1370</v>
      </c>
      <c r="CX259" t="s">
        <v>1371</v>
      </c>
      <c r="CY259" t="s">
        <v>1372</v>
      </c>
      <c r="CZ259" t="s">
        <v>1352</v>
      </c>
      <c r="DA259" t="s">
        <v>152</v>
      </c>
      <c r="DB259" t="s">
        <v>178</v>
      </c>
      <c r="DC259" t="s">
        <v>1373</v>
      </c>
      <c r="DD259" t="s">
        <v>657</v>
      </c>
      <c r="DE259">
        <v>10823</v>
      </c>
      <c r="DF259">
        <v>-100.88397000000001</v>
      </c>
      <c r="DG259">
        <v>47.47186</v>
      </c>
      <c r="DH259">
        <v>7525</v>
      </c>
      <c r="DI259">
        <v>260</v>
      </c>
      <c r="DL259">
        <v>8.6</v>
      </c>
      <c r="DM259">
        <v>0.8</v>
      </c>
      <c r="DN259">
        <v>16.2</v>
      </c>
      <c r="DO259">
        <v>190</v>
      </c>
      <c r="DP259">
        <v>104</v>
      </c>
      <c r="DQ259">
        <v>223</v>
      </c>
      <c r="DR259">
        <v>100000</v>
      </c>
      <c r="DS259" t="s">
        <v>1374</v>
      </c>
      <c r="DT259">
        <v>1.2500000000000001E-2</v>
      </c>
      <c r="DU259">
        <v>1.2500000000000001E-2</v>
      </c>
      <c r="DV259">
        <v>0.32500000000000001</v>
      </c>
      <c r="DW259">
        <v>0.32500000000000001</v>
      </c>
      <c r="DX259">
        <v>0.32500000000000001</v>
      </c>
      <c r="DY259">
        <v>211.98281021948719</v>
      </c>
      <c r="DZ259" s="4">
        <v>3.706</v>
      </c>
      <c r="EA259" s="4" t="s">
        <v>1375</v>
      </c>
      <c r="EB259" s="4" t="s">
        <v>788</v>
      </c>
      <c r="EC259">
        <v>4.2729999999999997</v>
      </c>
      <c r="ED259">
        <v>747</v>
      </c>
      <c r="EE259" t="s">
        <v>1383</v>
      </c>
      <c r="EF259">
        <v>0</v>
      </c>
      <c r="EH259">
        <f t="shared" ref="EH259:EH322" si="9">0.39+0.19</f>
        <v>0.58000000000000007</v>
      </c>
      <c r="EI259">
        <v>3.38</v>
      </c>
      <c r="EJ259">
        <v>3.65</v>
      </c>
    </row>
    <row r="260" spans="1:140" x14ac:dyDescent="0.35">
      <c r="A260" s="1">
        <v>258</v>
      </c>
      <c r="B260">
        <v>-95.11794317909154</v>
      </c>
      <c r="C260">
        <v>43.032710206823502</v>
      </c>
      <c r="D260" t="s">
        <v>1384</v>
      </c>
      <c r="E260">
        <v>0.1</v>
      </c>
      <c r="F260" t="s">
        <v>1277</v>
      </c>
      <c r="G260">
        <v>4.8399999999999999E-2</v>
      </c>
      <c r="H260" t="s">
        <v>161</v>
      </c>
      <c r="I260">
        <v>-10588481</v>
      </c>
      <c r="J260">
        <v>5316952</v>
      </c>
      <c r="K260" t="s">
        <v>1224</v>
      </c>
      <c r="L260" t="s">
        <v>523</v>
      </c>
      <c r="M260">
        <v>21</v>
      </c>
      <c r="N260">
        <v>3.5489999999999999</v>
      </c>
      <c r="O260">
        <v>2</v>
      </c>
      <c r="P260">
        <v>4</v>
      </c>
      <c r="Q260">
        <v>19</v>
      </c>
      <c r="R260">
        <v>41</v>
      </c>
      <c r="S260">
        <v>16381</v>
      </c>
      <c r="T260" t="s">
        <v>1225</v>
      </c>
      <c r="U260">
        <v>6.2116607413637119</v>
      </c>
      <c r="V260" t="s">
        <v>1224</v>
      </c>
      <c r="W260">
        <v>9.3399999999999997E-2</v>
      </c>
      <c r="X260">
        <v>10</v>
      </c>
      <c r="Y260">
        <v>8.9</v>
      </c>
      <c r="Z260">
        <v>8.9</v>
      </c>
      <c r="AA260">
        <v>20</v>
      </c>
      <c r="AB260">
        <v>26</v>
      </c>
      <c r="AC260">
        <v>0.69899999999999995</v>
      </c>
      <c r="AD260">
        <v>67</v>
      </c>
      <c r="AE260">
        <v>0.11109345200254291</v>
      </c>
      <c r="AF260">
        <v>2.86</v>
      </c>
      <c r="AG260" t="s">
        <v>1225</v>
      </c>
      <c r="AH260" t="s">
        <v>1224</v>
      </c>
      <c r="AI260">
        <v>32</v>
      </c>
      <c r="AJ260">
        <v>1.066666666666667E-2</v>
      </c>
      <c r="AK260">
        <v>10.66666666666667</v>
      </c>
      <c r="AL260" t="s">
        <v>1385</v>
      </c>
      <c r="AM260">
        <v>0</v>
      </c>
      <c r="AN260">
        <v>1.32</v>
      </c>
      <c r="AO260">
        <v>0.09</v>
      </c>
      <c r="AP260">
        <v>0.19</v>
      </c>
      <c r="AQ260">
        <v>1.04</v>
      </c>
      <c r="AR260">
        <v>0.98</v>
      </c>
      <c r="AS260">
        <v>0.04</v>
      </c>
      <c r="AT260">
        <v>0.01</v>
      </c>
      <c r="AU260">
        <v>0.02</v>
      </c>
      <c r="AV260">
        <v>2.2599999999999998</v>
      </c>
      <c r="AW260">
        <v>1.26</v>
      </c>
      <c r="AX260">
        <v>0.21</v>
      </c>
      <c r="AY260">
        <v>0.53</v>
      </c>
      <c r="AZ260">
        <v>0</v>
      </c>
      <c r="BA260">
        <v>1.04</v>
      </c>
      <c r="BB260">
        <v>0.08</v>
      </c>
      <c r="BC260">
        <v>0.14000000000000001</v>
      </c>
      <c r="BD260">
        <v>0.27</v>
      </c>
      <c r="BE260">
        <v>5.72</v>
      </c>
      <c r="BF260">
        <v>5.03</v>
      </c>
      <c r="BG260">
        <v>0.24</v>
      </c>
      <c r="BH260">
        <v>0.45</v>
      </c>
      <c r="BI260">
        <v>0</v>
      </c>
      <c r="BJ260">
        <v>0.04</v>
      </c>
      <c r="BK260">
        <v>4.99</v>
      </c>
      <c r="BL260">
        <v>0</v>
      </c>
      <c r="BM260">
        <v>1.8</v>
      </c>
      <c r="BN260">
        <v>0.21</v>
      </c>
      <c r="BO260">
        <v>0.46</v>
      </c>
      <c r="BP260">
        <v>1.1299999999999999</v>
      </c>
      <c r="BQ260">
        <v>0.97</v>
      </c>
      <c r="BR260">
        <v>0.06</v>
      </c>
      <c r="BS260">
        <v>0.1</v>
      </c>
      <c r="BT260">
        <v>0</v>
      </c>
      <c r="BU260">
        <v>6.12</v>
      </c>
      <c r="BV260">
        <v>5.0599999999999996</v>
      </c>
      <c r="BW260">
        <v>0.34</v>
      </c>
      <c r="BX260">
        <v>0.72</v>
      </c>
      <c r="BY260">
        <v>0</v>
      </c>
      <c r="BZ260">
        <v>0.04</v>
      </c>
      <c r="CA260">
        <v>5.0199999999999996</v>
      </c>
      <c r="CB260">
        <v>0</v>
      </c>
      <c r="CC260">
        <f t="shared" si="8"/>
        <v>2.75</v>
      </c>
      <c r="CD260">
        <v>3.96</v>
      </c>
      <c r="CE260">
        <v>0.34230769230769231</v>
      </c>
      <c r="CF260">
        <v>0.44500000000000001</v>
      </c>
      <c r="CG260">
        <v>0.1492537313432836</v>
      </c>
      <c r="CH260">
        <v>0.2444055944055944</v>
      </c>
      <c r="CI260">
        <v>0</v>
      </c>
      <c r="CJ260">
        <v>17804</v>
      </c>
      <c r="CK260" t="s">
        <v>141</v>
      </c>
      <c r="CL260" t="s">
        <v>475</v>
      </c>
      <c r="CM260" t="s">
        <v>143</v>
      </c>
      <c r="CN260">
        <v>0.142822420649</v>
      </c>
      <c r="CO260">
        <v>10.90045714182606</v>
      </c>
      <c r="CP260">
        <v>259</v>
      </c>
      <c r="CQ260" t="s">
        <v>991</v>
      </c>
      <c r="CR260">
        <v>4</v>
      </c>
      <c r="CS260" t="s">
        <v>860</v>
      </c>
      <c r="CT260" t="s">
        <v>486</v>
      </c>
      <c r="CU260" t="s">
        <v>861</v>
      </c>
      <c r="CV260" t="s">
        <v>862</v>
      </c>
      <c r="CW260" t="s">
        <v>863</v>
      </c>
      <c r="CX260" t="s">
        <v>864</v>
      </c>
      <c r="CY260" t="s">
        <v>865</v>
      </c>
      <c r="CZ260" t="s">
        <v>206</v>
      </c>
      <c r="DA260" t="s">
        <v>152</v>
      </c>
      <c r="DB260" t="s">
        <v>491</v>
      </c>
      <c r="DC260" t="s">
        <v>459</v>
      </c>
      <c r="DD260" t="s">
        <v>492</v>
      </c>
      <c r="DE260">
        <v>32460</v>
      </c>
      <c r="DF260">
        <v>-99.205699999999993</v>
      </c>
      <c r="DG260">
        <v>37.695</v>
      </c>
      <c r="DH260">
        <v>5365</v>
      </c>
      <c r="DI260">
        <v>720</v>
      </c>
      <c r="DJ260">
        <v>2333</v>
      </c>
      <c r="DK260">
        <v>114</v>
      </c>
      <c r="DL260">
        <v>10</v>
      </c>
      <c r="DO260">
        <v>50</v>
      </c>
      <c r="DP260">
        <v>0.1</v>
      </c>
      <c r="DQ260">
        <v>1500</v>
      </c>
      <c r="DR260" t="s">
        <v>866</v>
      </c>
      <c r="DS260" t="s">
        <v>867</v>
      </c>
      <c r="DT260">
        <v>1.2500000000000001E-2</v>
      </c>
      <c r="DU260">
        <v>1.2500000000000001E-2</v>
      </c>
      <c r="DV260">
        <v>0.32500000000000001</v>
      </c>
      <c r="DW260">
        <v>0.32500000000000001</v>
      </c>
      <c r="DX260">
        <v>0.32500000000000001</v>
      </c>
      <c r="DY260">
        <v>310.75334686820099</v>
      </c>
      <c r="DZ260" s="4">
        <v>3.681</v>
      </c>
      <c r="EA260" s="4" t="s">
        <v>1227</v>
      </c>
      <c r="EB260" s="4" t="s">
        <v>1228</v>
      </c>
      <c r="EC260">
        <v>4.4749999999999996</v>
      </c>
      <c r="ED260">
        <v>885</v>
      </c>
      <c r="EE260" t="s">
        <v>1385</v>
      </c>
      <c r="EF260">
        <v>0</v>
      </c>
      <c r="EH260">
        <f t="shared" si="9"/>
        <v>0.58000000000000007</v>
      </c>
      <c r="EI260">
        <v>3.38</v>
      </c>
      <c r="EJ260">
        <v>3.65</v>
      </c>
    </row>
    <row r="261" spans="1:140" x14ac:dyDescent="0.35">
      <c r="A261" s="1">
        <v>259</v>
      </c>
      <c r="B261">
        <v>-93.321312610852502</v>
      </c>
      <c r="C261">
        <v>43.032710206823502</v>
      </c>
      <c r="D261" t="s">
        <v>1386</v>
      </c>
      <c r="E261">
        <v>0.1</v>
      </c>
      <c r="F261" t="s">
        <v>306</v>
      </c>
      <c r="G261">
        <v>8.8000000000000009E-2</v>
      </c>
      <c r="H261" t="s">
        <v>161</v>
      </c>
      <c r="I261">
        <v>-10388481</v>
      </c>
      <c r="J261">
        <v>5316952</v>
      </c>
      <c r="K261" t="s">
        <v>1224</v>
      </c>
      <c r="L261" t="s">
        <v>1387</v>
      </c>
      <c r="M261">
        <v>17</v>
      </c>
      <c r="N261">
        <v>3.4159999999999999</v>
      </c>
      <c r="O261">
        <v>2</v>
      </c>
      <c r="P261">
        <v>4</v>
      </c>
      <c r="Q261">
        <v>19</v>
      </c>
      <c r="R261">
        <v>33</v>
      </c>
      <c r="S261">
        <v>43132</v>
      </c>
      <c r="T261" t="s">
        <v>1225</v>
      </c>
      <c r="U261">
        <v>6.2116607413637119</v>
      </c>
      <c r="V261" t="s">
        <v>1224</v>
      </c>
      <c r="W261">
        <v>9.3399999999999997E-2</v>
      </c>
      <c r="X261">
        <v>10</v>
      </c>
      <c r="Y261">
        <v>8.9</v>
      </c>
      <c r="Z261">
        <v>8.9</v>
      </c>
      <c r="AA261">
        <v>20</v>
      </c>
      <c r="AB261">
        <v>26</v>
      </c>
      <c r="AC261">
        <v>0.69899999999999995</v>
      </c>
      <c r="AD261">
        <v>67</v>
      </c>
      <c r="AE261">
        <v>0.11109345200254291</v>
      </c>
      <c r="AF261">
        <v>2.86</v>
      </c>
      <c r="AG261" t="s">
        <v>1225</v>
      </c>
      <c r="AH261" t="s">
        <v>1224</v>
      </c>
      <c r="AI261">
        <v>32</v>
      </c>
      <c r="AJ261">
        <v>1.066666666666667E-2</v>
      </c>
      <c r="AK261">
        <v>10.66666666666667</v>
      </c>
      <c r="AL261" t="s">
        <v>1388</v>
      </c>
      <c r="AM261">
        <v>0</v>
      </c>
      <c r="AN261">
        <v>1.32</v>
      </c>
      <c r="AO261">
        <v>0.09</v>
      </c>
      <c r="AP261">
        <v>0.19</v>
      </c>
      <c r="AQ261">
        <v>1.04</v>
      </c>
      <c r="AR261">
        <v>0.98</v>
      </c>
      <c r="AS261">
        <v>0.04</v>
      </c>
      <c r="AT261">
        <v>0.01</v>
      </c>
      <c r="AU261">
        <v>0.02</v>
      </c>
      <c r="AV261">
        <v>2.2599999999999998</v>
      </c>
      <c r="AW261">
        <v>1.26</v>
      </c>
      <c r="AX261">
        <v>0.21</v>
      </c>
      <c r="AY261">
        <v>0.53</v>
      </c>
      <c r="AZ261">
        <v>0</v>
      </c>
      <c r="BA261">
        <v>1.04</v>
      </c>
      <c r="BB261">
        <v>0.08</v>
      </c>
      <c r="BC261">
        <v>0.14000000000000001</v>
      </c>
      <c r="BD261">
        <v>0.27</v>
      </c>
      <c r="BE261">
        <v>5.72</v>
      </c>
      <c r="BF261">
        <v>5.03</v>
      </c>
      <c r="BG261">
        <v>0.24</v>
      </c>
      <c r="BH261">
        <v>0.45</v>
      </c>
      <c r="BI261">
        <v>0</v>
      </c>
      <c r="BJ261">
        <v>0.04</v>
      </c>
      <c r="BK261">
        <v>4.99</v>
      </c>
      <c r="BL261">
        <v>0</v>
      </c>
      <c r="BM261">
        <v>1.8</v>
      </c>
      <c r="BN261">
        <v>0.21</v>
      </c>
      <c r="BO261">
        <v>0.46</v>
      </c>
      <c r="BP261">
        <v>1.1299999999999999</v>
      </c>
      <c r="BQ261">
        <v>0.97</v>
      </c>
      <c r="BR261">
        <v>0.06</v>
      </c>
      <c r="BS261">
        <v>0.1</v>
      </c>
      <c r="BT261">
        <v>0</v>
      </c>
      <c r="BU261">
        <v>6.12</v>
      </c>
      <c r="BV261">
        <v>5.0599999999999996</v>
      </c>
      <c r="BW261">
        <v>0.34</v>
      </c>
      <c r="BX261">
        <v>0.72</v>
      </c>
      <c r="BY261">
        <v>0</v>
      </c>
      <c r="BZ261">
        <v>0.04</v>
      </c>
      <c r="CA261">
        <v>5.0199999999999996</v>
      </c>
      <c r="CB261">
        <v>0</v>
      </c>
      <c r="CC261">
        <f t="shared" si="8"/>
        <v>2.75</v>
      </c>
      <c r="CD261">
        <v>3.96</v>
      </c>
      <c r="CE261">
        <v>0.34230769230769231</v>
      </c>
      <c r="CF261">
        <v>0.44500000000000001</v>
      </c>
      <c r="CG261">
        <v>0.1492537313432836</v>
      </c>
      <c r="CH261">
        <v>0.2444055944055944</v>
      </c>
      <c r="CI261">
        <v>0</v>
      </c>
      <c r="CJ261">
        <v>17633</v>
      </c>
      <c r="CK261" t="s">
        <v>141</v>
      </c>
      <c r="CL261" t="s">
        <v>475</v>
      </c>
      <c r="CM261" t="s">
        <v>143</v>
      </c>
      <c r="CN261">
        <v>0.29749017500399999</v>
      </c>
      <c r="CO261">
        <v>5.4077186938762214</v>
      </c>
      <c r="CP261">
        <v>260</v>
      </c>
      <c r="CQ261" t="s">
        <v>774</v>
      </c>
      <c r="CR261">
        <v>93</v>
      </c>
      <c r="CS261" t="s">
        <v>775</v>
      </c>
      <c r="CT261" t="s">
        <v>639</v>
      </c>
      <c r="CU261" t="s">
        <v>776</v>
      </c>
      <c r="CV261" t="s">
        <v>777</v>
      </c>
      <c r="CW261" t="s">
        <v>642</v>
      </c>
      <c r="CX261" t="s">
        <v>778</v>
      </c>
      <c r="CY261" t="s">
        <v>779</v>
      </c>
      <c r="CZ261" t="s">
        <v>645</v>
      </c>
      <c r="DA261" t="s">
        <v>152</v>
      </c>
      <c r="DB261" t="s">
        <v>491</v>
      </c>
      <c r="DC261" t="s">
        <v>459</v>
      </c>
      <c r="DD261" t="s">
        <v>492</v>
      </c>
      <c r="DE261">
        <v>5560</v>
      </c>
      <c r="DF261">
        <v>-88.498699999999999</v>
      </c>
      <c r="DG261">
        <v>38.153100000000002</v>
      </c>
      <c r="DH261">
        <v>7300</v>
      </c>
      <c r="DI261">
        <v>600</v>
      </c>
      <c r="DL261">
        <v>3.5</v>
      </c>
      <c r="DM261">
        <v>4</v>
      </c>
      <c r="DN261">
        <v>4</v>
      </c>
      <c r="DO261">
        <v>65</v>
      </c>
      <c r="DP261">
        <v>1</v>
      </c>
      <c r="DQ261">
        <v>400</v>
      </c>
      <c r="DR261">
        <v>140000</v>
      </c>
      <c r="DS261">
        <v>60</v>
      </c>
      <c r="DT261">
        <v>1.2500000000000001E-2</v>
      </c>
      <c r="DU261">
        <v>1.2500000000000001E-2</v>
      </c>
      <c r="DV261">
        <v>0.32500000000000001</v>
      </c>
      <c r="DW261">
        <v>0.32500000000000001</v>
      </c>
      <c r="DX261">
        <v>0.32500000000000001</v>
      </c>
      <c r="DY261">
        <v>191.23398279292971</v>
      </c>
      <c r="DZ261" s="4">
        <v>3.681</v>
      </c>
      <c r="EA261" s="4" t="s">
        <v>1227</v>
      </c>
      <c r="EB261" s="4" t="s">
        <v>1228</v>
      </c>
      <c r="EC261">
        <v>4.4749999999999996</v>
      </c>
      <c r="ED261">
        <v>442</v>
      </c>
      <c r="EE261" t="s">
        <v>1388</v>
      </c>
      <c r="EF261">
        <v>0</v>
      </c>
      <c r="EH261">
        <f t="shared" si="9"/>
        <v>0.58000000000000007</v>
      </c>
      <c r="EI261">
        <v>3.38</v>
      </c>
      <c r="EJ261">
        <v>3.65</v>
      </c>
    </row>
    <row r="262" spans="1:140" x14ac:dyDescent="0.35">
      <c r="A262" s="1">
        <v>260</v>
      </c>
      <c r="B262">
        <v>-91.524682042613449</v>
      </c>
      <c r="C262">
        <v>43.032710206823502</v>
      </c>
      <c r="D262" t="s">
        <v>1389</v>
      </c>
      <c r="E262">
        <v>0.1</v>
      </c>
      <c r="F262" t="s">
        <v>135</v>
      </c>
      <c r="G262">
        <v>8.8000000000000009E-2</v>
      </c>
      <c r="H262" t="s">
        <v>161</v>
      </c>
      <c r="I262">
        <v>-10188481</v>
      </c>
      <c r="J262">
        <v>5316952</v>
      </c>
      <c r="K262" t="s">
        <v>1224</v>
      </c>
      <c r="L262" t="s">
        <v>1390</v>
      </c>
      <c r="M262">
        <v>22</v>
      </c>
      <c r="N262">
        <v>3.6309999999999998</v>
      </c>
      <c r="O262">
        <v>2</v>
      </c>
      <c r="P262">
        <v>4</v>
      </c>
      <c r="Q262">
        <v>19</v>
      </c>
      <c r="R262">
        <v>43</v>
      </c>
      <c r="S262">
        <v>17045</v>
      </c>
      <c r="T262" t="s">
        <v>1225</v>
      </c>
      <c r="U262">
        <v>6.2116607413637119</v>
      </c>
      <c r="V262" t="s">
        <v>1224</v>
      </c>
      <c r="W262">
        <v>9.3399999999999997E-2</v>
      </c>
      <c r="X262">
        <v>10</v>
      </c>
      <c r="Y262">
        <v>8.9</v>
      </c>
      <c r="Z262">
        <v>8.9</v>
      </c>
      <c r="AA262">
        <v>20</v>
      </c>
      <c r="AB262">
        <v>26</v>
      </c>
      <c r="AC262">
        <v>0.69899999999999995</v>
      </c>
      <c r="AD262">
        <v>67</v>
      </c>
      <c r="AE262">
        <v>0.11109345200254291</v>
      </c>
      <c r="AF262">
        <v>2.86</v>
      </c>
      <c r="AG262" t="s">
        <v>1225</v>
      </c>
      <c r="AH262" t="s">
        <v>1224</v>
      </c>
      <c r="AI262">
        <v>32</v>
      </c>
      <c r="AJ262">
        <v>1.066666666666667E-2</v>
      </c>
      <c r="AK262">
        <v>10.66666666666667</v>
      </c>
      <c r="AL262" t="s">
        <v>1391</v>
      </c>
      <c r="AM262">
        <v>41508.60508825694</v>
      </c>
      <c r="AN262">
        <v>1.32</v>
      </c>
      <c r="AO262">
        <v>0.09</v>
      </c>
      <c r="AP262">
        <v>0.19</v>
      </c>
      <c r="AQ262">
        <v>1.04</v>
      </c>
      <c r="AR262">
        <v>0.98</v>
      </c>
      <c r="AS262">
        <v>0.04</v>
      </c>
      <c r="AT262">
        <v>0.01</v>
      </c>
      <c r="AU262">
        <v>0.02</v>
      </c>
      <c r="AV262">
        <v>2.2599999999999998</v>
      </c>
      <c r="AW262">
        <v>1.26</v>
      </c>
      <c r="AX262">
        <v>0.21</v>
      </c>
      <c r="AY262">
        <v>0.53</v>
      </c>
      <c r="AZ262">
        <v>0</v>
      </c>
      <c r="BA262">
        <v>1.04</v>
      </c>
      <c r="BB262">
        <v>0.08</v>
      </c>
      <c r="BC262">
        <v>0.14000000000000001</v>
      </c>
      <c r="BD262">
        <v>0.27</v>
      </c>
      <c r="BE262">
        <v>5.72</v>
      </c>
      <c r="BF262">
        <v>5.03</v>
      </c>
      <c r="BG262">
        <v>0.24</v>
      </c>
      <c r="BH262">
        <v>0.45</v>
      </c>
      <c r="BI262">
        <v>0</v>
      </c>
      <c r="BJ262">
        <v>0.04</v>
      </c>
      <c r="BK262">
        <v>4.99</v>
      </c>
      <c r="BL262">
        <v>0</v>
      </c>
      <c r="BM262">
        <v>1.8</v>
      </c>
      <c r="BN262">
        <v>0.21</v>
      </c>
      <c r="BO262">
        <v>0.46</v>
      </c>
      <c r="BP262">
        <v>1.1299999999999999</v>
      </c>
      <c r="BQ262">
        <v>0.97</v>
      </c>
      <c r="BR262">
        <v>0.06</v>
      </c>
      <c r="BS262">
        <v>0.1</v>
      </c>
      <c r="BT262">
        <v>0</v>
      </c>
      <c r="BU262">
        <v>6.12</v>
      </c>
      <c r="BV262">
        <v>5.0599999999999996</v>
      </c>
      <c r="BW262">
        <v>0.34</v>
      </c>
      <c r="BX262">
        <v>0.72</v>
      </c>
      <c r="BY262">
        <v>0</v>
      </c>
      <c r="BZ262">
        <v>0.04</v>
      </c>
      <c r="CA262">
        <v>5.0199999999999996</v>
      </c>
      <c r="CB262">
        <v>0</v>
      </c>
      <c r="CC262">
        <f t="shared" si="8"/>
        <v>2.75</v>
      </c>
      <c r="CD262">
        <v>3.96</v>
      </c>
      <c r="CE262">
        <v>0.34230769230769231</v>
      </c>
      <c r="CF262">
        <v>0.44500000000000001</v>
      </c>
      <c r="CG262">
        <v>0.1492537313432836</v>
      </c>
      <c r="CH262">
        <v>0.2444055944055944</v>
      </c>
      <c r="CI262">
        <v>0</v>
      </c>
      <c r="CJ262">
        <v>17132</v>
      </c>
      <c r="CK262" t="s">
        <v>141</v>
      </c>
      <c r="CL262" t="s">
        <v>475</v>
      </c>
      <c r="CM262" t="s">
        <v>143</v>
      </c>
      <c r="CN262">
        <v>0.100864</v>
      </c>
      <c r="CO262">
        <v>0.22949718405131361</v>
      </c>
      <c r="CP262">
        <v>261</v>
      </c>
      <c r="CQ262" t="s">
        <v>774</v>
      </c>
      <c r="CR262">
        <v>93</v>
      </c>
      <c r="CS262" t="s">
        <v>775</v>
      </c>
      <c r="CT262" t="s">
        <v>639</v>
      </c>
      <c r="CU262" t="s">
        <v>776</v>
      </c>
      <c r="CV262" t="s">
        <v>777</v>
      </c>
      <c r="CW262" t="s">
        <v>642</v>
      </c>
      <c r="CX262" t="s">
        <v>778</v>
      </c>
      <c r="CY262" t="s">
        <v>779</v>
      </c>
      <c r="CZ262" t="s">
        <v>645</v>
      </c>
      <c r="DA262" t="s">
        <v>152</v>
      </c>
      <c r="DB262" t="s">
        <v>491</v>
      </c>
      <c r="DC262" t="s">
        <v>459</v>
      </c>
      <c r="DD262" t="s">
        <v>492</v>
      </c>
      <c r="DE262">
        <v>5560</v>
      </c>
      <c r="DF262">
        <v>-88.498699999999999</v>
      </c>
      <c r="DG262">
        <v>38.153100000000002</v>
      </c>
      <c r="DH262">
        <v>7300</v>
      </c>
      <c r="DI262">
        <v>600</v>
      </c>
      <c r="DL262">
        <v>3.5</v>
      </c>
      <c r="DM262">
        <v>4</v>
      </c>
      <c r="DN262">
        <v>4</v>
      </c>
      <c r="DO262">
        <v>65</v>
      </c>
      <c r="DP262">
        <v>1</v>
      </c>
      <c r="DQ262">
        <v>400</v>
      </c>
      <c r="DR262">
        <v>140000</v>
      </c>
      <c r="DS262">
        <v>60</v>
      </c>
      <c r="DT262">
        <v>1.2500000000000001E-2</v>
      </c>
      <c r="DU262">
        <v>1.2500000000000001E-2</v>
      </c>
      <c r="DV262">
        <v>0.32500000000000001</v>
      </c>
      <c r="DW262">
        <v>0.32500000000000001</v>
      </c>
      <c r="DX262">
        <v>0.32500000000000001</v>
      </c>
      <c r="DY262">
        <v>78.584124106000743</v>
      </c>
      <c r="DZ262" s="4">
        <v>3.681</v>
      </c>
      <c r="EA262" s="4" t="s">
        <v>1227</v>
      </c>
      <c r="EB262" s="4" t="s">
        <v>1228</v>
      </c>
      <c r="EC262">
        <v>4.4749999999999996</v>
      </c>
      <c r="ED262">
        <v>113</v>
      </c>
      <c r="EE262" t="s">
        <v>1391</v>
      </c>
      <c r="EF262">
        <v>0.37055597516824812</v>
      </c>
      <c r="EH262">
        <f t="shared" si="9"/>
        <v>0.58000000000000007</v>
      </c>
      <c r="EI262">
        <v>3.38</v>
      </c>
      <c r="EJ262">
        <v>3.65</v>
      </c>
    </row>
    <row r="263" spans="1:140" x14ac:dyDescent="0.35">
      <c r="A263" s="1">
        <v>261</v>
      </c>
      <c r="B263">
        <v>-89.728051474374411</v>
      </c>
      <c r="C263">
        <v>43.032710206823502</v>
      </c>
      <c r="D263" t="s">
        <v>1392</v>
      </c>
      <c r="E263">
        <v>0.1</v>
      </c>
      <c r="F263" t="s">
        <v>135</v>
      </c>
      <c r="G263">
        <v>8.8000000000000009E-2</v>
      </c>
      <c r="H263" t="s">
        <v>161</v>
      </c>
      <c r="I263">
        <v>-9988481</v>
      </c>
      <c r="J263">
        <v>5316952</v>
      </c>
      <c r="K263" t="s">
        <v>1393</v>
      </c>
      <c r="L263" t="s">
        <v>1394</v>
      </c>
      <c r="M263">
        <v>13</v>
      </c>
      <c r="N263">
        <v>3.7029999999999998</v>
      </c>
      <c r="O263">
        <v>2</v>
      </c>
      <c r="P263">
        <v>3</v>
      </c>
      <c r="Q263">
        <v>55</v>
      </c>
      <c r="R263">
        <v>25</v>
      </c>
      <c r="S263">
        <v>561507</v>
      </c>
      <c r="T263" t="s">
        <v>1395</v>
      </c>
      <c r="U263">
        <v>6.5847896768949399</v>
      </c>
      <c r="V263" t="s">
        <v>1393</v>
      </c>
      <c r="W263">
        <v>0.12720000000000001</v>
      </c>
      <c r="X263">
        <v>10</v>
      </c>
      <c r="Y263">
        <v>8.9</v>
      </c>
      <c r="Z263">
        <v>8.9</v>
      </c>
      <c r="AA263">
        <v>20</v>
      </c>
      <c r="AB263">
        <v>26</v>
      </c>
      <c r="AC263">
        <v>1.0900000000000001</v>
      </c>
      <c r="AD263">
        <v>67</v>
      </c>
      <c r="AE263">
        <v>0.17323585505403691</v>
      </c>
      <c r="AF263">
        <v>2.86</v>
      </c>
      <c r="AG263" t="s">
        <v>1395</v>
      </c>
      <c r="AH263" t="s">
        <v>1393</v>
      </c>
      <c r="AI263">
        <v>18</v>
      </c>
      <c r="AJ263">
        <v>6.0000000000000001E-3</v>
      </c>
      <c r="AK263">
        <v>6</v>
      </c>
      <c r="AL263" t="s">
        <v>1396</v>
      </c>
      <c r="AM263">
        <v>0</v>
      </c>
      <c r="AN263">
        <v>1.39</v>
      </c>
      <c r="AO263">
        <v>0.09</v>
      </c>
      <c r="AP263">
        <v>0.19</v>
      </c>
      <c r="AQ263">
        <v>1.1000000000000001</v>
      </c>
      <c r="AR263">
        <v>1.04</v>
      </c>
      <c r="AS263">
        <v>0.04</v>
      </c>
      <c r="AT263">
        <v>0.02</v>
      </c>
      <c r="AU263">
        <v>0.02</v>
      </c>
      <c r="AV263">
        <v>2.38</v>
      </c>
      <c r="AW263">
        <v>1.38</v>
      </c>
      <c r="AX263">
        <v>0.21</v>
      </c>
      <c r="AY263">
        <v>0.53</v>
      </c>
      <c r="AZ263">
        <v>0</v>
      </c>
      <c r="BA263">
        <v>1.1100000000000001</v>
      </c>
      <c r="BB263">
        <v>0.08</v>
      </c>
      <c r="BC263">
        <v>0.2</v>
      </c>
      <c r="BD263">
        <v>0.27</v>
      </c>
      <c r="BE263">
        <v>7.94</v>
      </c>
      <c r="BF263">
        <v>7.25</v>
      </c>
      <c r="BG263">
        <v>0.24</v>
      </c>
      <c r="BH263">
        <v>0.45</v>
      </c>
      <c r="BI263">
        <v>0</v>
      </c>
      <c r="BJ263">
        <v>0.04</v>
      </c>
      <c r="BK263">
        <v>7.21</v>
      </c>
      <c r="BL263">
        <v>0</v>
      </c>
      <c r="BM263">
        <v>1.9</v>
      </c>
      <c r="BN263">
        <v>0.21</v>
      </c>
      <c r="BO263">
        <v>0.46</v>
      </c>
      <c r="BP263">
        <v>1.23</v>
      </c>
      <c r="BQ263">
        <v>1.03</v>
      </c>
      <c r="BR263">
        <v>0.06</v>
      </c>
      <c r="BS263">
        <v>0.14000000000000001</v>
      </c>
      <c r="BT263">
        <v>0</v>
      </c>
      <c r="BU263">
        <v>8.35</v>
      </c>
      <c r="BV263">
        <v>7.29</v>
      </c>
      <c r="BW263">
        <v>0.34</v>
      </c>
      <c r="BX263">
        <v>0.72</v>
      </c>
      <c r="BY263">
        <v>0</v>
      </c>
      <c r="BZ263">
        <v>0.04</v>
      </c>
      <c r="CA263">
        <v>7.25</v>
      </c>
      <c r="CB263">
        <v>0</v>
      </c>
      <c r="CC263">
        <f t="shared" si="8"/>
        <v>2.75</v>
      </c>
      <c r="CD263">
        <v>3.96</v>
      </c>
      <c r="CE263">
        <v>0.34230769230769231</v>
      </c>
      <c r="CF263">
        <v>0.44500000000000001</v>
      </c>
      <c r="CG263">
        <v>0.1492537313432836</v>
      </c>
      <c r="CH263">
        <v>0.38111888111888109</v>
      </c>
      <c r="CI263">
        <v>0</v>
      </c>
      <c r="CJ263">
        <v>27718</v>
      </c>
      <c r="CK263" t="s">
        <v>141</v>
      </c>
      <c r="CL263" t="s">
        <v>990</v>
      </c>
      <c r="CM263" t="s">
        <v>143</v>
      </c>
      <c r="CN263">
        <v>0.26675524032499998</v>
      </c>
      <c r="CO263">
        <v>18.880473035696191</v>
      </c>
      <c r="CP263">
        <v>262</v>
      </c>
      <c r="CQ263" t="s">
        <v>774</v>
      </c>
      <c r="CR263">
        <v>93</v>
      </c>
      <c r="CS263" t="s">
        <v>775</v>
      </c>
      <c r="CT263" t="s">
        <v>639</v>
      </c>
      <c r="CU263" t="s">
        <v>776</v>
      </c>
      <c r="CV263" t="s">
        <v>777</v>
      </c>
      <c r="CW263" t="s">
        <v>642</v>
      </c>
      <c r="CX263" t="s">
        <v>778</v>
      </c>
      <c r="CY263" t="s">
        <v>779</v>
      </c>
      <c r="CZ263" t="s">
        <v>645</v>
      </c>
      <c r="DA263" t="s">
        <v>152</v>
      </c>
      <c r="DB263" t="s">
        <v>491</v>
      </c>
      <c r="DC263" t="s">
        <v>459</v>
      </c>
      <c r="DD263" t="s">
        <v>492</v>
      </c>
      <c r="DE263">
        <v>5560</v>
      </c>
      <c r="DF263">
        <v>-88.498699999999999</v>
      </c>
      <c r="DG263">
        <v>38.153100000000002</v>
      </c>
      <c r="DH263">
        <v>7300</v>
      </c>
      <c r="DI263">
        <v>600</v>
      </c>
      <c r="DL263">
        <v>3.5</v>
      </c>
      <c r="DM263">
        <v>4</v>
      </c>
      <c r="DN263">
        <v>4</v>
      </c>
      <c r="DO263">
        <v>65</v>
      </c>
      <c r="DP263">
        <v>1</v>
      </c>
      <c r="DQ263">
        <v>400</v>
      </c>
      <c r="DR263">
        <v>140000</v>
      </c>
      <c r="DS263">
        <v>60</v>
      </c>
      <c r="DT263">
        <v>1.2500000000000001E-2</v>
      </c>
      <c r="DU263">
        <v>1.2500000000000001E-2</v>
      </c>
      <c r="DV263">
        <v>0.32500000000000001</v>
      </c>
      <c r="DW263">
        <v>0.32500000000000001</v>
      </c>
      <c r="DX263">
        <v>0.32500000000000001</v>
      </c>
      <c r="DY263">
        <v>49.685593420728758</v>
      </c>
      <c r="DZ263" s="4">
        <v>3.6840000000000002</v>
      </c>
      <c r="EA263" s="4" t="s">
        <v>1397</v>
      </c>
      <c r="EB263" s="4" t="s">
        <v>1398</v>
      </c>
      <c r="EC263">
        <v>4.5810000000000004</v>
      </c>
      <c r="ED263">
        <v>103</v>
      </c>
      <c r="EE263" t="s">
        <v>1396</v>
      </c>
      <c r="EF263">
        <v>0</v>
      </c>
      <c r="EH263">
        <f t="shared" si="9"/>
        <v>0.58000000000000007</v>
      </c>
      <c r="EI263">
        <v>3.38</v>
      </c>
      <c r="EJ263">
        <v>3.65</v>
      </c>
    </row>
    <row r="264" spans="1:140" x14ac:dyDescent="0.35">
      <c r="A264" s="1">
        <v>262</v>
      </c>
      <c r="B264">
        <v>-87.931420906135358</v>
      </c>
      <c r="C264">
        <v>43.032710206823502</v>
      </c>
      <c r="D264" t="s">
        <v>1399</v>
      </c>
      <c r="E264">
        <v>0.1</v>
      </c>
      <c r="F264" t="s">
        <v>135</v>
      </c>
      <c r="G264">
        <v>8.8000000000000009E-2</v>
      </c>
      <c r="H264" t="s">
        <v>161</v>
      </c>
      <c r="I264">
        <v>-9788481</v>
      </c>
      <c r="J264">
        <v>5316952</v>
      </c>
      <c r="K264" t="s">
        <v>1393</v>
      </c>
      <c r="L264" t="s">
        <v>1400</v>
      </c>
      <c r="M264">
        <v>41</v>
      </c>
      <c r="N264">
        <v>3.5449999999999999</v>
      </c>
      <c r="O264">
        <v>2</v>
      </c>
      <c r="P264">
        <v>3</v>
      </c>
      <c r="Q264">
        <v>55</v>
      </c>
      <c r="R264">
        <v>79</v>
      </c>
      <c r="S264">
        <v>939495</v>
      </c>
      <c r="T264" t="s">
        <v>1395</v>
      </c>
      <c r="U264">
        <v>6.5847896768949399</v>
      </c>
      <c r="V264" t="s">
        <v>1393</v>
      </c>
      <c r="W264">
        <v>0.12720000000000001</v>
      </c>
      <c r="X264">
        <v>10</v>
      </c>
      <c r="Y264">
        <v>8.9</v>
      </c>
      <c r="Z264">
        <v>8.9</v>
      </c>
      <c r="AA264">
        <v>20</v>
      </c>
      <c r="AB264">
        <v>26</v>
      </c>
      <c r="AC264">
        <v>1.0900000000000001</v>
      </c>
      <c r="AD264">
        <v>67</v>
      </c>
      <c r="AE264">
        <v>0.17323585505403691</v>
      </c>
      <c r="AF264">
        <v>2.86</v>
      </c>
      <c r="AG264" t="s">
        <v>1395</v>
      </c>
      <c r="AH264" t="s">
        <v>1393</v>
      </c>
      <c r="AI264">
        <v>18</v>
      </c>
      <c r="AJ264">
        <v>6.0000000000000001E-3</v>
      </c>
      <c r="AK264">
        <v>6</v>
      </c>
      <c r="AL264" t="s">
        <v>1401</v>
      </c>
      <c r="AM264">
        <v>0</v>
      </c>
      <c r="AN264">
        <v>1.39</v>
      </c>
      <c r="AO264">
        <v>0.09</v>
      </c>
      <c r="AP264">
        <v>0.19</v>
      </c>
      <c r="AQ264">
        <v>1.1000000000000001</v>
      </c>
      <c r="AR264">
        <v>1.04</v>
      </c>
      <c r="AS264">
        <v>0.04</v>
      </c>
      <c r="AT264">
        <v>0.02</v>
      </c>
      <c r="AU264">
        <v>0.02</v>
      </c>
      <c r="AV264">
        <v>2.38</v>
      </c>
      <c r="AW264">
        <v>1.38</v>
      </c>
      <c r="AX264">
        <v>0.21</v>
      </c>
      <c r="AY264">
        <v>0.53</v>
      </c>
      <c r="AZ264">
        <v>0</v>
      </c>
      <c r="BA264">
        <v>1.1100000000000001</v>
      </c>
      <c r="BB264">
        <v>0.08</v>
      </c>
      <c r="BC264">
        <v>0.2</v>
      </c>
      <c r="BD264">
        <v>0.27</v>
      </c>
      <c r="BE264">
        <v>7.94</v>
      </c>
      <c r="BF264">
        <v>7.25</v>
      </c>
      <c r="BG264">
        <v>0.24</v>
      </c>
      <c r="BH264">
        <v>0.45</v>
      </c>
      <c r="BI264">
        <v>0</v>
      </c>
      <c r="BJ264">
        <v>0.04</v>
      </c>
      <c r="BK264">
        <v>7.21</v>
      </c>
      <c r="BL264">
        <v>0</v>
      </c>
      <c r="BM264">
        <v>1.9</v>
      </c>
      <c r="BN264">
        <v>0.21</v>
      </c>
      <c r="BO264">
        <v>0.46</v>
      </c>
      <c r="BP264">
        <v>1.23</v>
      </c>
      <c r="BQ264">
        <v>1.03</v>
      </c>
      <c r="BR264">
        <v>0.06</v>
      </c>
      <c r="BS264">
        <v>0.14000000000000001</v>
      </c>
      <c r="BT264">
        <v>0</v>
      </c>
      <c r="BU264">
        <v>8.35</v>
      </c>
      <c r="BV264">
        <v>7.29</v>
      </c>
      <c r="BW264">
        <v>0.34</v>
      </c>
      <c r="BX264">
        <v>0.72</v>
      </c>
      <c r="BY264">
        <v>0</v>
      </c>
      <c r="BZ264">
        <v>0.04</v>
      </c>
      <c r="CA264">
        <v>7.25</v>
      </c>
      <c r="CB264">
        <v>0</v>
      </c>
      <c r="CC264">
        <f t="shared" si="8"/>
        <v>2.75</v>
      </c>
      <c r="CD264">
        <v>3.96</v>
      </c>
      <c r="CE264">
        <v>0.34230769230769231</v>
      </c>
      <c r="CF264">
        <v>0.44500000000000001</v>
      </c>
      <c r="CG264">
        <v>0.1492537313432836</v>
      </c>
      <c r="CH264">
        <v>0.38111888111888109</v>
      </c>
      <c r="CI264">
        <v>0</v>
      </c>
      <c r="CJ264">
        <v>27713</v>
      </c>
      <c r="CK264" t="s">
        <v>141</v>
      </c>
      <c r="CL264" t="s">
        <v>990</v>
      </c>
      <c r="CM264" t="s">
        <v>143</v>
      </c>
      <c r="CN264">
        <v>7.8960567152300001E-2</v>
      </c>
      <c r="CO264">
        <v>13.62033870855362</v>
      </c>
      <c r="CP264">
        <v>263</v>
      </c>
      <c r="CQ264" t="s">
        <v>774</v>
      </c>
      <c r="CR264">
        <v>93</v>
      </c>
      <c r="CS264" t="s">
        <v>775</v>
      </c>
      <c r="CT264" t="s">
        <v>639</v>
      </c>
      <c r="CU264" t="s">
        <v>776</v>
      </c>
      <c r="CV264" t="s">
        <v>777</v>
      </c>
      <c r="CW264" t="s">
        <v>642</v>
      </c>
      <c r="CX264" t="s">
        <v>778</v>
      </c>
      <c r="CY264" t="s">
        <v>779</v>
      </c>
      <c r="CZ264" t="s">
        <v>645</v>
      </c>
      <c r="DA264" t="s">
        <v>152</v>
      </c>
      <c r="DB264" t="s">
        <v>491</v>
      </c>
      <c r="DC264" t="s">
        <v>459</v>
      </c>
      <c r="DD264" t="s">
        <v>492</v>
      </c>
      <c r="DE264">
        <v>5560</v>
      </c>
      <c r="DF264">
        <v>-88.498699999999999</v>
      </c>
      <c r="DG264">
        <v>38.153100000000002</v>
      </c>
      <c r="DH264">
        <v>7300</v>
      </c>
      <c r="DI264">
        <v>600</v>
      </c>
      <c r="DL264">
        <v>3.5</v>
      </c>
      <c r="DM264">
        <v>4</v>
      </c>
      <c r="DN264">
        <v>4</v>
      </c>
      <c r="DO264">
        <v>65</v>
      </c>
      <c r="DP264">
        <v>1</v>
      </c>
      <c r="DQ264">
        <v>400</v>
      </c>
      <c r="DR264">
        <v>140000</v>
      </c>
      <c r="DS264">
        <v>60</v>
      </c>
      <c r="DT264">
        <v>1.2500000000000001E-2</v>
      </c>
      <c r="DU264">
        <v>1.2500000000000001E-2</v>
      </c>
      <c r="DV264">
        <v>0.32500000000000001</v>
      </c>
      <c r="DW264">
        <v>0.32500000000000001</v>
      </c>
      <c r="DX264">
        <v>0.32500000000000001</v>
      </c>
      <c r="DY264">
        <v>50.785455571258687</v>
      </c>
      <c r="DZ264" s="4">
        <v>3.6840000000000002</v>
      </c>
      <c r="EA264" s="4" t="s">
        <v>1397</v>
      </c>
      <c r="EB264" s="4" t="s">
        <v>1398</v>
      </c>
      <c r="EC264">
        <v>4.5810000000000004</v>
      </c>
      <c r="ED264">
        <v>401</v>
      </c>
      <c r="EE264" t="s">
        <v>1401</v>
      </c>
      <c r="EF264">
        <v>0</v>
      </c>
      <c r="EH264">
        <f t="shared" si="9"/>
        <v>0.58000000000000007</v>
      </c>
      <c r="EI264">
        <v>3.38</v>
      </c>
      <c r="EJ264">
        <v>3.65</v>
      </c>
    </row>
    <row r="265" spans="1:140" x14ac:dyDescent="0.35">
      <c r="A265" s="1">
        <v>263</v>
      </c>
      <c r="B265">
        <v>-86.13479033789632</v>
      </c>
      <c r="C265">
        <v>43.032710206823502</v>
      </c>
      <c r="D265" t="s">
        <v>1402</v>
      </c>
      <c r="E265">
        <v>0.02</v>
      </c>
      <c r="F265" t="s">
        <v>160</v>
      </c>
      <c r="G265">
        <v>3.7100000000000001E-2</v>
      </c>
      <c r="H265" t="s">
        <v>161</v>
      </c>
      <c r="I265">
        <v>-9588481</v>
      </c>
      <c r="J265">
        <v>5316952</v>
      </c>
      <c r="K265" t="s">
        <v>1138</v>
      </c>
      <c r="L265" t="s">
        <v>1403</v>
      </c>
      <c r="M265">
        <v>70</v>
      </c>
      <c r="N265">
        <v>3.9049999999999998</v>
      </c>
      <c r="O265">
        <v>2</v>
      </c>
      <c r="P265">
        <v>3</v>
      </c>
      <c r="Q265">
        <v>26</v>
      </c>
      <c r="R265">
        <v>139</v>
      </c>
      <c r="S265">
        <v>296207</v>
      </c>
      <c r="T265" t="s">
        <v>1136</v>
      </c>
      <c r="U265">
        <v>7.3304777992277996</v>
      </c>
      <c r="V265" t="s">
        <v>1138</v>
      </c>
      <c r="W265">
        <v>0.1416</v>
      </c>
      <c r="X265">
        <v>10</v>
      </c>
      <c r="Y265">
        <v>8.9</v>
      </c>
      <c r="Z265">
        <v>8.9</v>
      </c>
      <c r="AA265">
        <v>20</v>
      </c>
      <c r="AB265">
        <v>26</v>
      </c>
      <c r="AC265">
        <v>0.95699999999999996</v>
      </c>
      <c r="AD265">
        <v>67</v>
      </c>
      <c r="AE265">
        <v>0.15209790209790211</v>
      </c>
      <c r="AF265">
        <v>2.86</v>
      </c>
      <c r="AG265" t="s">
        <v>1136</v>
      </c>
      <c r="AH265" t="s">
        <v>1138</v>
      </c>
      <c r="AI265">
        <v>29</v>
      </c>
      <c r="AJ265">
        <v>9.6666666666666672E-3</v>
      </c>
      <c r="AK265">
        <v>9.6666666666666679</v>
      </c>
      <c r="AL265" t="s">
        <v>1404</v>
      </c>
      <c r="AM265">
        <v>0</v>
      </c>
      <c r="AN265">
        <v>1.51</v>
      </c>
      <c r="AO265">
        <v>0.09</v>
      </c>
      <c r="AP265">
        <v>0.19</v>
      </c>
      <c r="AQ265">
        <v>1.22</v>
      </c>
      <c r="AR265">
        <v>1.1599999999999999</v>
      </c>
      <c r="AS265">
        <v>0.04</v>
      </c>
      <c r="AT265">
        <v>0.02</v>
      </c>
      <c r="AU265">
        <v>0.02</v>
      </c>
      <c r="AV265">
        <v>2.52</v>
      </c>
      <c r="AW265">
        <v>1.52</v>
      </c>
      <c r="AX265">
        <v>0.21</v>
      </c>
      <c r="AY265">
        <v>0.53</v>
      </c>
      <c r="AZ265">
        <v>0</v>
      </c>
      <c r="BA265">
        <v>1.23</v>
      </c>
      <c r="BB265">
        <v>0.08</v>
      </c>
      <c r="BC265">
        <v>0.21</v>
      </c>
      <c r="BD265">
        <v>0.27</v>
      </c>
      <c r="BE265">
        <v>8.5</v>
      </c>
      <c r="BF265">
        <v>7.81</v>
      </c>
      <c r="BG265">
        <v>0.24</v>
      </c>
      <c r="BH265">
        <v>0.45</v>
      </c>
      <c r="BI265">
        <v>0</v>
      </c>
      <c r="BJ265">
        <v>0.04</v>
      </c>
      <c r="BK265">
        <v>7.77</v>
      </c>
      <c r="BL265">
        <v>0</v>
      </c>
      <c r="BM265">
        <v>2.0299999999999998</v>
      </c>
      <c r="BN265">
        <v>0.21</v>
      </c>
      <c r="BO265">
        <v>0.46</v>
      </c>
      <c r="BP265">
        <v>1.36</v>
      </c>
      <c r="BQ265">
        <v>1.1399999999999999</v>
      </c>
      <c r="BR265">
        <v>0.06</v>
      </c>
      <c r="BS265">
        <v>0.16</v>
      </c>
      <c r="BT265">
        <v>0</v>
      </c>
      <c r="BU265">
        <v>8.91</v>
      </c>
      <c r="BV265">
        <v>7.85</v>
      </c>
      <c r="BW265">
        <v>0.34</v>
      </c>
      <c r="BX265">
        <v>0.72</v>
      </c>
      <c r="BY265">
        <v>0</v>
      </c>
      <c r="BZ265">
        <v>0.04</v>
      </c>
      <c r="CA265">
        <v>7.81</v>
      </c>
      <c r="CB265">
        <v>0</v>
      </c>
      <c r="CC265">
        <f t="shared" si="8"/>
        <v>2.75</v>
      </c>
      <c r="CD265">
        <v>3.96</v>
      </c>
      <c r="CE265">
        <v>0.34230769230769231</v>
      </c>
      <c r="CF265">
        <v>0.44500000000000001</v>
      </c>
      <c r="CG265">
        <v>0.1492537313432836</v>
      </c>
      <c r="CH265">
        <v>0.33461538461538459</v>
      </c>
      <c r="CI265">
        <v>0</v>
      </c>
      <c r="CJ265">
        <v>27478</v>
      </c>
      <c r="CK265" t="s">
        <v>141</v>
      </c>
      <c r="CL265" t="s">
        <v>990</v>
      </c>
      <c r="CM265" t="s">
        <v>143</v>
      </c>
      <c r="CN265">
        <v>0.32308321390400002</v>
      </c>
      <c r="CO265">
        <v>5.4111638852283823</v>
      </c>
      <c r="CP265">
        <v>264</v>
      </c>
      <c r="CQ265" t="s">
        <v>1018</v>
      </c>
      <c r="CR265">
        <v>144</v>
      </c>
      <c r="CS265" t="s">
        <v>650</v>
      </c>
      <c r="CT265" t="s">
        <v>651</v>
      </c>
      <c r="CU265" t="s">
        <v>640</v>
      </c>
      <c r="CV265" t="s">
        <v>652</v>
      </c>
      <c r="CW265" t="s">
        <v>653</v>
      </c>
      <c r="CX265" t="s">
        <v>654</v>
      </c>
      <c r="CY265" t="s">
        <v>655</v>
      </c>
      <c r="CZ265" t="s">
        <v>645</v>
      </c>
      <c r="DA265" t="s">
        <v>152</v>
      </c>
      <c r="DB265" t="s">
        <v>178</v>
      </c>
      <c r="DC265" t="s">
        <v>656</v>
      </c>
      <c r="DD265" t="s">
        <v>657</v>
      </c>
      <c r="DE265">
        <v>10350</v>
      </c>
      <c r="DF265">
        <v>-84.596498999999994</v>
      </c>
      <c r="DG265">
        <v>38.291331</v>
      </c>
      <c r="DH265">
        <v>4500</v>
      </c>
      <c r="DI265">
        <v>200</v>
      </c>
      <c r="DL265">
        <v>10</v>
      </c>
      <c r="DM265">
        <v>8</v>
      </c>
      <c r="DN265">
        <v>12</v>
      </c>
      <c r="DO265">
        <v>50</v>
      </c>
      <c r="DP265">
        <v>25</v>
      </c>
      <c r="DQ265">
        <v>100</v>
      </c>
      <c r="DS265" t="s">
        <v>658</v>
      </c>
      <c r="DT265">
        <v>1.2500000000000001E-2</v>
      </c>
      <c r="DU265">
        <v>1.2500000000000001E-2</v>
      </c>
      <c r="DV265">
        <v>0.32500000000000001</v>
      </c>
      <c r="DW265">
        <v>0.32500000000000001</v>
      </c>
      <c r="DX265">
        <v>0.32500000000000001</v>
      </c>
      <c r="DY265">
        <v>0</v>
      </c>
      <c r="DZ265" s="4">
        <v>3.9670000000000001</v>
      </c>
      <c r="EA265" s="4" t="s">
        <v>1405</v>
      </c>
      <c r="EB265" s="4" t="s">
        <v>1406</v>
      </c>
      <c r="EC265">
        <v>4.9119999999999999</v>
      </c>
      <c r="ED265">
        <v>66</v>
      </c>
      <c r="EE265" t="s">
        <v>1404</v>
      </c>
      <c r="EF265">
        <v>0</v>
      </c>
      <c r="EH265">
        <f t="shared" si="9"/>
        <v>0.58000000000000007</v>
      </c>
      <c r="EI265">
        <v>3.38</v>
      </c>
      <c r="EJ265">
        <v>3.65</v>
      </c>
    </row>
    <row r="266" spans="1:140" x14ac:dyDescent="0.35">
      <c r="A266" s="1">
        <v>264</v>
      </c>
      <c r="B266">
        <v>-84.338159769657281</v>
      </c>
      <c r="C266">
        <v>43.032710206823502</v>
      </c>
      <c r="D266" t="s">
        <v>1407</v>
      </c>
      <c r="E266">
        <v>0.02</v>
      </c>
      <c r="F266" t="s">
        <v>160</v>
      </c>
      <c r="G266">
        <v>0.1239</v>
      </c>
      <c r="H266" t="s">
        <v>161</v>
      </c>
      <c r="I266">
        <v>-9388481</v>
      </c>
      <c r="J266">
        <v>5316952</v>
      </c>
      <c r="K266" t="s">
        <v>1138</v>
      </c>
      <c r="L266" t="s">
        <v>1408</v>
      </c>
      <c r="M266">
        <v>76</v>
      </c>
      <c r="N266">
        <v>3.8330000000000002</v>
      </c>
      <c r="O266">
        <v>2</v>
      </c>
      <c r="P266">
        <v>3</v>
      </c>
      <c r="Q266">
        <v>26</v>
      </c>
      <c r="R266">
        <v>155</v>
      </c>
      <c r="S266">
        <v>68095</v>
      </c>
      <c r="T266" t="s">
        <v>1136</v>
      </c>
      <c r="U266">
        <v>7.3304777992277996</v>
      </c>
      <c r="V266" t="s">
        <v>1138</v>
      </c>
      <c r="W266">
        <v>0.1416</v>
      </c>
      <c r="X266">
        <v>10</v>
      </c>
      <c r="Y266">
        <v>8.9</v>
      </c>
      <c r="Z266">
        <v>8.9</v>
      </c>
      <c r="AA266">
        <v>20</v>
      </c>
      <c r="AB266">
        <v>26</v>
      </c>
      <c r="AC266">
        <v>0.95699999999999996</v>
      </c>
      <c r="AD266">
        <v>67</v>
      </c>
      <c r="AE266">
        <v>0.15209790209790211</v>
      </c>
      <c r="AF266">
        <v>2.86</v>
      </c>
      <c r="AG266" t="s">
        <v>1136</v>
      </c>
      <c r="AH266" t="s">
        <v>1138</v>
      </c>
      <c r="AI266">
        <v>29</v>
      </c>
      <c r="AJ266">
        <v>9.6666666666666672E-3</v>
      </c>
      <c r="AK266">
        <v>9.6666666666666679</v>
      </c>
      <c r="AL266" t="s">
        <v>1409</v>
      </c>
      <c r="AM266">
        <v>0</v>
      </c>
      <c r="AN266">
        <v>1.51</v>
      </c>
      <c r="AO266">
        <v>0.09</v>
      </c>
      <c r="AP266">
        <v>0.19</v>
      </c>
      <c r="AQ266">
        <v>1.22</v>
      </c>
      <c r="AR266">
        <v>1.1599999999999999</v>
      </c>
      <c r="AS266">
        <v>0.04</v>
      </c>
      <c r="AT266">
        <v>0.02</v>
      </c>
      <c r="AU266">
        <v>0.02</v>
      </c>
      <c r="AV266">
        <v>2.52</v>
      </c>
      <c r="AW266">
        <v>1.52</v>
      </c>
      <c r="AX266">
        <v>0.21</v>
      </c>
      <c r="AY266">
        <v>0.53</v>
      </c>
      <c r="AZ266">
        <v>0</v>
      </c>
      <c r="BA266">
        <v>1.23</v>
      </c>
      <c r="BB266">
        <v>0.08</v>
      </c>
      <c r="BC266">
        <v>0.21</v>
      </c>
      <c r="BD266">
        <v>0.27</v>
      </c>
      <c r="BE266">
        <v>8.5</v>
      </c>
      <c r="BF266">
        <v>7.81</v>
      </c>
      <c r="BG266">
        <v>0.24</v>
      </c>
      <c r="BH266">
        <v>0.45</v>
      </c>
      <c r="BI266">
        <v>0</v>
      </c>
      <c r="BJ266">
        <v>0.04</v>
      </c>
      <c r="BK266">
        <v>7.77</v>
      </c>
      <c r="BL266">
        <v>0</v>
      </c>
      <c r="BM266">
        <v>2.0299999999999998</v>
      </c>
      <c r="BN266">
        <v>0.21</v>
      </c>
      <c r="BO266">
        <v>0.46</v>
      </c>
      <c r="BP266">
        <v>1.36</v>
      </c>
      <c r="BQ266">
        <v>1.1399999999999999</v>
      </c>
      <c r="BR266">
        <v>0.06</v>
      </c>
      <c r="BS266">
        <v>0.16</v>
      </c>
      <c r="BT266">
        <v>0</v>
      </c>
      <c r="BU266">
        <v>8.91</v>
      </c>
      <c r="BV266">
        <v>7.85</v>
      </c>
      <c r="BW266">
        <v>0.34</v>
      </c>
      <c r="BX266">
        <v>0.72</v>
      </c>
      <c r="BY266">
        <v>0</v>
      </c>
      <c r="BZ266">
        <v>0.04</v>
      </c>
      <c r="CA266">
        <v>7.81</v>
      </c>
      <c r="CB266">
        <v>0</v>
      </c>
      <c r="CC266">
        <f t="shared" si="8"/>
        <v>2.75</v>
      </c>
      <c r="CD266">
        <v>3.96</v>
      </c>
      <c r="CE266">
        <v>0.34230769230769231</v>
      </c>
      <c r="CF266">
        <v>0.44500000000000001</v>
      </c>
      <c r="CG266">
        <v>0.1492537313432836</v>
      </c>
      <c r="CH266">
        <v>0.33461538461538459</v>
      </c>
      <c r="CI266">
        <v>0</v>
      </c>
      <c r="CJ266">
        <v>13977</v>
      </c>
      <c r="CK266" t="s">
        <v>169</v>
      </c>
      <c r="CL266" t="s">
        <v>1410</v>
      </c>
      <c r="CM266" t="s">
        <v>143</v>
      </c>
      <c r="CN266">
        <v>0.51762117496100002</v>
      </c>
      <c r="CO266">
        <v>0.34448390319079591</v>
      </c>
      <c r="CP266">
        <v>265</v>
      </c>
      <c r="CQ266" t="s">
        <v>1411</v>
      </c>
      <c r="CR266">
        <v>201</v>
      </c>
      <c r="CS266" t="s">
        <v>1412</v>
      </c>
      <c r="CT266" t="s">
        <v>1413</v>
      </c>
      <c r="CU266" t="s">
        <v>1136</v>
      </c>
      <c r="CV266" t="s">
        <v>1414</v>
      </c>
      <c r="CW266" t="s">
        <v>1138</v>
      </c>
      <c r="CX266" t="s">
        <v>1139</v>
      </c>
      <c r="CY266" t="s">
        <v>1140</v>
      </c>
      <c r="CZ266" t="s">
        <v>686</v>
      </c>
      <c r="DA266" t="s">
        <v>152</v>
      </c>
      <c r="DB266" t="s">
        <v>178</v>
      </c>
      <c r="DC266" t="s">
        <v>459</v>
      </c>
      <c r="DD266" t="s">
        <v>492</v>
      </c>
      <c r="DE266">
        <v>9198</v>
      </c>
      <c r="DF266">
        <v>-84.445599999999999</v>
      </c>
      <c r="DG266">
        <v>43.7074</v>
      </c>
      <c r="DH266">
        <v>7310</v>
      </c>
      <c r="DI266">
        <v>450</v>
      </c>
      <c r="DL266">
        <v>7</v>
      </c>
      <c r="DM266">
        <v>5.5</v>
      </c>
      <c r="DN266">
        <v>8.4</v>
      </c>
      <c r="DO266">
        <v>75</v>
      </c>
      <c r="DP266">
        <v>10</v>
      </c>
      <c r="DQ266">
        <v>300</v>
      </c>
      <c r="DS266" t="s">
        <v>1415</v>
      </c>
      <c r="DT266">
        <v>1.2500000000000001E-2</v>
      </c>
      <c r="DU266">
        <v>1.2500000000000001E-2</v>
      </c>
      <c r="DV266">
        <v>0.32500000000000001</v>
      </c>
      <c r="DW266">
        <v>0.32500000000000001</v>
      </c>
      <c r="DX266">
        <v>0.32500000000000001</v>
      </c>
      <c r="DY266">
        <v>0</v>
      </c>
      <c r="DZ266" s="4">
        <v>3.9670000000000001</v>
      </c>
      <c r="EA266" s="4" t="s">
        <v>1405</v>
      </c>
      <c r="EB266" s="4" t="s">
        <v>1406</v>
      </c>
      <c r="EC266">
        <v>4.9119999999999999</v>
      </c>
      <c r="ED266">
        <v>613</v>
      </c>
      <c r="EE266" t="s">
        <v>1409</v>
      </c>
      <c r="EF266">
        <v>0</v>
      </c>
      <c r="EH266">
        <f t="shared" si="9"/>
        <v>0.58000000000000007</v>
      </c>
      <c r="EI266">
        <v>3.38</v>
      </c>
      <c r="EJ266">
        <v>3.65</v>
      </c>
    </row>
    <row r="267" spans="1:140" x14ac:dyDescent="0.35">
      <c r="A267" s="1">
        <v>265</v>
      </c>
      <c r="B267">
        <v>-82.541529201418243</v>
      </c>
      <c r="C267">
        <v>43.032710206823502</v>
      </c>
      <c r="D267" t="s">
        <v>1416</v>
      </c>
      <c r="E267">
        <v>0.1</v>
      </c>
      <c r="F267" t="s">
        <v>135</v>
      </c>
      <c r="G267">
        <v>3.7100000000000001E-2</v>
      </c>
      <c r="H267" t="s">
        <v>161</v>
      </c>
      <c r="I267">
        <v>-9188481</v>
      </c>
      <c r="J267">
        <v>5316952</v>
      </c>
      <c r="K267" t="s">
        <v>1138</v>
      </c>
      <c r="L267" t="s">
        <v>1417</v>
      </c>
      <c r="M267">
        <v>77</v>
      </c>
      <c r="N267">
        <v>3.9369999999999998</v>
      </c>
      <c r="T267" t="s">
        <v>1136</v>
      </c>
      <c r="U267">
        <v>7.3304777992277996</v>
      </c>
      <c r="V267" t="s">
        <v>1138</v>
      </c>
      <c r="W267">
        <v>0.1416</v>
      </c>
      <c r="X267">
        <v>10</v>
      </c>
      <c r="Y267">
        <v>8.9</v>
      </c>
      <c r="Z267">
        <v>8.9</v>
      </c>
      <c r="AA267">
        <v>20</v>
      </c>
      <c r="AB267">
        <v>26</v>
      </c>
      <c r="AC267">
        <v>0.95699999999999996</v>
      </c>
      <c r="AD267">
        <v>67</v>
      </c>
      <c r="AE267">
        <v>0.15209790209790211</v>
      </c>
      <c r="AF267">
        <v>2.86</v>
      </c>
      <c r="AG267" t="s">
        <v>1136</v>
      </c>
      <c r="AH267" t="s">
        <v>1138</v>
      </c>
      <c r="AI267">
        <v>29</v>
      </c>
      <c r="AJ267">
        <v>9.6666666666666672E-3</v>
      </c>
      <c r="AK267">
        <v>9.6666666666666679</v>
      </c>
      <c r="AL267" t="s">
        <v>1418</v>
      </c>
      <c r="AM267">
        <v>0</v>
      </c>
      <c r="AN267">
        <v>1.51</v>
      </c>
      <c r="AO267">
        <v>0.09</v>
      </c>
      <c r="AP267">
        <v>0.19</v>
      </c>
      <c r="AQ267">
        <v>1.22</v>
      </c>
      <c r="AR267">
        <v>1.1599999999999999</v>
      </c>
      <c r="AS267">
        <v>0.04</v>
      </c>
      <c r="AT267">
        <v>0.02</v>
      </c>
      <c r="AU267">
        <v>0.02</v>
      </c>
      <c r="AV267">
        <v>2.52</v>
      </c>
      <c r="AW267">
        <v>1.52</v>
      </c>
      <c r="AX267">
        <v>0.21</v>
      </c>
      <c r="AY267">
        <v>0.53</v>
      </c>
      <c r="AZ267">
        <v>0</v>
      </c>
      <c r="BA267">
        <v>1.23</v>
      </c>
      <c r="BB267">
        <v>0.08</v>
      </c>
      <c r="BC267">
        <v>0.21</v>
      </c>
      <c r="BD267">
        <v>0.27</v>
      </c>
      <c r="BE267">
        <v>8.5</v>
      </c>
      <c r="BF267">
        <v>7.81</v>
      </c>
      <c r="BG267">
        <v>0.24</v>
      </c>
      <c r="BH267">
        <v>0.45</v>
      </c>
      <c r="BI267">
        <v>0</v>
      </c>
      <c r="BJ267">
        <v>0.04</v>
      </c>
      <c r="BK267">
        <v>7.77</v>
      </c>
      <c r="BL267">
        <v>0</v>
      </c>
      <c r="BM267">
        <v>2.0299999999999998</v>
      </c>
      <c r="BN267">
        <v>0.21</v>
      </c>
      <c r="BO267">
        <v>0.46</v>
      </c>
      <c r="BP267">
        <v>1.36</v>
      </c>
      <c r="BQ267">
        <v>1.1399999999999999</v>
      </c>
      <c r="BR267">
        <v>0.06</v>
      </c>
      <c r="BS267">
        <v>0.16</v>
      </c>
      <c r="BT267">
        <v>0</v>
      </c>
      <c r="BU267">
        <v>8.91</v>
      </c>
      <c r="BV267">
        <v>7.85</v>
      </c>
      <c r="BW267">
        <v>0.34</v>
      </c>
      <c r="BX267">
        <v>0.72</v>
      </c>
      <c r="BY267">
        <v>0</v>
      </c>
      <c r="BZ267">
        <v>0.04</v>
      </c>
      <c r="CA267">
        <v>7.81</v>
      </c>
      <c r="CB267">
        <v>0</v>
      </c>
      <c r="CC267">
        <f t="shared" si="8"/>
        <v>2.75</v>
      </c>
      <c r="CD267">
        <v>3.96</v>
      </c>
      <c r="CE267">
        <v>0.34230769230769231</v>
      </c>
      <c r="CF267">
        <v>0.44500000000000001</v>
      </c>
      <c r="CG267">
        <v>0.1492537313432836</v>
      </c>
      <c r="CH267">
        <v>0.33461538461538459</v>
      </c>
      <c r="CI267">
        <v>0</v>
      </c>
      <c r="CJ267">
        <v>31671</v>
      </c>
      <c r="CK267" t="s">
        <v>141</v>
      </c>
      <c r="CL267" t="s">
        <v>1419</v>
      </c>
      <c r="CM267" t="s">
        <v>143</v>
      </c>
      <c r="CN267">
        <v>0.48665279534</v>
      </c>
      <c r="CO267">
        <v>12.195791763801459</v>
      </c>
      <c r="CP267">
        <v>266</v>
      </c>
      <c r="CQ267" t="s">
        <v>1018</v>
      </c>
      <c r="CR267">
        <v>144</v>
      </c>
      <c r="CS267" t="s">
        <v>650</v>
      </c>
      <c r="CT267" t="s">
        <v>651</v>
      </c>
      <c r="CU267" t="s">
        <v>640</v>
      </c>
      <c r="CV267" t="s">
        <v>652</v>
      </c>
      <c r="CW267" t="s">
        <v>653</v>
      </c>
      <c r="CX267" t="s">
        <v>654</v>
      </c>
      <c r="CY267" t="s">
        <v>655</v>
      </c>
      <c r="CZ267" t="s">
        <v>645</v>
      </c>
      <c r="DA267" t="s">
        <v>152</v>
      </c>
      <c r="DB267" t="s">
        <v>178</v>
      </c>
      <c r="DC267" t="s">
        <v>656</v>
      </c>
      <c r="DD267" t="s">
        <v>657</v>
      </c>
      <c r="DE267">
        <v>10350</v>
      </c>
      <c r="DF267">
        <v>-84.596498999999994</v>
      </c>
      <c r="DG267">
        <v>38.291331</v>
      </c>
      <c r="DH267">
        <v>4500</v>
      </c>
      <c r="DI267">
        <v>200</v>
      </c>
      <c r="DL267">
        <v>10</v>
      </c>
      <c r="DM267">
        <v>8</v>
      </c>
      <c r="DN267">
        <v>12</v>
      </c>
      <c r="DO267">
        <v>50</v>
      </c>
      <c r="DP267">
        <v>25</v>
      </c>
      <c r="DQ267">
        <v>100</v>
      </c>
      <c r="DS267" t="s">
        <v>658</v>
      </c>
      <c r="DT267">
        <v>1.2500000000000001E-2</v>
      </c>
      <c r="DU267">
        <v>1.2500000000000001E-2</v>
      </c>
      <c r="DV267">
        <v>0.32500000000000001</v>
      </c>
      <c r="DW267">
        <v>0.32500000000000001</v>
      </c>
      <c r="DX267">
        <v>0.32500000000000001</v>
      </c>
      <c r="DY267">
        <v>0.52070919381055236</v>
      </c>
      <c r="DZ267" s="4">
        <v>3.9670000000000001</v>
      </c>
      <c r="EA267" s="4" t="s">
        <v>1405</v>
      </c>
      <c r="EB267" s="4" t="s">
        <v>1406</v>
      </c>
      <c r="EC267">
        <v>4.9119999999999999</v>
      </c>
      <c r="ED267">
        <v>335</v>
      </c>
      <c r="EE267" t="s">
        <v>1418</v>
      </c>
      <c r="EF267">
        <v>0</v>
      </c>
      <c r="EH267">
        <f t="shared" si="9"/>
        <v>0.58000000000000007</v>
      </c>
      <c r="EI267">
        <v>3.38</v>
      </c>
      <c r="EJ267">
        <v>3.65</v>
      </c>
    </row>
    <row r="268" spans="1:140" x14ac:dyDescent="0.35">
      <c r="A268" s="1">
        <v>266</v>
      </c>
      <c r="B268">
        <v>-78.948268064940152</v>
      </c>
      <c r="C268">
        <v>43.032710206823502</v>
      </c>
      <c r="D268" t="s">
        <v>1420</v>
      </c>
      <c r="E268">
        <v>0.02</v>
      </c>
      <c r="F268" t="s">
        <v>160</v>
      </c>
      <c r="G268">
        <v>3.7100000000000001E-2</v>
      </c>
      <c r="H268" t="s">
        <v>161</v>
      </c>
      <c r="I268">
        <v>-8788481</v>
      </c>
      <c r="J268">
        <v>5316952</v>
      </c>
      <c r="K268" t="s">
        <v>1159</v>
      </c>
      <c r="L268" t="s">
        <v>1421</v>
      </c>
      <c r="M268">
        <v>15</v>
      </c>
      <c r="N268">
        <v>4.22</v>
      </c>
      <c r="O268">
        <v>1</v>
      </c>
      <c r="P268">
        <v>2</v>
      </c>
      <c r="Q268">
        <v>36</v>
      </c>
      <c r="R268">
        <v>29</v>
      </c>
      <c r="S268">
        <v>954244</v>
      </c>
      <c r="T268" t="s">
        <v>1161</v>
      </c>
      <c r="U268">
        <v>8.3286235013208714</v>
      </c>
      <c r="V268" t="s">
        <v>1159</v>
      </c>
      <c r="W268">
        <v>0.1966</v>
      </c>
      <c r="X268">
        <v>10</v>
      </c>
      <c r="Y268">
        <v>8.9</v>
      </c>
      <c r="Z268">
        <v>8.9</v>
      </c>
      <c r="AA268">
        <v>20</v>
      </c>
      <c r="AB268">
        <v>26</v>
      </c>
      <c r="AC268">
        <v>0.53700000000000003</v>
      </c>
      <c r="AD268">
        <v>67</v>
      </c>
      <c r="AE268">
        <v>8.5346471710108077E-2</v>
      </c>
      <c r="AF268">
        <v>2.86</v>
      </c>
      <c r="AG268" t="s">
        <v>1161</v>
      </c>
      <c r="AH268" t="s">
        <v>1159</v>
      </c>
      <c r="AI268">
        <v>30</v>
      </c>
      <c r="AJ268">
        <v>0.01</v>
      </c>
      <c r="AK268">
        <v>10</v>
      </c>
      <c r="AL268" t="s">
        <v>1422</v>
      </c>
      <c r="AM268">
        <v>0</v>
      </c>
      <c r="AN268">
        <v>1.67</v>
      </c>
      <c r="AO268">
        <v>0.09</v>
      </c>
      <c r="AP268">
        <v>0.19</v>
      </c>
      <c r="AQ268">
        <v>1.39</v>
      </c>
      <c r="AR268">
        <v>1.32</v>
      </c>
      <c r="AS268">
        <v>0.04</v>
      </c>
      <c r="AT268">
        <v>0.03</v>
      </c>
      <c r="AU268">
        <v>0.02</v>
      </c>
      <c r="AV268">
        <v>2.78</v>
      </c>
      <c r="AW268">
        <v>1.78</v>
      </c>
      <c r="AX268">
        <v>0.21</v>
      </c>
      <c r="AY268">
        <v>0.53</v>
      </c>
      <c r="AZ268">
        <v>0</v>
      </c>
      <c r="BA268">
        <v>1.4</v>
      </c>
      <c r="BB268">
        <v>0.08</v>
      </c>
      <c r="BC268">
        <v>0.3</v>
      </c>
      <c r="BD268">
        <v>0.27</v>
      </c>
      <c r="BE268">
        <v>11.83</v>
      </c>
      <c r="BF268">
        <v>11.14</v>
      </c>
      <c r="BG268">
        <v>0.24</v>
      </c>
      <c r="BH268">
        <v>0.45</v>
      </c>
      <c r="BI268">
        <v>0</v>
      </c>
      <c r="BJ268">
        <v>0.04</v>
      </c>
      <c r="BK268">
        <v>11.1</v>
      </c>
      <c r="BL268">
        <v>0</v>
      </c>
      <c r="BM268">
        <v>2.25</v>
      </c>
      <c r="BN268">
        <v>0.21</v>
      </c>
      <c r="BO268">
        <v>0.46</v>
      </c>
      <c r="BP268">
        <v>1.58</v>
      </c>
      <c r="BQ268">
        <v>1.3</v>
      </c>
      <c r="BR268">
        <v>0.06</v>
      </c>
      <c r="BS268">
        <v>0.22</v>
      </c>
      <c r="BT268">
        <v>0</v>
      </c>
      <c r="BU268">
        <v>12.26</v>
      </c>
      <c r="BV268">
        <v>11.2</v>
      </c>
      <c r="BW268">
        <v>0.34</v>
      </c>
      <c r="BX268">
        <v>0.72</v>
      </c>
      <c r="BY268">
        <v>0</v>
      </c>
      <c r="BZ268">
        <v>0.04</v>
      </c>
      <c r="CA268">
        <v>11.16</v>
      </c>
      <c r="CB268">
        <v>0</v>
      </c>
      <c r="CC268">
        <f t="shared" si="8"/>
        <v>2.75</v>
      </c>
      <c r="CD268">
        <v>3.96</v>
      </c>
      <c r="CE268">
        <v>0.34230769230769231</v>
      </c>
      <c r="CF268">
        <v>0.44500000000000001</v>
      </c>
      <c r="CG268">
        <v>0.1492537313432836</v>
      </c>
      <c r="CH268">
        <v>0.1877622377622378</v>
      </c>
      <c r="CI268">
        <v>0</v>
      </c>
      <c r="CJ268">
        <v>31411</v>
      </c>
      <c r="CK268" t="s">
        <v>169</v>
      </c>
      <c r="CL268" t="s">
        <v>1423</v>
      </c>
      <c r="CM268" t="s">
        <v>143</v>
      </c>
      <c r="CN268">
        <v>0.303827018068</v>
      </c>
      <c r="CO268">
        <v>1.49640484707301</v>
      </c>
      <c r="CP268">
        <v>267</v>
      </c>
      <c r="CQ268" t="s">
        <v>1424</v>
      </c>
      <c r="CR268">
        <v>144</v>
      </c>
      <c r="CS268" t="s">
        <v>650</v>
      </c>
      <c r="CT268" t="s">
        <v>651</v>
      </c>
      <c r="CU268" t="s">
        <v>640</v>
      </c>
      <c r="CV268" t="s">
        <v>652</v>
      </c>
      <c r="CW268" t="s">
        <v>653</v>
      </c>
      <c r="CX268" t="s">
        <v>654</v>
      </c>
      <c r="CY268" t="s">
        <v>655</v>
      </c>
      <c r="CZ268" t="s">
        <v>645</v>
      </c>
      <c r="DA268" t="s">
        <v>152</v>
      </c>
      <c r="DB268" t="s">
        <v>178</v>
      </c>
      <c r="DC268" t="s">
        <v>656</v>
      </c>
      <c r="DD268" t="s">
        <v>657</v>
      </c>
      <c r="DE268">
        <v>10350</v>
      </c>
      <c r="DF268">
        <v>-84.596498999999994</v>
      </c>
      <c r="DG268">
        <v>38.291331</v>
      </c>
      <c r="DH268">
        <v>4500</v>
      </c>
      <c r="DI268">
        <v>200</v>
      </c>
      <c r="DL268">
        <v>10</v>
      </c>
      <c r="DM268">
        <v>8</v>
      </c>
      <c r="DN268">
        <v>12</v>
      </c>
      <c r="DO268">
        <v>50</v>
      </c>
      <c r="DP268">
        <v>25</v>
      </c>
      <c r="DQ268">
        <v>100</v>
      </c>
      <c r="DS268" t="s">
        <v>658</v>
      </c>
      <c r="DT268">
        <v>1.2500000000000001E-2</v>
      </c>
      <c r="DU268">
        <v>1.2500000000000001E-2</v>
      </c>
      <c r="DV268">
        <v>0.32500000000000001</v>
      </c>
      <c r="DW268">
        <v>0.32500000000000001</v>
      </c>
      <c r="DX268">
        <v>0.32500000000000001</v>
      </c>
      <c r="DY268">
        <v>0</v>
      </c>
      <c r="DZ268" s="4">
        <v>4.0780000000000003</v>
      </c>
      <c r="EA268" s="4" t="s">
        <v>1163</v>
      </c>
      <c r="EB268" s="4" t="s">
        <v>1164</v>
      </c>
      <c r="EC268">
        <v>5.391</v>
      </c>
      <c r="ED268">
        <v>101</v>
      </c>
      <c r="EE268" t="s">
        <v>1422</v>
      </c>
      <c r="EF268">
        <v>0</v>
      </c>
      <c r="EH268">
        <f t="shared" si="9"/>
        <v>0.58000000000000007</v>
      </c>
      <c r="EI268">
        <v>3.38</v>
      </c>
      <c r="EJ268">
        <v>3.65</v>
      </c>
    </row>
    <row r="269" spans="1:140" x14ac:dyDescent="0.35">
      <c r="A269" s="1">
        <v>267</v>
      </c>
      <c r="B269">
        <v>-77.151637496701113</v>
      </c>
      <c r="C269">
        <v>43.032710206823502</v>
      </c>
      <c r="D269" t="s">
        <v>1425</v>
      </c>
      <c r="E269">
        <v>0.02</v>
      </c>
      <c r="F269" t="s">
        <v>160</v>
      </c>
      <c r="G269">
        <v>3.7100000000000001E-2</v>
      </c>
      <c r="H269" t="s">
        <v>161</v>
      </c>
      <c r="I269">
        <v>-8588481</v>
      </c>
      <c r="J269">
        <v>5316952</v>
      </c>
      <c r="K269" t="s">
        <v>1159</v>
      </c>
      <c r="L269" t="s">
        <v>1426</v>
      </c>
      <c r="M269">
        <v>35</v>
      </c>
      <c r="N269">
        <v>4.2190000000000003</v>
      </c>
      <c r="O269">
        <v>1</v>
      </c>
      <c r="P269">
        <v>2</v>
      </c>
      <c r="Q269">
        <v>36</v>
      </c>
      <c r="R269">
        <v>69</v>
      </c>
      <c r="S269">
        <v>112459</v>
      </c>
      <c r="T269" t="s">
        <v>1161</v>
      </c>
      <c r="U269">
        <v>8.3286235013208714</v>
      </c>
      <c r="V269" t="s">
        <v>1159</v>
      </c>
      <c r="W269">
        <v>0.1966</v>
      </c>
      <c r="X269">
        <v>10</v>
      </c>
      <c r="Y269">
        <v>8.9</v>
      </c>
      <c r="Z269">
        <v>8.9</v>
      </c>
      <c r="AA269">
        <v>20</v>
      </c>
      <c r="AB269">
        <v>26</v>
      </c>
      <c r="AC269">
        <v>0.53700000000000003</v>
      </c>
      <c r="AD269">
        <v>67</v>
      </c>
      <c r="AE269">
        <v>8.5346471710108077E-2</v>
      </c>
      <c r="AF269">
        <v>2.86</v>
      </c>
      <c r="AG269" t="s">
        <v>1161</v>
      </c>
      <c r="AH269" t="s">
        <v>1159</v>
      </c>
      <c r="AI269">
        <v>30</v>
      </c>
      <c r="AJ269">
        <v>0.01</v>
      </c>
      <c r="AK269">
        <v>10</v>
      </c>
      <c r="AL269" t="s">
        <v>1427</v>
      </c>
      <c r="AM269">
        <v>0</v>
      </c>
      <c r="AN269">
        <v>1.67</v>
      </c>
      <c r="AO269">
        <v>0.09</v>
      </c>
      <c r="AP269">
        <v>0.19</v>
      </c>
      <c r="AQ269">
        <v>1.39</v>
      </c>
      <c r="AR269">
        <v>1.32</v>
      </c>
      <c r="AS269">
        <v>0.04</v>
      </c>
      <c r="AT269">
        <v>0.03</v>
      </c>
      <c r="AU269">
        <v>0.02</v>
      </c>
      <c r="AV269">
        <v>2.78</v>
      </c>
      <c r="AW269">
        <v>1.78</v>
      </c>
      <c r="AX269">
        <v>0.21</v>
      </c>
      <c r="AY269">
        <v>0.53</v>
      </c>
      <c r="AZ269">
        <v>0</v>
      </c>
      <c r="BA269">
        <v>1.4</v>
      </c>
      <c r="BB269">
        <v>0.08</v>
      </c>
      <c r="BC269">
        <v>0.3</v>
      </c>
      <c r="BD269">
        <v>0.27</v>
      </c>
      <c r="BE269">
        <v>11.83</v>
      </c>
      <c r="BF269">
        <v>11.14</v>
      </c>
      <c r="BG269">
        <v>0.24</v>
      </c>
      <c r="BH269">
        <v>0.45</v>
      </c>
      <c r="BI269">
        <v>0</v>
      </c>
      <c r="BJ269">
        <v>0.04</v>
      </c>
      <c r="BK269">
        <v>11.1</v>
      </c>
      <c r="BL269">
        <v>0</v>
      </c>
      <c r="BM269">
        <v>2.25</v>
      </c>
      <c r="BN269">
        <v>0.21</v>
      </c>
      <c r="BO269">
        <v>0.46</v>
      </c>
      <c r="BP269">
        <v>1.58</v>
      </c>
      <c r="BQ269">
        <v>1.3</v>
      </c>
      <c r="BR269">
        <v>0.06</v>
      </c>
      <c r="BS269">
        <v>0.22</v>
      </c>
      <c r="BT269">
        <v>0</v>
      </c>
      <c r="BU269">
        <v>12.26</v>
      </c>
      <c r="BV269">
        <v>11.2</v>
      </c>
      <c r="BW269">
        <v>0.34</v>
      </c>
      <c r="BX269">
        <v>0.72</v>
      </c>
      <c r="BY269">
        <v>0</v>
      </c>
      <c r="BZ269">
        <v>0.04</v>
      </c>
      <c r="CA269">
        <v>11.16</v>
      </c>
      <c r="CB269">
        <v>0</v>
      </c>
      <c r="CC269">
        <f t="shared" si="8"/>
        <v>2.75</v>
      </c>
      <c r="CD269">
        <v>3.96</v>
      </c>
      <c r="CE269">
        <v>0.34230769230769231</v>
      </c>
      <c r="CF269">
        <v>0.44500000000000001</v>
      </c>
      <c r="CG269">
        <v>0.1492537313432836</v>
      </c>
      <c r="CH269">
        <v>0.1877622377622378</v>
      </c>
      <c r="CI269">
        <v>0</v>
      </c>
      <c r="CJ269">
        <v>24072</v>
      </c>
      <c r="CK269" t="s">
        <v>141</v>
      </c>
      <c r="CL269" t="s">
        <v>377</v>
      </c>
      <c r="CM269" t="s">
        <v>143</v>
      </c>
      <c r="CN269">
        <v>0.21957388026800001</v>
      </c>
      <c r="CO269">
        <v>6.0270368384456523</v>
      </c>
      <c r="CP269">
        <v>268</v>
      </c>
      <c r="CQ269" t="s">
        <v>1424</v>
      </c>
      <c r="CR269">
        <v>144</v>
      </c>
      <c r="CS269" t="s">
        <v>650</v>
      </c>
      <c r="CT269" t="s">
        <v>651</v>
      </c>
      <c r="CU269" t="s">
        <v>640</v>
      </c>
      <c r="CV269" t="s">
        <v>652</v>
      </c>
      <c r="CW269" t="s">
        <v>653</v>
      </c>
      <c r="CX269" t="s">
        <v>654</v>
      </c>
      <c r="CY269" t="s">
        <v>655</v>
      </c>
      <c r="CZ269" t="s">
        <v>645</v>
      </c>
      <c r="DA269" t="s">
        <v>152</v>
      </c>
      <c r="DB269" t="s">
        <v>178</v>
      </c>
      <c r="DC269" t="s">
        <v>656</v>
      </c>
      <c r="DD269" t="s">
        <v>657</v>
      </c>
      <c r="DE269">
        <v>10350</v>
      </c>
      <c r="DF269">
        <v>-84.596498999999994</v>
      </c>
      <c r="DG269">
        <v>38.291331</v>
      </c>
      <c r="DH269">
        <v>4500</v>
      </c>
      <c r="DI269">
        <v>200</v>
      </c>
      <c r="DL269">
        <v>10</v>
      </c>
      <c r="DM269">
        <v>8</v>
      </c>
      <c r="DN269">
        <v>12</v>
      </c>
      <c r="DO269">
        <v>50</v>
      </c>
      <c r="DP269">
        <v>25</v>
      </c>
      <c r="DQ269">
        <v>100</v>
      </c>
      <c r="DS269" t="s">
        <v>658</v>
      </c>
      <c r="DT269">
        <v>1.2500000000000001E-2</v>
      </c>
      <c r="DU269">
        <v>1.2500000000000001E-2</v>
      </c>
      <c r="DV269">
        <v>0.32500000000000001</v>
      </c>
      <c r="DW269">
        <v>0.32500000000000001</v>
      </c>
      <c r="DX269">
        <v>0.32500000000000001</v>
      </c>
      <c r="DY269">
        <v>0</v>
      </c>
      <c r="DZ269" s="4">
        <v>4.0780000000000003</v>
      </c>
      <c r="EA269" s="4" t="s">
        <v>1163</v>
      </c>
      <c r="EB269" s="4" t="s">
        <v>1164</v>
      </c>
      <c r="EC269">
        <v>5.391</v>
      </c>
      <c r="ED269">
        <v>455</v>
      </c>
      <c r="EE269" t="s">
        <v>1427</v>
      </c>
      <c r="EF269">
        <v>0</v>
      </c>
      <c r="EH269">
        <f t="shared" si="9"/>
        <v>0.58000000000000007</v>
      </c>
      <c r="EI269">
        <v>3.38</v>
      </c>
      <c r="EJ269">
        <v>3.65</v>
      </c>
    </row>
    <row r="270" spans="1:140" x14ac:dyDescent="0.35">
      <c r="A270" s="1">
        <v>268</v>
      </c>
      <c r="B270">
        <v>-75.355006928462075</v>
      </c>
      <c r="C270">
        <v>43.032710206823502</v>
      </c>
      <c r="D270" t="s">
        <v>1428</v>
      </c>
      <c r="E270">
        <v>0.02</v>
      </c>
      <c r="F270" t="s">
        <v>160</v>
      </c>
      <c r="G270">
        <v>3.7100000000000001E-2</v>
      </c>
      <c r="H270" t="s">
        <v>161</v>
      </c>
      <c r="I270">
        <v>-8388481</v>
      </c>
      <c r="J270">
        <v>5316952</v>
      </c>
      <c r="K270" t="s">
        <v>1159</v>
      </c>
      <c r="L270" t="s">
        <v>1429</v>
      </c>
      <c r="M270">
        <v>33</v>
      </c>
      <c r="N270">
        <v>4.09</v>
      </c>
      <c r="O270">
        <v>1</v>
      </c>
      <c r="P270">
        <v>2</v>
      </c>
      <c r="Q270">
        <v>36</v>
      </c>
      <c r="R270">
        <v>65</v>
      </c>
      <c r="S270">
        <v>232111</v>
      </c>
      <c r="T270" t="s">
        <v>1161</v>
      </c>
      <c r="U270">
        <v>8.3286235013208714</v>
      </c>
      <c r="V270" t="s">
        <v>1159</v>
      </c>
      <c r="W270">
        <v>0.1966</v>
      </c>
      <c r="X270">
        <v>10</v>
      </c>
      <c r="Y270">
        <v>8.9</v>
      </c>
      <c r="Z270">
        <v>8.9</v>
      </c>
      <c r="AA270">
        <v>20</v>
      </c>
      <c r="AB270">
        <v>26</v>
      </c>
      <c r="AC270">
        <v>0.53700000000000003</v>
      </c>
      <c r="AD270">
        <v>67</v>
      </c>
      <c r="AE270">
        <v>8.5346471710108077E-2</v>
      </c>
      <c r="AF270">
        <v>2.86</v>
      </c>
      <c r="AG270" t="s">
        <v>1161</v>
      </c>
      <c r="AH270" t="s">
        <v>1159</v>
      </c>
      <c r="AI270">
        <v>30</v>
      </c>
      <c r="AJ270">
        <v>0.01</v>
      </c>
      <c r="AK270">
        <v>10</v>
      </c>
      <c r="AL270" t="s">
        <v>1430</v>
      </c>
      <c r="AM270">
        <v>0</v>
      </c>
      <c r="AN270">
        <v>1.67</v>
      </c>
      <c r="AO270">
        <v>0.09</v>
      </c>
      <c r="AP270">
        <v>0.19</v>
      </c>
      <c r="AQ270">
        <v>1.39</v>
      </c>
      <c r="AR270">
        <v>1.32</v>
      </c>
      <c r="AS270">
        <v>0.04</v>
      </c>
      <c r="AT270">
        <v>0.03</v>
      </c>
      <c r="AU270">
        <v>0.02</v>
      </c>
      <c r="AV270">
        <v>2.78</v>
      </c>
      <c r="AW270">
        <v>1.78</v>
      </c>
      <c r="AX270">
        <v>0.21</v>
      </c>
      <c r="AY270">
        <v>0.53</v>
      </c>
      <c r="AZ270">
        <v>0</v>
      </c>
      <c r="BA270">
        <v>1.4</v>
      </c>
      <c r="BB270">
        <v>0.08</v>
      </c>
      <c r="BC270">
        <v>0.3</v>
      </c>
      <c r="BD270">
        <v>0.27</v>
      </c>
      <c r="BE270">
        <v>11.83</v>
      </c>
      <c r="BF270">
        <v>11.14</v>
      </c>
      <c r="BG270">
        <v>0.24</v>
      </c>
      <c r="BH270">
        <v>0.45</v>
      </c>
      <c r="BI270">
        <v>0</v>
      </c>
      <c r="BJ270">
        <v>0.04</v>
      </c>
      <c r="BK270">
        <v>11.1</v>
      </c>
      <c r="BL270">
        <v>0</v>
      </c>
      <c r="BM270">
        <v>2.25</v>
      </c>
      <c r="BN270">
        <v>0.21</v>
      </c>
      <c r="BO270">
        <v>0.46</v>
      </c>
      <c r="BP270">
        <v>1.58</v>
      </c>
      <c r="BQ270">
        <v>1.3</v>
      </c>
      <c r="BR270">
        <v>0.06</v>
      </c>
      <c r="BS270">
        <v>0.22</v>
      </c>
      <c r="BT270">
        <v>0</v>
      </c>
      <c r="BU270">
        <v>12.26</v>
      </c>
      <c r="BV270">
        <v>11.2</v>
      </c>
      <c r="BW270">
        <v>0.34</v>
      </c>
      <c r="BX270">
        <v>0.72</v>
      </c>
      <c r="BY270">
        <v>0</v>
      </c>
      <c r="BZ270">
        <v>0.04</v>
      </c>
      <c r="CA270">
        <v>11.16</v>
      </c>
      <c r="CB270">
        <v>0</v>
      </c>
      <c r="CC270">
        <f t="shared" si="8"/>
        <v>2.75</v>
      </c>
      <c r="CD270">
        <v>3.96</v>
      </c>
      <c r="CE270">
        <v>0.34230769230769231</v>
      </c>
      <c r="CF270">
        <v>0.44500000000000001</v>
      </c>
      <c r="CG270">
        <v>0.1492537313432836</v>
      </c>
      <c r="CH270">
        <v>0.1877622377622378</v>
      </c>
      <c r="CI270">
        <v>0</v>
      </c>
      <c r="CJ270">
        <v>4951</v>
      </c>
      <c r="CK270" t="s">
        <v>141</v>
      </c>
      <c r="CL270" t="s">
        <v>1431</v>
      </c>
      <c r="CM270" t="s">
        <v>143</v>
      </c>
      <c r="CN270">
        <v>0.123022117816</v>
      </c>
      <c r="CO270">
        <v>2.1032762055466989</v>
      </c>
      <c r="CP270">
        <v>269</v>
      </c>
      <c r="CQ270" t="s">
        <v>1424</v>
      </c>
      <c r="CR270">
        <v>144</v>
      </c>
      <c r="CS270" t="s">
        <v>650</v>
      </c>
      <c r="CT270" t="s">
        <v>651</v>
      </c>
      <c r="CU270" t="s">
        <v>640</v>
      </c>
      <c r="CV270" t="s">
        <v>652</v>
      </c>
      <c r="CW270" t="s">
        <v>653</v>
      </c>
      <c r="CX270" t="s">
        <v>654</v>
      </c>
      <c r="CY270" t="s">
        <v>655</v>
      </c>
      <c r="CZ270" t="s">
        <v>645</v>
      </c>
      <c r="DA270" t="s">
        <v>152</v>
      </c>
      <c r="DB270" t="s">
        <v>178</v>
      </c>
      <c r="DC270" t="s">
        <v>656</v>
      </c>
      <c r="DD270" t="s">
        <v>657</v>
      </c>
      <c r="DE270">
        <v>10350</v>
      </c>
      <c r="DF270">
        <v>-84.596498999999994</v>
      </c>
      <c r="DG270">
        <v>38.291331</v>
      </c>
      <c r="DH270">
        <v>4500</v>
      </c>
      <c r="DI270">
        <v>200</v>
      </c>
      <c r="DL270">
        <v>10</v>
      </c>
      <c r="DM270">
        <v>8</v>
      </c>
      <c r="DN270">
        <v>12</v>
      </c>
      <c r="DO270">
        <v>50</v>
      </c>
      <c r="DP270">
        <v>25</v>
      </c>
      <c r="DQ270">
        <v>100</v>
      </c>
      <c r="DS270" t="s">
        <v>658</v>
      </c>
      <c r="DT270">
        <v>1.2500000000000001E-2</v>
      </c>
      <c r="DU270">
        <v>1.2500000000000001E-2</v>
      </c>
      <c r="DV270">
        <v>0.32500000000000001</v>
      </c>
      <c r="DW270">
        <v>0.32500000000000001</v>
      </c>
      <c r="DX270">
        <v>0.32500000000000001</v>
      </c>
      <c r="DY270">
        <v>0</v>
      </c>
      <c r="DZ270" s="4">
        <v>4.0780000000000003</v>
      </c>
      <c r="EA270" s="4" t="s">
        <v>1163</v>
      </c>
      <c r="EB270" s="4" t="s">
        <v>1164</v>
      </c>
      <c r="EC270">
        <v>5.391</v>
      </c>
      <c r="ED270">
        <v>349</v>
      </c>
      <c r="EE270" t="s">
        <v>1430</v>
      </c>
      <c r="EF270">
        <v>0</v>
      </c>
      <c r="EH270">
        <f t="shared" si="9"/>
        <v>0.58000000000000007</v>
      </c>
      <c r="EI270">
        <v>3.38</v>
      </c>
      <c r="EJ270">
        <v>3.65</v>
      </c>
    </row>
    <row r="271" spans="1:140" x14ac:dyDescent="0.35">
      <c r="A271" s="1">
        <v>269</v>
      </c>
      <c r="B271">
        <v>-73.558376360223022</v>
      </c>
      <c r="C271">
        <v>43.032710206823502</v>
      </c>
      <c r="D271" t="s">
        <v>1432</v>
      </c>
      <c r="E271">
        <v>0.1</v>
      </c>
      <c r="F271" t="s">
        <v>306</v>
      </c>
      <c r="G271">
        <v>3.7100000000000001E-2</v>
      </c>
      <c r="H271" t="s">
        <v>161</v>
      </c>
      <c r="I271">
        <v>-8188481</v>
      </c>
      <c r="J271">
        <v>5316952</v>
      </c>
      <c r="K271" t="s">
        <v>1159</v>
      </c>
      <c r="L271" t="s">
        <v>1433</v>
      </c>
      <c r="M271">
        <v>58</v>
      </c>
      <c r="N271">
        <v>3.9540000000000002</v>
      </c>
      <c r="O271">
        <v>1</v>
      </c>
      <c r="P271">
        <v>2</v>
      </c>
      <c r="Q271">
        <v>36</v>
      </c>
      <c r="R271">
        <v>115</v>
      </c>
      <c r="S271">
        <v>61302</v>
      </c>
      <c r="T271" t="s">
        <v>1161</v>
      </c>
      <c r="U271">
        <v>8.3286235013208714</v>
      </c>
      <c r="V271" t="s">
        <v>1159</v>
      </c>
      <c r="W271">
        <v>0.1966</v>
      </c>
      <c r="X271">
        <v>10</v>
      </c>
      <c r="Y271">
        <v>8.9</v>
      </c>
      <c r="Z271">
        <v>8.9</v>
      </c>
      <c r="AA271">
        <v>20</v>
      </c>
      <c r="AB271">
        <v>26</v>
      </c>
      <c r="AC271">
        <v>0.53700000000000003</v>
      </c>
      <c r="AD271">
        <v>67</v>
      </c>
      <c r="AE271">
        <v>8.5346471710108077E-2</v>
      </c>
      <c r="AF271">
        <v>2.86</v>
      </c>
      <c r="AG271" t="s">
        <v>1161</v>
      </c>
      <c r="AH271" t="s">
        <v>1159</v>
      </c>
      <c r="AI271">
        <v>30</v>
      </c>
      <c r="AJ271">
        <v>0.01</v>
      </c>
      <c r="AK271">
        <v>10</v>
      </c>
      <c r="AL271" t="s">
        <v>1434</v>
      </c>
      <c r="AM271">
        <v>0</v>
      </c>
      <c r="AN271">
        <v>1.67</v>
      </c>
      <c r="AO271">
        <v>0.09</v>
      </c>
      <c r="AP271">
        <v>0.19</v>
      </c>
      <c r="AQ271">
        <v>1.39</v>
      </c>
      <c r="AR271">
        <v>1.32</v>
      </c>
      <c r="AS271">
        <v>0.04</v>
      </c>
      <c r="AT271">
        <v>0.03</v>
      </c>
      <c r="AU271">
        <v>0.02</v>
      </c>
      <c r="AV271">
        <v>2.78</v>
      </c>
      <c r="AW271">
        <v>1.78</v>
      </c>
      <c r="AX271">
        <v>0.21</v>
      </c>
      <c r="AY271">
        <v>0.53</v>
      </c>
      <c r="AZ271">
        <v>0</v>
      </c>
      <c r="BA271">
        <v>1.4</v>
      </c>
      <c r="BB271">
        <v>0.08</v>
      </c>
      <c r="BC271">
        <v>0.3</v>
      </c>
      <c r="BD271">
        <v>0.27</v>
      </c>
      <c r="BE271">
        <v>11.83</v>
      </c>
      <c r="BF271">
        <v>11.14</v>
      </c>
      <c r="BG271">
        <v>0.24</v>
      </c>
      <c r="BH271">
        <v>0.45</v>
      </c>
      <c r="BI271">
        <v>0</v>
      </c>
      <c r="BJ271">
        <v>0.04</v>
      </c>
      <c r="BK271">
        <v>11.1</v>
      </c>
      <c r="BL271">
        <v>0</v>
      </c>
      <c r="BM271">
        <v>2.25</v>
      </c>
      <c r="BN271">
        <v>0.21</v>
      </c>
      <c r="BO271">
        <v>0.46</v>
      </c>
      <c r="BP271">
        <v>1.58</v>
      </c>
      <c r="BQ271">
        <v>1.3</v>
      </c>
      <c r="BR271">
        <v>0.06</v>
      </c>
      <c r="BS271">
        <v>0.22</v>
      </c>
      <c r="BT271">
        <v>0</v>
      </c>
      <c r="BU271">
        <v>12.26</v>
      </c>
      <c r="BV271">
        <v>11.2</v>
      </c>
      <c r="BW271">
        <v>0.34</v>
      </c>
      <c r="BX271">
        <v>0.72</v>
      </c>
      <c r="BY271">
        <v>0</v>
      </c>
      <c r="BZ271">
        <v>0.04</v>
      </c>
      <c r="CA271">
        <v>11.16</v>
      </c>
      <c r="CB271">
        <v>0</v>
      </c>
      <c r="CC271">
        <f t="shared" si="8"/>
        <v>2.75</v>
      </c>
      <c r="CD271">
        <v>3.96</v>
      </c>
      <c r="CE271">
        <v>0.34230769230769231</v>
      </c>
      <c r="CF271">
        <v>0.44500000000000001</v>
      </c>
      <c r="CG271">
        <v>0.1492537313432836</v>
      </c>
      <c r="CH271">
        <v>0.1877622377622378</v>
      </c>
      <c r="CI271">
        <v>0</v>
      </c>
      <c r="CJ271">
        <v>4939</v>
      </c>
      <c r="CK271" t="s">
        <v>141</v>
      </c>
      <c r="CL271" t="s">
        <v>1431</v>
      </c>
      <c r="CM271" t="s">
        <v>143</v>
      </c>
      <c r="CN271">
        <v>0.14271196389900001</v>
      </c>
      <c r="CO271">
        <v>35.430158486709352</v>
      </c>
      <c r="CP271">
        <v>270</v>
      </c>
      <c r="CQ271" t="s">
        <v>1424</v>
      </c>
      <c r="CR271">
        <v>144</v>
      </c>
      <c r="CS271" t="s">
        <v>650</v>
      </c>
      <c r="CT271" t="s">
        <v>651</v>
      </c>
      <c r="CU271" t="s">
        <v>640</v>
      </c>
      <c r="CV271" t="s">
        <v>652</v>
      </c>
      <c r="CW271" t="s">
        <v>653</v>
      </c>
      <c r="CX271" t="s">
        <v>654</v>
      </c>
      <c r="CY271" t="s">
        <v>655</v>
      </c>
      <c r="CZ271" t="s">
        <v>645</v>
      </c>
      <c r="DA271" t="s">
        <v>152</v>
      </c>
      <c r="DB271" t="s">
        <v>178</v>
      </c>
      <c r="DC271" t="s">
        <v>656</v>
      </c>
      <c r="DD271" t="s">
        <v>657</v>
      </c>
      <c r="DE271">
        <v>10350</v>
      </c>
      <c r="DF271">
        <v>-84.596498999999994</v>
      </c>
      <c r="DG271">
        <v>38.291331</v>
      </c>
      <c r="DH271">
        <v>4500</v>
      </c>
      <c r="DI271">
        <v>200</v>
      </c>
      <c r="DL271">
        <v>10</v>
      </c>
      <c r="DM271">
        <v>8</v>
      </c>
      <c r="DN271">
        <v>12</v>
      </c>
      <c r="DO271">
        <v>50</v>
      </c>
      <c r="DP271">
        <v>25</v>
      </c>
      <c r="DQ271">
        <v>100</v>
      </c>
      <c r="DS271" t="s">
        <v>658</v>
      </c>
      <c r="DT271">
        <v>1.2500000000000001E-2</v>
      </c>
      <c r="DU271">
        <v>1.2500000000000001E-2</v>
      </c>
      <c r="DV271">
        <v>0.32500000000000001</v>
      </c>
      <c r="DW271">
        <v>0.32500000000000001</v>
      </c>
      <c r="DX271">
        <v>0.32500000000000001</v>
      </c>
      <c r="DY271">
        <v>116.517124443404</v>
      </c>
      <c r="DZ271" s="4">
        <v>4.0780000000000003</v>
      </c>
      <c r="EA271" s="4" t="s">
        <v>1163</v>
      </c>
      <c r="EB271" s="4" t="s">
        <v>1164</v>
      </c>
      <c r="EC271">
        <v>5.391</v>
      </c>
      <c r="ED271">
        <v>356</v>
      </c>
      <c r="EE271" t="s">
        <v>1434</v>
      </c>
      <c r="EF271">
        <v>0</v>
      </c>
      <c r="EH271">
        <f t="shared" si="9"/>
        <v>0.58000000000000007</v>
      </c>
      <c r="EI271">
        <v>3.38</v>
      </c>
      <c r="EJ271">
        <v>3.65</v>
      </c>
    </row>
    <row r="272" spans="1:140" x14ac:dyDescent="0.35">
      <c r="A272" s="1">
        <v>270</v>
      </c>
      <c r="B272">
        <v>-71.761745791983984</v>
      </c>
      <c r="C272">
        <v>43.032710206823502</v>
      </c>
      <c r="D272" t="s">
        <v>1435</v>
      </c>
      <c r="E272">
        <v>0.1</v>
      </c>
      <c r="F272" t="s">
        <v>326</v>
      </c>
      <c r="G272">
        <v>3.7100000000000001E-2</v>
      </c>
      <c r="H272" t="s">
        <v>161</v>
      </c>
      <c r="I272">
        <v>-7988481</v>
      </c>
      <c r="J272">
        <v>5316952</v>
      </c>
      <c r="K272" t="s">
        <v>1436</v>
      </c>
      <c r="L272" t="s">
        <v>1437</v>
      </c>
      <c r="M272">
        <v>6</v>
      </c>
      <c r="N272">
        <v>3.8660000000000001</v>
      </c>
      <c r="O272">
        <v>1</v>
      </c>
      <c r="P272">
        <v>1</v>
      </c>
      <c r="Q272">
        <v>33</v>
      </c>
      <c r="R272">
        <v>11</v>
      </c>
      <c r="S272">
        <v>422941</v>
      </c>
      <c r="T272" t="s">
        <v>1438</v>
      </c>
      <c r="U272">
        <v>10.025909368014631</v>
      </c>
      <c r="V272" t="s">
        <v>1436</v>
      </c>
      <c r="W272">
        <v>0.20610000000000001</v>
      </c>
      <c r="X272">
        <v>10</v>
      </c>
      <c r="Y272">
        <v>8.9</v>
      </c>
      <c r="Z272">
        <v>8.9</v>
      </c>
      <c r="AA272">
        <v>20</v>
      </c>
      <c r="AB272">
        <v>26</v>
      </c>
      <c r="AC272">
        <v>0.28000000000000003</v>
      </c>
      <c r="AD272">
        <v>67</v>
      </c>
      <c r="AE272">
        <v>4.4500953591862687E-2</v>
      </c>
      <c r="AF272">
        <v>2.86</v>
      </c>
      <c r="AG272" t="s">
        <v>1438</v>
      </c>
      <c r="AH272" t="s">
        <v>1436</v>
      </c>
      <c r="AI272">
        <v>27</v>
      </c>
      <c r="AJ272">
        <v>8.9999999999999993E-3</v>
      </c>
      <c r="AK272">
        <v>9</v>
      </c>
      <c r="AL272" t="s">
        <v>1439</v>
      </c>
      <c r="AM272">
        <v>0</v>
      </c>
      <c r="AN272">
        <v>1.94</v>
      </c>
      <c r="AO272">
        <v>0.09</v>
      </c>
      <c r="AP272">
        <v>0.19</v>
      </c>
      <c r="AQ272">
        <v>1.66</v>
      </c>
      <c r="AR272">
        <v>1.58</v>
      </c>
      <c r="AS272">
        <v>0.04</v>
      </c>
      <c r="AT272">
        <v>0.03</v>
      </c>
      <c r="AU272">
        <v>0.02</v>
      </c>
      <c r="AV272">
        <v>3.08</v>
      </c>
      <c r="AW272">
        <v>2.08</v>
      </c>
      <c r="AX272">
        <v>0.21</v>
      </c>
      <c r="AY272">
        <v>0.53</v>
      </c>
      <c r="AZ272">
        <v>0</v>
      </c>
      <c r="BA272">
        <v>1.69</v>
      </c>
      <c r="BB272">
        <v>0.08</v>
      </c>
      <c r="BC272">
        <v>0.32</v>
      </c>
      <c r="BD272">
        <v>0.27</v>
      </c>
      <c r="BE272">
        <v>12.38</v>
      </c>
      <c r="BF272">
        <v>11.69</v>
      </c>
      <c r="BG272">
        <v>0.24</v>
      </c>
      <c r="BH272">
        <v>0.45</v>
      </c>
      <c r="BI272">
        <v>0</v>
      </c>
      <c r="BJ272">
        <v>0.04</v>
      </c>
      <c r="BK272">
        <v>11.65</v>
      </c>
      <c r="BL272">
        <v>0</v>
      </c>
      <c r="BM272">
        <v>2.5299999999999998</v>
      </c>
      <c r="BN272">
        <v>0.21</v>
      </c>
      <c r="BO272">
        <v>0.46</v>
      </c>
      <c r="BP272">
        <v>1.86</v>
      </c>
      <c r="BQ272">
        <v>1.56</v>
      </c>
      <c r="BR272">
        <v>0.06</v>
      </c>
      <c r="BS272">
        <v>0.23</v>
      </c>
      <c r="BT272">
        <v>0</v>
      </c>
      <c r="BU272">
        <v>12.82</v>
      </c>
      <c r="BV272">
        <v>11.76</v>
      </c>
      <c r="BW272">
        <v>0.34</v>
      </c>
      <c r="BX272">
        <v>0.72</v>
      </c>
      <c r="BY272">
        <v>0</v>
      </c>
      <c r="BZ272">
        <v>0.04</v>
      </c>
      <c r="CA272">
        <v>11.72</v>
      </c>
      <c r="CB272">
        <v>0</v>
      </c>
      <c r="CC272">
        <f t="shared" si="8"/>
        <v>2.75</v>
      </c>
      <c r="CD272">
        <v>3.96</v>
      </c>
      <c r="CE272">
        <v>0.34230769230769231</v>
      </c>
      <c r="CF272">
        <v>0.44500000000000001</v>
      </c>
      <c r="CG272">
        <v>0.1492537313432836</v>
      </c>
      <c r="CH272">
        <v>9.7902097902097918E-2</v>
      </c>
      <c r="CI272">
        <v>0</v>
      </c>
      <c r="CJ272">
        <v>9155</v>
      </c>
      <c r="CK272" t="s">
        <v>141</v>
      </c>
      <c r="CL272" t="s">
        <v>1440</v>
      </c>
      <c r="CM272" t="s">
        <v>143</v>
      </c>
      <c r="CN272">
        <v>5.18288412529E-2</v>
      </c>
      <c r="CO272">
        <v>22.139842087317909</v>
      </c>
      <c r="CP272">
        <v>271</v>
      </c>
      <c r="CQ272" t="s">
        <v>1424</v>
      </c>
      <c r="CR272">
        <v>144</v>
      </c>
      <c r="CS272" t="s">
        <v>650</v>
      </c>
      <c r="CT272" t="s">
        <v>651</v>
      </c>
      <c r="CU272" t="s">
        <v>640</v>
      </c>
      <c r="CV272" t="s">
        <v>652</v>
      </c>
      <c r="CW272" t="s">
        <v>653</v>
      </c>
      <c r="CX272" t="s">
        <v>654</v>
      </c>
      <c r="CY272" t="s">
        <v>655</v>
      </c>
      <c r="CZ272" t="s">
        <v>645</v>
      </c>
      <c r="DA272" t="s">
        <v>152</v>
      </c>
      <c r="DB272" t="s">
        <v>178</v>
      </c>
      <c r="DC272" t="s">
        <v>656</v>
      </c>
      <c r="DD272" t="s">
        <v>657</v>
      </c>
      <c r="DE272">
        <v>10350</v>
      </c>
      <c r="DF272">
        <v>-84.596498999999994</v>
      </c>
      <c r="DG272">
        <v>38.291331</v>
      </c>
      <c r="DH272">
        <v>4500</v>
      </c>
      <c r="DI272">
        <v>200</v>
      </c>
      <c r="DL272">
        <v>10</v>
      </c>
      <c r="DM272">
        <v>8</v>
      </c>
      <c r="DN272">
        <v>12</v>
      </c>
      <c r="DO272">
        <v>50</v>
      </c>
      <c r="DP272">
        <v>25</v>
      </c>
      <c r="DQ272">
        <v>100</v>
      </c>
      <c r="DS272" t="s">
        <v>658</v>
      </c>
      <c r="DT272">
        <v>1.2500000000000001E-2</v>
      </c>
      <c r="DU272">
        <v>1.2500000000000001E-2</v>
      </c>
      <c r="DV272">
        <v>0.32500000000000001</v>
      </c>
      <c r="DW272">
        <v>0.32500000000000001</v>
      </c>
      <c r="DX272">
        <v>0.32500000000000001</v>
      </c>
      <c r="DY272">
        <v>240.75954529608109</v>
      </c>
      <c r="DZ272" s="4">
        <v>3.859</v>
      </c>
      <c r="EA272" s="4" t="s">
        <v>1441</v>
      </c>
      <c r="EB272" s="4" t="s">
        <v>1442</v>
      </c>
      <c r="EC272">
        <v>5.1139999999999999</v>
      </c>
      <c r="ED272">
        <v>870</v>
      </c>
      <c r="EE272" t="s">
        <v>1439</v>
      </c>
      <c r="EF272">
        <v>0</v>
      </c>
      <c r="EH272">
        <f t="shared" si="9"/>
        <v>0.58000000000000007</v>
      </c>
      <c r="EI272">
        <v>3.38</v>
      </c>
      <c r="EJ272">
        <v>3.65</v>
      </c>
    </row>
    <row r="273" spans="1:140" x14ac:dyDescent="0.35">
      <c r="A273" s="1">
        <v>271</v>
      </c>
      <c r="B273">
        <v>-69.965115223744945</v>
      </c>
      <c r="C273">
        <v>43.032710206823502</v>
      </c>
      <c r="D273" t="s">
        <v>1443</v>
      </c>
      <c r="E273">
        <v>0.1</v>
      </c>
      <c r="F273" t="s">
        <v>1277</v>
      </c>
      <c r="G273">
        <v>3.7100000000000001E-2</v>
      </c>
      <c r="H273" t="s">
        <v>161</v>
      </c>
      <c r="I273">
        <v>-7788481</v>
      </c>
      <c r="J273">
        <v>5316952</v>
      </c>
      <c r="K273" t="s">
        <v>1444</v>
      </c>
      <c r="L273" t="s">
        <v>1445</v>
      </c>
      <c r="M273">
        <v>16</v>
      </c>
      <c r="N273">
        <v>3.831</v>
      </c>
      <c r="O273">
        <v>1</v>
      </c>
      <c r="P273">
        <v>1</v>
      </c>
      <c r="Q273">
        <v>23</v>
      </c>
      <c r="R273">
        <v>31</v>
      </c>
      <c r="S273">
        <v>211981</v>
      </c>
      <c r="T273" t="s">
        <v>1446</v>
      </c>
      <c r="U273">
        <v>9.5443758898908388</v>
      </c>
      <c r="V273" t="s">
        <v>1444</v>
      </c>
      <c r="W273">
        <v>0.1966</v>
      </c>
      <c r="X273">
        <v>10</v>
      </c>
      <c r="Y273">
        <v>8.9</v>
      </c>
      <c r="Z273">
        <v>8.9</v>
      </c>
      <c r="AA273">
        <v>20</v>
      </c>
      <c r="AB273">
        <v>26</v>
      </c>
      <c r="AC273">
        <v>0.48699999999999999</v>
      </c>
      <c r="AD273">
        <v>67</v>
      </c>
      <c r="AE273">
        <v>7.7399872854418295E-2</v>
      </c>
      <c r="AF273">
        <v>2.86</v>
      </c>
      <c r="AG273" t="s">
        <v>1446</v>
      </c>
      <c r="AH273" t="s">
        <v>1444</v>
      </c>
      <c r="AI273">
        <v>24</v>
      </c>
      <c r="AJ273">
        <v>8.0000000000000002E-3</v>
      </c>
      <c r="AK273">
        <v>8</v>
      </c>
      <c r="AL273" t="s">
        <v>1447</v>
      </c>
      <c r="AM273">
        <v>70969.554740073712</v>
      </c>
      <c r="AN273">
        <v>1.86</v>
      </c>
      <c r="AO273">
        <v>0.09</v>
      </c>
      <c r="AP273">
        <v>0.19</v>
      </c>
      <c r="AQ273">
        <v>1.58</v>
      </c>
      <c r="AR273">
        <v>1.51</v>
      </c>
      <c r="AS273">
        <v>0.04</v>
      </c>
      <c r="AT273">
        <v>0.03</v>
      </c>
      <c r="AU273">
        <v>0.02</v>
      </c>
      <c r="AV273">
        <v>2.98</v>
      </c>
      <c r="AW273">
        <v>1.98</v>
      </c>
      <c r="AX273">
        <v>0.21</v>
      </c>
      <c r="AY273">
        <v>0.53</v>
      </c>
      <c r="AZ273">
        <v>0</v>
      </c>
      <c r="BA273">
        <v>1.6</v>
      </c>
      <c r="BB273">
        <v>0.08</v>
      </c>
      <c r="BC273">
        <v>0.3</v>
      </c>
      <c r="BD273">
        <v>0.27</v>
      </c>
      <c r="BE273">
        <v>11.83</v>
      </c>
      <c r="BF273">
        <v>11.14</v>
      </c>
      <c r="BG273">
        <v>0.24</v>
      </c>
      <c r="BH273">
        <v>0.45</v>
      </c>
      <c r="BI273">
        <v>0</v>
      </c>
      <c r="BJ273">
        <v>0.04</v>
      </c>
      <c r="BK273">
        <v>11.1</v>
      </c>
      <c r="BL273">
        <v>0</v>
      </c>
      <c r="BM273">
        <v>2.44</v>
      </c>
      <c r="BN273">
        <v>0.21</v>
      </c>
      <c r="BO273">
        <v>0.46</v>
      </c>
      <c r="BP273">
        <v>1.77</v>
      </c>
      <c r="BQ273">
        <v>1.49</v>
      </c>
      <c r="BR273">
        <v>0.06</v>
      </c>
      <c r="BS273">
        <v>0.22</v>
      </c>
      <c r="BT273">
        <v>0</v>
      </c>
      <c r="BU273">
        <v>12.26</v>
      </c>
      <c r="BV273">
        <v>11.2</v>
      </c>
      <c r="BW273">
        <v>0.34</v>
      </c>
      <c r="BX273">
        <v>0.72</v>
      </c>
      <c r="BY273">
        <v>0</v>
      </c>
      <c r="BZ273">
        <v>0.04</v>
      </c>
      <c r="CA273">
        <v>11.16</v>
      </c>
      <c r="CB273">
        <v>0</v>
      </c>
      <c r="CC273">
        <f t="shared" si="8"/>
        <v>2.75</v>
      </c>
      <c r="CD273">
        <v>3.96</v>
      </c>
      <c r="CE273">
        <v>0.34230769230769231</v>
      </c>
      <c r="CF273">
        <v>0.44500000000000001</v>
      </c>
      <c r="CG273">
        <v>0.1492537313432836</v>
      </c>
      <c r="CH273">
        <v>0.1702797202797203</v>
      </c>
      <c r="CI273">
        <v>0</v>
      </c>
      <c r="CJ273">
        <v>31349</v>
      </c>
      <c r="CK273" t="s">
        <v>141</v>
      </c>
      <c r="CL273" t="s">
        <v>1448</v>
      </c>
      <c r="CM273" t="s">
        <v>143</v>
      </c>
      <c r="CN273">
        <v>0.71204523771499995</v>
      </c>
      <c r="CO273">
        <v>52.108706044856469</v>
      </c>
      <c r="CP273">
        <v>272</v>
      </c>
      <c r="CQ273" t="s">
        <v>1424</v>
      </c>
      <c r="CR273">
        <v>144</v>
      </c>
      <c r="CS273" t="s">
        <v>650</v>
      </c>
      <c r="CT273" t="s">
        <v>651</v>
      </c>
      <c r="CU273" t="s">
        <v>640</v>
      </c>
      <c r="CV273" t="s">
        <v>652</v>
      </c>
      <c r="CW273" t="s">
        <v>653</v>
      </c>
      <c r="CX273" t="s">
        <v>654</v>
      </c>
      <c r="CY273" t="s">
        <v>655</v>
      </c>
      <c r="CZ273" t="s">
        <v>645</v>
      </c>
      <c r="DA273" t="s">
        <v>152</v>
      </c>
      <c r="DB273" t="s">
        <v>178</v>
      </c>
      <c r="DC273" t="s">
        <v>656</v>
      </c>
      <c r="DD273" t="s">
        <v>657</v>
      </c>
      <c r="DE273">
        <v>10350</v>
      </c>
      <c r="DF273">
        <v>-84.596498999999994</v>
      </c>
      <c r="DG273">
        <v>38.291331</v>
      </c>
      <c r="DH273">
        <v>4500</v>
      </c>
      <c r="DI273">
        <v>200</v>
      </c>
      <c r="DL273">
        <v>10</v>
      </c>
      <c r="DM273">
        <v>8</v>
      </c>
      <c r="DN273">
        <v>12</v>
      </c>
      <c r="DO273">
        <v>50</v>
      </c>
      <c r="DP273">
        <v>25</v>
      </c>
      <c r="DQ273">
        <v>100</v>
      </c>
      <c r="DS273" t="s">
        <v>658</v>
      </c>
      <c r="DT273">
        <v>1.2500000000000001E-2</v>
      </c>
      <c r="DU273">
        <v>1.2500000000000001E-2</v>
      </c>
      <c r="DV273">
        <v>0.32500000000000001</v>
      </c>
      <c r="DW273">
        <v>0.32500000000000001</v>
      </c>
      <c r="DX273">
        <v>0.32500000000000001</v>
      </c>
      <c r="DY273">
        <v>365.00196845641909</v>
      </c>
      <c r="DZ273" s="4">
        <v>3.8780000000000001</v>
      </c>
      <c r="EA273" s="4" t="s">
        <v>1449</v>
      </c>
      <c r="EB273" s="4" t="s">
        <v>1450</v>
      </c>
      <c r="EC273">
        <v>5.2030000000000003</v>
      </c>
      <c r="ED273">
        <v>600</v>
      </c>
      <c r="EE273" t="s">
        <v>1447</v>
      </c>
      <c r="EF273">
        <v>0.55351991060737682</v>
      </c>
      <c r="EH273">
        <f t="shared" si="9"/>
        <v>0.58000000000000007</v>
      </c>
      <c r="EI273">
        <v>3.38</v>
      </c>
      <c r="EJ273">
        <v>3.65</v>
      </c>
    </row>
    <row r="274" spans="1:140" x14ac:dyDescent="0.35">
      <c r="A274" s="1">
        <v>272</v>
      </c>
      <c r="B274">
        <v>-123.8640322709162</v>
      </c>
      <c r="C274">
        <v>44.331919533390277</v>
      </c>
      <c r="D274" t="s">
        <v>1451</v>
      </c>
      <c r="E274">
        <v>0.02</v>
      </c>
      <c r="F274" t="s">
        <v>160</v>
      </c>
      <c r="G274">
        <v>7.3200000000000001E-2</v>
      </c>
      <c r="H274" t="s">
        <v>161</v>
      </c>
      <c r="I274">
        <v>-13788481</v>
      </c>
      <c r="J274">
        <v>5516952</v>
      </c>
      <c r="K274" t="s">
        <v>1285</v>
      </c>
      <c r="L274" t="s">
        <v>833</v>
      </c>
      <c r="M274">
        <v>21</v>
      </c>
      <c r="N274">
        <v>4.6449999999999996</v>
      </c>
      <c r="O274">
        <v>4</v>
      </c>
      <c r="P274">
        <v>9</v>
      </c>
      <c r="Q274">
        <v>41</v>
      </c>
      <c r="R274">
        <v>41</v>
      </c>
      <c r="S274">
        <v>50400</v>
      </c>
      <c r="T274" t="s">
        <v>1287</v>
      </c>
      <c r="U274">
        <v>6.447431924405608</v>
      </c>
      <c r="V274" t="s">
        <v>1285</v>
      </c>
      <c r="W274">
        <v>0.1111</v>
      </c>
      <c r="X274">
        <v>10</v>
      </c>
      <c r="Y274">
        <v>8.9</v>
      </c>
      <c r="Z274">
        <v>8.9</v>
      </c>
      <c r="AA274">
        <v>20</v>
      </c>
      <c r="AB274">
        <v>26</v>
      </c>
      <c r="AC274">
        <v>0.35199999999999998</v>
      </c>
      <c r="AD274">
        <v>67</v>
      </c>
      <c r="AE274">
        <v>5.5944055944055937E-2</v>
      </c>
      <c r="AF274">
        <v>2.86</v>
      </c>
      <c r="AG274" t="s">
        <v>1287</v>
      </c>
      <c r="AH274" t="s">
        <v>1285</v>
      </c>
      <c r="AI274">
        <v>76</v>
      </c>
      <c r="AJ274">
        <v>2.5333333333333329E-2</v>
      </c>
      <c r="AK274">
        <v>25.333333333333329</v>
      </c>
      <c r="AL274" t="s">
        <v>1452</v>
      </c>
      <c r="AM274">
        <v>0</v>
      </c>
      <c r="AN274">
        <v>1.45</v>
      </c>
      <c r="AO274">
        <v>0.09</v>
      </c>
      <c r="AP274">
        <v>0.19</v>
      </c>
      <c r="AQ274">
        <v>1.1599999999999999</v>
      </c>
      <c r="AR274">
        <v>1.02</v>
      </c>
      <c r="AS274">
        <v>0.13</v>
      </c>
      <c r="AT274">
        <v>0.01</v>
      </c>
      <c r="AU274">
        <v>0.02</v>
      </c>
      <c r="AV274">
        <v>2.4900000000000002</v>
      </c>
      <c r="AW274">
        <v>1.49</v>
      </c>
      <c r="AX274">
        <v>0.21</v>
      </c>
      <c r="AY274">
        <v>0.53</v>
      </c>
      <c r="AZ274">
        <v>0</v>
      </c>
      <c r="BA274">
        <v>1.08</v>
      </c>
      <c r="BB274">
        <v>0.24</v>
      </c>
      <c r="BC274">
        <v>0.17</v>
      </c>
      <c r="BD274">
        <v>0.27</v>
      </c>
      <c r="BE274">
        <v>6.91</v>
      </c>
      <c r="BF274">
        <v>6.22</v>
      </c>
      <c r="BG274">
        <v>0.24</v>
      </c>
      <c r="BH274">
        <v>0.45</v>
      </c>
      <c r="BI274">
        <v>0</v>
      </c>
      <c r="BJ274">
        <v>0.11</v>
      </c>
      <c r="BK274">
        <v>6.1</v>
      </c>
      <c r="BL274">
        <v>0</v>
      </c>
      <c r="BM274">
        <v>1.97</v>
      </c>
      <c r="BN274">
        <v>0.21</v>
      </c>
      <c r="BO274">
        <v>0.46</v>
      </c>
      <c r="BP274">
        <v>1.3</v>
      </c>
      <c r="BQ274">
        <v>1.01</v>
      </c>
      <c r="BR274">
        <v>0.17</v>
      </c>
      <c r="BS274">
        <v>0.12</v>
      </c>
      <c r="BT274">
        <v>0</v>
      </c>
      <c r="BU274">
        <v>7.31</v>
      </c>
      <c r="BV274">
        <v>6.25</v>
      </c>
      <c r="BW274">
        <v>0.34</v>
      </c>
      <c r="BX274">
        <v>0.72</v>
      </c>
      <c r="BY274">
        <v>0</v>
      </c>
      <c r="BZ274">
        <v>0.11</v>
      </c>
      <c r="CA274">
        <v>6.14</v>
      </c>
      <c r="CB274">
        <v>0</v>
      </c>
      <c r="CC274">
        <f t="shared" si="8"/>
        <v>2.75</v>
      </c>
      <c r="CD274">
        <v>3.96</v>
      </c>
      <c r="CE274">
        <v>0.34230769230769231</v>
      </c>
      <c r="CF274">
        <v>0.44500000000000001</v>
      </c>
      <c r="CG274">
        <v>0.1492537313432836</v>
      </c>
      <c r="CH274">
        <v>0.1230769230769231</v>
      </c>
      <c r="CI274">
        <v>0</v>
      </c>
      <c r="CJ274">
        <v>16253</v>
      </c>
      <c r="CK274" t="s">
        <v>141</v>
      </c>
      <c r="CL274" t="s">
        <v>845</v>
      </c>
      <c r="CM274" t="s">
        <v>143</v>
      </c>
      <c r="CN274">
        <v>1.1447420230500001</v>
      </c>
      <c r="CO274">
        <v>54.000804017749523</v>
      </c>
      <c r="CP274">
        <v>273</v>
      </c>
      <c r="CQ274" t="s">
        <v>1290</v>
      </c>
      <c r="CR274">
        <v>223</v>
      </c>
      <c r="CS274" t="s">
        <v>717</v>
      </c>
      <c r="CT274" t="s">
        <v>718</v>
      </c>
      <c r="CU274" t="s">
        <v>315</v>
      </c>
      <c r="CV274" t="s">
        <v>719</v>
      </c>
      <c r="CW274" t="s">
        <v>720</v>
      </c>
      <c r="CX274" t="s">
        <v>721</v>
      </c>
      <c r="CY274" t="s">
        <v>551</v>
      </c>
      <c r="CZ274" t="s">
        <v>319</v>
      </c>
      <c r="DA274" t="s">
        <v>152</v>
      </c>
      <c r="DB274" t="s">
        <v>178</v>
      </c>
      <c r="DC274" t="s">
        <v>207</v>
      </c>
      <c r="DD274" t="s">
        <v>155</v>
      </c>
      <c r="DE274">
        <v>2069</v>
      </c>
      <c r="DF274">
        <v>-121.36967300000001</v>
      </c>
      <c r="DG274">
        <v>38.049534000000001</v>
      </c>
      <c r="DH274">
        <v>7600</v>
      </c>
      <c r="DI274">
        <v>1000</v>
      </c>
      <c r="DL274">
        <v>18</v>
      </c>
      <c r="DM274">
        <v>15</v>
      </c>
      <c r="DN274">
        <v>30</v>
      </c>
      <c r="DO274">
        <v>5</v>
      </c>
      <c r="DP274">
        <v>10</v>
      </c>
      <c r="DQ274">
        <v>1700</v>
      </c>
      <c r="DS274" t="s">
        <v>322</v>
      </c>
      <c r="DT274">
        <v>1.2500000000000001E-2</v>
      </c>
      <c r="DU274">
        <v>1.2500000000000001E-2</v>
      </c>
      <c r="DV274">
        <v>0.32500000000000001</v>
      </c>
      <c r="DW274">
        <v>0.32500000000000001</v>
      </c>
      <c r="DX274">
        <v>0.32500000000000001</v>
      </c>
      <c r="DY274">
        <v>0</v>
      </c>
      <c r="DZ274" s="4">
        <v>4.5339999999999998</v>
      </c>
      <c r="EA274" s="4" t="s">
        <v>1291</v>
      </c>
      <c r="EB274" s="4" t="s">
        <v>1292</v>
      </c>
      <c r="EC274">
        <v>5.33</v>
      </c>
      <c r="ED274">
        <v>787</v>
      </c>
      <c r="EE274" t="s">
        <v>1452</v>
      </c>
      <c r="EF274">
        <v>0</v>
      </c>
      <c r="EH274">
        <f t="shared" si="9"/>
        <v>0.58000000000000007</v>
      </c>
      <c r="EI274">
        <v>3.38</v>
      </c>
      <c r="EJ274">
        <v>3.65</v>
      </c>
    </row>
    <row r="275" spans="1:140" x14ac:dyDescent="0.35">
      <c r="A275" s="1">
        <v>273</v>
      </c>
      <c r="B275">
        <v>-122.0674017026772</v>
      </c>
      <c r="C275">
        <v>44.331919533390277</v>
      </c>
      <c r="D275" t="s">
        <v>1453</v>
      </c>
      <c r="E275">
        <v>0.1</v>
      </c>
      <c r="F275" t="s">
        <v>135</v>
      </c>
      <c r="G275">
        <v>7.3200000000000001E-2</v>
      </c>
      <c r="H275" t="s">
        <v>161</v>
      </c>
      <c r="I275">
        <v>-13588481</v>
      </c>
      <c r="J275">
        <v>5516952</v>
      </c>
      <c r="K275" t="s">
        <v>1285</v>
      </c>
      <c r="L275" t="s">
        <v>1454</v>
      </c>
      <c r="M275">
        <v>22</v>
      </c>
      <c r="N275">
        <v>4.194</v>
      </c>
      <c r="O275">
        <v>4</v>
      </c>
      <c r="P275">
        <v>9</v>
      </c>
      <c r="Q275">
        <v>41</v>
      </c>
      <c r="R275">
        <v>43</v>
      </c>
      <c r="S275">
        <v>128610</v>
      </c>
      <c r="T275" t="s">
        <v>1287</v>
      </c>
      <c r="U275">
        <v>6.447431924405608</v>
      </c>
      <c r="V275" t="s">
        <v>1285</v>
      </c>
      <c r="W275">
        <v>0.1111</v>
      </c>
      <c r="X275">
        <v>10</v>
      </c>
      <c r="Y275">
        <v>8.9</v>
      </c>
      <c r="Z275">
        <v>8.9</v>
      </c>
      <c r="AA275">
        <v>20</v>
      </c>
      <c r="AB275">
        <v>26</v>
      </c>
      <c r="AC275">
        <v>0.35199999999999998</v>
      </c>
      <c r="AD275">
        <v>67</v>
      </c>
      <c r="AE275">
        <v>5.5944055944055937E-2</v>
      </c>
      <c r="AF275">
        <v>2.86</v>
      </c>
      <c r="AG275" t="s">
        <v>1287</v>
      </c>
      <c r="AH275" t="s">
        <v>1285</v>
      </c>
      <c r="AI275">
        <v>76</v>
      </c>
      <c r="AJ275">
        <v>2.5333333333333329E-2</v>
      </c>
      <c r="AK275">
        <v>25.333333333333329</v>
      </c>
      <c r="AL275" t="s">
        <v>1455</v>
      </c>
      <c r="AM275">
        <v>0</v>
      </c>
      <c r="AN275">
        <v>1.45</v>
      </c>
      <c r="AO275">
        <v>0.09</v>
      </c>
      <c r="AP275">
        <v>0.19</v>
      </c>
      <c r="AQ275">
        <v>1.1599999999999999</v>
      </c>
      <c r="AR275">
        <v>1.02</v>
      </c>
      <c r="AS275">
        <v>0.13</v>
      </c>
      <c r="AT275">
        <v>0.01</v>
      </c>
      <c r="AU275">
        <v>0.02</v>
      </c>
      <c r="AV275">
        <v>2.4900000000000002</v>
      </c>
      <c r="AW275">
        <v>1.49</v>
      </c>
      <c r="AX275">
        <v>0.21</v>
      </c>
      <c r="AY275">
        <v>0.53</v>
      </c>
      <c r="AZ275">
        <v>0</v>
      </c>
      <c r="BA275">
        <v>1.08</v>
      </c>
      <c r="BB275">
        <v>0.24</v>
      </c>
      <c r="BC275">
        <v>0.17</v>
      </c>
      <c r="BD275">
        <v>0.27</v>
      </c>
      <c r="BE275">
        <v>6.91</v>
      </c>
      <c r="BF275">
        <v>6.22</v>
      </c>
      <c r="BG275">
        <v>0.24</v>
      </c>
      <c r="BH275">
        <v>0.45</v>
      </c>
      <c r="BI275">
        <v>0</v>
      </c>
      <c r="BJ275">
        <v>0.11</v>
      </c>
      <c r="BK275">
        <v>6.1</v>
      </c>
      <c r="BL275">
        <v>0</v>
      </c>
      <c r="BM275">
        <v>1.97</v>
      </c>
      <c r="BN275">
        <v>0.21</v>
      </c>
      <c r="BO275">
        <v>0.46</v>
      </c>
      <c r="BP275">
        <v>1.3</v>
      </c>
      <c r="BQ275">
        <v>1.01</v>
      </c>
      <c r="BR275">
        <v>0.17</v>
      </c>
      <c r="BS275">
        <v>0.12</v>
      </c>
      <c r="BT275">
        <v>0</v>
      </c>
      <c r="BU275">
        <v>7.31</v>
      </c>
      <c r="BV275">
        <v>6.25</v>
      </c>
      <c r="BW275">
        <v>0.34</v>
      </c>
      <c r="BX275">
        <v>0.72</v>
      </c>
      <c r="BY275">
        <v>0</v>
      </c>
      <c r="BZ275">
        <v>0.11</v>
      </c>
      <c r="CA275">
        <v>6.14</v>
      </c>
      <c r="CB275">
        <v>0</v>
      </c>
      <c r="CC275">
        <f t="shared" si="8"/>
        <v>2.75</v>
      </c>
      <c r="CD275">
        <v>3.96</v>
      </c>
      <c r="CE275">
        <v>0.34230769230769231</v>
      </c>
      <c r="CF275">
        <v>0.44500000000000001</v>
      </c>
      <c r="CG275">
        <v>0.1492537313432836</v>
      </c>
      <c r="CH275">
        <v>0.1230769230769231</v>
      </c>
      <c r="CI275">
        <v>0</v>
      </c>
      <c r="CJ275">
        <v>21440</v>
      </c>
      <c r="CK275" t="s">
        <v>141</v>
      </c>
      <c r="CL275" t="s">
        <v>1295</v>
      </c>
      <c r="CM275" t="s">
        <v>143</v>
      </c>
      <c r="CN275">
        <v>0.63182492096599996</v>
      </c>
      <c r="CO275">
        <v>62.953764818205102</v>
      </c>
      <c r="CP275">
        <v>274</v>
      </c>
      <c r="CQ275" t="s">
        <v>1456</v>
      </c>
      <c r="CR275">
        <v>223</v>
      </c>
      <c r="CS275" t="s">
        <v>717</v>
      </c>
      <c r="CT275" t="s">
        <v>718</v>
      </c>
      <c r="CU275" t="s">
        <v>315</v>
      </c>
      <c r="CV275" t="s">
        <v>719</v>
      </c>
      <c r="CW275" t="s">
        <v>720</v>
      </c>
      <c r="CX275" t="s">
        <v>721</v>
      </c>
      <c r="CY275" t="s">
        <v>551</v>
      </c>
      <c r="CZ275" t="s">
        <v>319</v>
      </c>
      <c r="DA275" t="s">
        <v>152</v>
      </c>
      <c r="DB275" t="s">
        <v>178</v>
      </c>
      <c r="DC275" t="s">
        <v>207</v>
      </c>
      <c r="DD275" t="s">
        <v>155</v>
      </c>
      <c r="DE275">
        <v>2069</v>
      </c>
      <c r="DF275">
        <v>-121.36967300000001</v>
      </c>
      <c r="DG275">
        <v>38.049534000000001</v>
      </c>
      <c r="DH275">
        <v>7600</v>
      </c>
      <c r="DI275">
        <v>1000</v>
      </c>
      <c r="DL275">
        <v>18</v>
      </c>
      <c r="DM275">
        <v>15</v>
      </c>
      <c r="DN275">
        <v>30</v>
      </c>
      <c r="DO275">
        <v>5</v>
      </c>
      <c r="DP275">
        <v>10</v>
      </c>
      <c r="DQ275">
        <v>1700</v>
      </c>
      <c r="DS275" t="s">
        <v>322</v>
      </c>
      <c r="DT275">
        <v>1.2500000000000001E-2</v>
      </c>
      <c r="DU275">
        <v>1.2500000000000001E-2</v>
      </c>
      <c r="DV275">
        <v>0.32500000000000001</v>
      </c>
      <c r="DW275">
        <v>0.32500000000000001</v>
      </c>
      <c r="DX275">
        <v>0.32500000000000001</v>
      </c>
      <c r="DY275">
        <v>55.402041665289993</v>
      </c>
      <c r="DZ275" s="4">
        <v>4.5339999999999998</v>
      </c>
      <c r="EA275" s="4" t="s">
        <v>1291</v>
      </c>
      <c r="EB275" s="4" t="s">
        <v>1292</v>
      </c>
      <c r="EC275">
        <v>5.33</v>
      </c>
      <c r="ED275">
        <v>357</v>
      </c>
      <c r="EE275" t="s">
        <v>1455</v>
      </c>
      <c r="EF275">
        <v>0</v>
      </c>
      <c r="EH275">
        <f t="shared" si="9"/>
        <v>0.58000000000000007</v>
      </c>
      <c r="EI275">
        <v>3.38</v>
      </c>
      <c r="EJ275">
        <v>3.65</v>
      </c>
    </row>
    <row r="276" spans="1:140" x14ac:dyDescent="0.35">
      <c r="A276" s="1">
        <v>274</v>
      </c>
      <c r="B276">
        <v>-120.27077113443811</v>
      </c>
      <c r="C276">
        <v>44.331919533390277</v>
      </c>
      <c r="D276" t="s">
        <v>1457</v>
      </c>
      <c r="E276">
        <v>0.02</v>
      </c>
      <c r="F276" t="s">
        <v>160</v>
      </c>
      <c r="G276">
        <v>7.3200000000000001E-2</v>
      </c>
      <c r="H276" t="s">
        <v>161</v>
      </c>
      <c r="I276">
        <v>-13388481</v>
      </c>
      <c r="J276">
        <v>5516952</v>
      </c>
      <c r="K276" t="s">
        <v>1285</v>
      </c>
      <c r="L276" t="s">
        <v>1458</v>
      </c>
      <c r="M276">
        <v>7</v>
      </c>
      <c r="N276">
        <v>4.33</v>
      </c>
      <c r="O276">
        <v>4</v>
      </c>
      <c r="P276">
        <v>9</v>
      </c>
      <c r="Q276">
        <v>41</v>
      </c>
      <c r="R276">
        <v>13</v>
      </c>
      <c r="S276">
        <v>24735</v>
      </c>
      <c r="T276" t="s">
        <v>1287</v>
      </c>
      <c r="U276">
        <v>6.447431924405608</v>
      </c>
      <c r="V276" t="s">
        <v>1285</v>
      </c>
      <c r="W276">
        <v>0.1111</v>
      </c>
      <c r="X276">
        <v>10</v>
      </c>
      <c r="Y276">
        <v>8.9</v>
      </c>
      <c r="Z276">
        <v>8.9</v>
      </c>
      <c r="AA276">
        <v>20</v>
      </c>
      <c r="AB276">
        <v>26</v>
      </c>
      <c r="AC276">
        <v>0.35199999999999998</v>
      </c>
      <c r="AD276">
        <v>67</v>
      </c>
      <c r="AE276">
        <v>5.5944055944055937E-2</v>
      </c>
      <c r="AF276">
        <v>2.86</v>
      </c>
      <c r="AG276" t="s">
        <v>1287</v>
      </c>
      <c r="AH276" t="s">
        <v>1285</v>
      </c>
      <c r="AI276">
        <v>76</v>
      </c>
      <c r="AJ276">
        <v>2.5333333333333329E-2</v>
      </c>
      <c r="AK276">
        <v>25.333333333333329</v>
      </c>
      <c r="AL276" t="s">
        <v>1459</v>
      </c>
      <c r="AM276">
        <v>0</v>
      </c>
      <c r="AN276">
        <v>1.45</v>
      </c>
      <c r="AO276">
        <v>0.09</v>
      </c>
      <c r="AP276">
        <v>0.19</v>
      </c>
      <c r="AQ276">
        <v>1.1599999999999999</v>
      </c>
      <c r="AR276">
        <v>1.02</v>
      </c>
      <c r="AS276">
        <v>0.13</v>
      </c>
      <c r="AT276">
        <v>0.01</v>
      </c>
      <c r="AU276">
        <v>0.02</v>
      </c>
      <c r="AV276">
        <v>2.4900000000000002</v>
      </c>
      <c r="AW276">
        <v>1.49</v>
      </c>
      <c r="AX276">
        <v>0.21</v>
      </c>
      <c r="AY276">
        <v>0.53</v>
      </c>
      <c r="AZ276">
        <v>0</v>
      </c>
      <c r="BA276">
        <v>1.08</v>
      </c>
      <c r="BB276">
        <v>0.24</v>
      </c>
      <c r="BC276">
        <v>0.17</v>
      </c>
      <c r="BD276">
        <v>0.27</v>
      </c>
      <c r="BE276">
        <v>6.91</v>
      </c>
      <c r="BF276">
        <v>6.22</v>
      </c>
      <c r="BG276">
        <v>0.24</v>
      </c>
      <c r="BH276">
        <v>0.45</v>
      </c>
      <c r="BI276">
        <v>0</v>
      </c>
      <c r="BJ276">
        <v>0.11</v>
      </c>
      <c r="BK276">
        <v>6.1</v>
      </c>
      <c r="BL276">
        <v>0</v>
      </c>
      <c r="BM276">
        <v>1.97</v>
      </c>
      <c r="BN276">
        <v>0.21</v>
      </c>
      <c r="BO276">
        <v>0.46</v>
      </c>
      <c r="BP276">
        <v>1.3</v>
      </c>
      <c r="BQ276">
        <v>1.01</v>
      </c>
      <c r="BR276">
        <v>0.17</v>
      </c>
      <c r="BS276">
        <v>0.12</v>
      </c>
      <c r="BT276">
        <v>0</v>
      </c>
      <c r="BU276">
        <v>7.31</v>
      </c>
      <c r="BV276">
        <v>6.25</v>
      </c>
      <c r="BW276">
        <v>0.34</v>
      </c>
      <c r="BX276">
        <v>0.72</v>
      </c>
      <c r="BY276">
        <v>0</v>
      </c>
      <c r="BZ276">
        <v>0.11</v>
      </c>
      <c r="CA276">
        <v>6.14</v>
      </c>
      <c r="CB276">
        <v>0</v>
      </c>
      <c r="CC276">
        <f t="shared" si="8"/>
        <v>2.75</v>
      </c>
      <c r="CD276">
        <v>3.96</v>
      </c>
      <c r="CE276">
        <v>0.34230769230769231</v>
      </c>
      <c r="CF276">
        <v>0.44500000000000001</v>
      </c>
      <c r="CG276">
        <v>0.1492537313432836</v>
      </c>
      <c r="CH276">
        <v>0.1230769230769231</v>
      </c>
      <c r="CI276">
        <v>0</v>
      </c>
      <c r="CJ276">
        <v>21440</v>
      </c>
      <c r="CK276" t="s">
        <v>141</v>
      </c>
      <c r="CL276" t="s">
        <v>1295</v>
      </c>
      <c r="CM276" t="s">
        <v>143</v>
      </c>
      <c r="CN276">
        <v>0.63182492096599996</v>
      </c>
      <c r="CO276">
        <v>53.435719904723129</v>
      </c>
      <c r="CP276">
        <v>275</v>
      </c>
      <c r="CQ276" t="s">
        <v>1296</v>
      </c>
      <c r="CR276">
        <v>223</v>
      </c>
      <c r="CS276" t="s">
        <v>717</v>
      </c>
      <c r="CT276" t="s">
        <v>718</v>
      </c>
      <c r="CU276" t="s">
        <v>315</v>
      </c>
      <c r="CV276" t="s">
        <v>719</v>
      </c>
      <c r="CW276" t="s">
        <v>720</v>
      </c>
      <c r="CX276" t="s">
        <v>721</v>
      </c>
      <c r="CY276" t="s">
        <v>551</v>
      </c>
      <c r="CZ276" t="s">
        <v>319</v>
      </c>
      <c r="DA276" t="s">
        <v>152</v>
      </c>
      <c r="DB276" t="s">
        <v>178</v>
      </c>
      <c r="DC276" t="s">
        <v>207</v>
      </c>
      <c r="DD276" t="s">
        <v>155</v>
      </c>
      <c r="DE276">
        <v>2069</v>
      </c>
      <c r="DF276">
        <v>-121.36967300000001</v>
      </c>
      <c r="DG276">
        <v>38.049534000000001</v>
      </c>
      <c r="DH276">
        <v>7600</v>
      </c>
      <c r="DI276">
        <v>1000</v>
      </c>
      <c r="DL276">
        <v>18</v>
      </c>
      <c r="DM276">
        <v>15</v>
      </c>
      <c r="DN276">
        <v>30</v>
      </c>
      <c r="DO276">
        <v>5</v>
      </c>
      <c r="DP276">
        <v>10</v>
      </c>
      <c r="DQ276">
        <v>1700</v>
      </c>
      <c r="DS276" t="s">
        <v>322</v>
      </c>
      <c r="DT276">
        <v>1.2500000000000001E-2</v>
      </c>
      <c r="DU276">
        <v>1.2500000000000001E-2</v>
      </c>
      <c r="DV276">
        <v>0.32500000000000001</v>
      </c>
      <c r="DW276">
        <v>0.32500000000000001</v>
      </c>
      <c r="DX276">
        <v>0.32500000000000001</v>
      </c>
      <c r="DY276">
        <v>0</v>
      </c>
      <c r="DZ276" s="4">
        <v>4.5339999999999998</v>
      </c>
      <c r="EA276" s="4" t="s">
        <v>1291</v>
      </c>
      <c r="EB276" s="4" t="s">
        <v>1292</v>
      </c>
      <c r="EC276">
        <v>5.33</v>
      </c>
      <c r="ED276">
        <v>594</v>
      </c>
      <c r="EE276" t="s">
        <v>1459</v>
      </c>
      <c r="EF276">
        <v>0</v>
      </c>
      <c r="EH276">
        <f t="shared" si="9"/>
        <v>0.58000000000000007</v>
      </c>
      <c r="EI276">
        <v>3.38</v>
      </c>
      <c r="EJ276">
        <v>3.65</v>
      </c>
    </row>
    <row r="277" spans="1:140" x14ac:dyDescent="0.35">
      <c r="A277" s="1">
        <v>275</v>
      </c>
      <c r="B277">
        <v>-118.4741405661991</v>
      </c>
      <c r="C277">
        <v>44.331919533390277</v>
      </c>
      <c r="D277" t="s">
        <v>1460</v>
      </c>
      <c r="E277">
        <v>0.1</v>
      </c>
      <c r="F277" t="s">
        <v>135</v>
      </c>
      <c r="G277">
        <v>7.3200000000000001E-2</v>
      </c>
      <c r="H277" t="s">
        <v>161</v>
      </c>
      <c r="I277">
        <v>-13188481</v>
      </c>
      <c r="J277">
        <v>5516952</v>
      </c>
      <c r="K277" t="s">
        <v>1285</v>
      </c>
      <c r="L277" t="s">
        <v>1461</v>
      </c>
      <c r="M277">
        <v>12</v>
      </c>
      <c r="N277">
        <v>4.5709999999999997</v>
      </c>
      <c r="O277">
        <v>4</v>
      </c>
      <c r="P277">
        <v>9</v>
      </c>
      <c r="Q277">
        <v>41</v>
      </c>
      <c r="R277">
        <v>23</v>
      </c>
      <c r="S277">
        <v>7233</v>
      </c>
      <c r="T277" t="s">
        <v>1287</v>
      </c>
      <c r="U277">
        <v>6.447431924405608</v>
      </c>
      <c r="V277" t="s">
        <v>1285</v>
      </c>
      <c r="W277">
        <v>0.1111</v>
      </c>
      <c r="X277">
        <v>10</v>
      </c>
      <c r="Y277">
        <v>8.9</v>
      </c>
      <c r="Z277">
        <v>8.9</v>
      </c>
      <c r="AA277">
        <v>20</v>
      </c>
      <c r="AB277">
        <v>26</v>
      </c>
      <c r="AC277">
        <v>0.35199999999999998</v>
      </c>
      <c r="AD277">
        <v>67</v>
      </c>
      <c r="AE277">
        <v>5.5944055944055937E-2</v>
      </c>
      <c r="AF277">
        <v>2.86</v>
      </c>
      <c r="AG277" t="s">
        <v>1287</v>
      </c>
      <c r="AH277" t="s">
        <v>1285</v>
      </c>
      <c r="AI277">
        <v>76</v>
      </c>
      <c r="AJ277">
        <v>2.5333333333333329E-2</v>
      </c>
      <c r="AK277">
        <v>25.333333333333329</v>
      </c>
      <c r="AL277" t="s">
        <v>1302</v>
      </c>
      <c r="AM277">
        <v>29397.747851496872</v>
      </c>
      <c r="AN277">
        <v>1.45</v>
      </c>
      <c r="AO277">
        <v>0.09</v>
      </c>
      <c r="AP277">
        <v>0.19</v>
      </c>
      <c r="AQ277">
        <v>1.1599999999999999</v>
      </c>
      <c r="AR277">
        <v>1.02</v>
      </c>
      <c r="AS277">
        <v>0.13</v>
      </c>
      <c r="AT277">
        <v>0.01</v>
      </c>
      <c r="AU277">
        <v>0.02</v>
      </c>
      <c r="AV277">
        <v>2.4900000000000002</v>
      </c>
      <c r="AW277">
        <v>1.49</v>
      </c>
      <c r="AX277">
        <v>0.21</v>
      </c>
      <c r="AY277">
        <v>0.53</v>
      </c>
      <c r="AZ277">
        <v>0</v>
      </c>
      <c r="BA277">
        <v>1.08</v>
      </c>
      <c r="BB277">
        <v>0.24</v>
      </c>
      <c r="BC277">
        <v>0.17</v>
      </c>
      <c r="BD277">
        <v>0.27</v>
      </c>
      <c r="BE277">
        <v>6.91</v>
      </c>
      <c r="BF277">
        <v>6.22</v>
      </c>
      <c r="BG277">
        <v>0.24</v>
      </c>
      <c r="BH277">
        <v>0.45</v>
      </c>
      <c r="BI277">
        <v>0</v>
      </c>
      <c r="BJ277">
        <v>0.11</v>
      </c>
      <c r="BK277">
        <v>6.1</v>
      </c>
      <c r="BL277">
        <v>0</v>
      </c>
      <c r="BM277">
        <v>1.97</v>
      </c>
      <c r="BN277">
        <v>0.21</v>
      </c>
      <c r="BO277">
        <v>0.46</v>
      </c>
      <c r="BP277">
        <v>1.3</v>
      </c>
      <c r="BQ277">
        <v>1.01</v>
      </c>
      <c r="BR277">
        <v>0.17</v>
      </c>
      <c r="BS277">
        <v>0.12</v>
      </c>
      <c r="BT277">
        <v>0</v>
      </c>
      <c r="BU277">
        <v>7.31</v>
      </c>
      <c r="BV277">
        <v>6.25</v>
      </c>
      <c r="BW277">
        <v>0.34</v>
      </c>
      <c r="BX277">
        <v>0.72</v>
      </c>
      <c r="BY277">
        <v>0</v>
      </c>
      <c r="BZ277">
        <v>0.11</v>
      </c>
      <c r="CA277">
        <v>6.14</v>
      </c>
      <c r="CB277">
        <v>0</v>
      </c>
      <c r="CC277">
        <f t="shared" si="8"/>
        <v>2.75</v>
      </c>
      <c r="CD277">
        <v>3.96</v>
      </c>
      <c r="CE277">
        <v>0.34230769230769231</v>
      </c>
      <c r="CF277">
        <v>0.44500000000000001</v>
      </c>
      <c r="CG277">
        <v>0.1492537313432836</v>
      </c>
      <c r="CH277">
        <v>0.1230769230769231</v>
      </c>
      <c r="CI277">
        <v>0</v>
      </c>
      <c r="CJ277">
        <v>16182</v>
      </c>
      <c r="CK277" t="s">
        <v>141</v>
      </c>
      <c r="CL277" t="s">
        <v>845</v>
      </c>
      <c r="CM277" t="s">
        <v>143</v>
      </c>
      <c r="CN277">
        <v>0.56512497071400003</v>
      </c>
      <c r="CO277">
        <v>60.048162596978017</v>
      </c>
      <c r="CP277">
        <v>276</v>
      </c>
      <c r="CQ277" t="s">
        <v>1296</v>
      </c>
      <c r="CR277">
        <v>223</v>
      </c>
      <c r="CS277" t="s">
        <v>717</v>
      </c>
      <c r="CT277" t="s">
        <v>718</v>
      </c>
      <c r="CU277" t="s">
        <v>315</v>
      </c>
      <c r="CV277" t="s">
        <v>719</v>
      </c>
      <c r="CW277" t="s">
        <v>720</v>
      </c>
      <c r="CX277" t="s">
        <v>721</v>
      </c>
      <c r="CY277" t="s">
        <v>551</v>
      </c>
      <c r="CZ277" t="s">
        <v>319</v>
      </c>
      <c r="DA277" t="s">
        <v>152</v>
      </c>
      <c r="DB277" t="s">
        <v>178</v>
      </c>
      <c r="DC277" t="s">
        <v>207</v>
      </c>
      <c r="DD277" t="s">
        <v>155</v>
      </c>
      <c r="DE277">
        <v>2069</v>
      </c>
      <c r="DF277">
        <v>-121.36967300000001</v>
      </c>
      <c r="DG277">
        <v>38.049534000000001</v>
      </c>
      <c r="DH277">
        <v>7600</v>
      </c>
      <c r="DI277">
        <v>1000</v>
      </c>
      <c r="DL277">
        <v>18</v>
      </c>
      <c r="DM277">
        <v>15</v>
      </c>
      <c r="DN277">
        <v>30</v>
      </c>
      <c r="DO277">
        <v>5</v>
      </c>
      <c r="DP277">
        <v>10</v>
      </c>
      <c r="DQ277">
        <v>1700</v>
      </c>
      <c r="DS277" t="s">
        <v>322</v>
      </c>
      <c r="DT277">
        <v>1.2500000000000001E-2</v>
      </c>
      <c r="DU277">
        <v>1.2500000000000001E-2</v>
      </c>
      <c r="DV277">
        <v>0.32500000000000001</v>
      </c>
      <c r="DW277">
        <v>0.32500000000000001</v>
      </c>
      <c r="DX277">
        <v>0.32500000000000001</v>
      </c>
      <c r="DY277">
        <v>48.603861557489722</v>
      </c>
      <c r="DZ277" s="4">
        <v>4.5339999999999998</v>
      </c>
      <c r="EA277" s="4" t="s">
        <v>1291</v>
      </c>
      <c r="EB277" s="4" t="s">
        <v>1292</v>
      </c>
      <c r="EC277">
        <v>5.33</v>
      </c>
      <c r="ED277">
        <v>362</v>
      </c>
      <c r="EE277" t="s">
        <v>1302</v>
      </c>
      <c r="EF277">
        <v>0.25352054824900649</v>
      </c>
      <c r="EH277">
        <f t="shared" si="9"/>
        <v>0.58000000000000007</v>
      </c>
      <c r="EI277">
        <v>3.38</v>
      </c>
      <c r="EJ277">
        <v>3.65</v>
      </c>
    </row>
    <row r="278" spans="1:140" x14ac:dyDescent="0.35">
      <c r="A278" s="1">
        <v>276</v>
      </c>
      <c r="B278">
        <v>-116.6775099979601</v>
      </c>
      <c r="C278">
        <v>44.331919533390277</v>
      </c>
      <c r="D278" t="s">
        <v>1462</v>
      </c>
      <c r="E278">
        <v>0.1</v>
      </c>
      <c r="F278" t="s">
        <v>135</v>
      </c>
      <c r="G278">
        <v>4.7399999999999998E-2</v>
      </c>
      <c r="H278" t="s">
        <v>161</v>
      </c>
      <c r="I278">
        <v>-12988481</v>
      </c>
      <c r="J278">
        <v>5516952</v>
      </c>
      <c r="K278" t="s">
        <v>1304</v>
      </c>
      <c r="L278" t="s">
        <v>1433</v>
      </c>
      <c r="M278">
        <v>44</v>
      </c>
      <c r="N278">
        <v>4.0110000000000001</v>
      </c>
      <c r="O278">
        <v>4</v>
      </c>
      <c r="P278">
        <v>8</v>
      </c>
      <c r="Q278">
        <v>16</v>
      </c>
      <c r="R278">
        <v>87</v>
      </c>
      <c r="S278">
        <v>10500</v>
      </c>
      <c r="T278" t="s">
        <v>1306</v>
      </c>
      <c r="U278">
        <v>5.8816805527331848</v>
      </c>
      <c r="V278" t="s">
        <v>1304</v>
      </c>
      <c r="W278">
        <v>9.5100000000000004E-2</v>
      </c>
      <c r="X278">
        <v>10</v>
      </c>
      <c r="Y278">
        <v>8.9</v>
      </c>
      <c r="Z278">
        <v>8.9</v>
      </c>
      <c r="AA278">
        <v>20</v>
      </c>
      <c r="AB278">
        <v>26</v>
      </c>
      <c r="AC278">
        <v>0.38200000000000001</v>
      </c>
      <c r="AD278">
        <v>67</v>
      </c>
      <c r="AE278">
        <v>6.0712015257469797E-2</v>
      </c>
      <c r="AF278">
        <v>2.86</v>
      </c>
      <c r="AG278" t="s">
        <v>1306</v>
      </c>
      <c r="AH278" t="s">
        <v>1304</v>
      </c>
      <c r="AI278">
        <v>38</v>
      </c>
      <c r="AJ278">
        <v>1.266666666666667E-2</v>
      </c>
      <c r="AK278">
        <v>12.66666666666667</v>
      </c>
      <c r="AL278" t="s">
        <v>1302</v>
      </c>
      <c r="AM278">
        <v>27993.107065837201</v>
      </c>
      <c r="AN278">
        <v>1.27</v>
      </c>
      <c r="AO278">
        <v>0.09</v>
      </c>
      <c r="AP278">
        <v>0.19</v>
      </c>
      <c r="AQ278">
        <v>0.99</v>
      </c>
      <c r="AR278">
        <v>0.93</v>
      </c>
      <c r="AS278">
        <v>0.04</v>
      </c>
      <c r="AT278">
        <v>0.01</v>
      </c>
      <c r="AU278">
        <v>0.02</v>
      </c>
      <c r="AV278">
        <v>2.2200000000000002</v>
      </c>
      <c r="AW278">
        <v>1.22</v>
      </c>
      <c r="AX278">
        <v>0.21</v>
      </c>
      <c r="AY278">
        <v>0.53</v>
      </c>
      <c r="AZ278">
        <v>0</v>
      </c>
      <c r="BA278">
        <v>0.99</v>
      </c>
      <c r="BB278">
        <v>0.08</v>
      </c>
      <c r="BC278">
        <v>0.15</v>
      </c>
      <c r="BD278">
        <v>0.27</v>
      </c>
      <c r="BE278">
        <v>6.28</v>
      </c>
      <c r="BF278">
        <v>5.59</v>
      </c>
      <c r="BG278">
        <v>0.24</v>
      </c>
      <c r="BH278">
        <v>0.45</v>
      </c>
      <c r="BI278">
        <v>0</v>
      </c>
      <c r="BJ278">
        <v>0.04</v>
      </c>
      <c r="BK278">
        <v>5.55</v>
      </c>
      <c r="BL278">
        <v>0</v>
      </c>
      <c r="BM278">
        <v>1.76</v>
      </c>
      <c r="BN278">
        <v>0.21</v>
      </c>
      <c r="BO278">
        <v>0.46</v>
      </c>
      <c r="BP278">
        <v>1.0900000000000001</v>
      </c>
      <c r="BQ278">
        <v>0.92</v>
      </c>
      <c r="BR278">
        <v>0.06</v>
      </c>
      <c r="BS278">
        <v>0.11</v>
      </c>
      <c r="BT278">
        <v>0</v>
      </c>
      <c r="BU278">
        <v>6.68</v>
      </c>
      <c r="BV278">
        <v>5.62</v>
      </c>
      <c r="BW278">
        <v>0.34</v>
      </c>
      <c r="BX278">
        <v>0.72</v>
      </c>
      <c r="BY278">
        <v>0</v>
      </c>
      <c r="BZ278">
        <v>0.04</v>
      </c>
      <c r="CA278">
        <v>5.58</v>
      </c>
      <c r="CB278">
        <v>0</v>
      </c>
      <c r="CC278">
        <f t="shared" si="8"/>
        <v>2.75</v>
      </c>
      <c r="CD278">
        <v>3.96</v>
      </c>
      <c r="CE278">
        <v>0.34230769230769231</v>
      </c>
      <c r="CF278">
        <v>0.44500000000000001</v>
      </c>
      <c r="CG278">
        <v>0.1492537313432836</v>
      </c>
      <c r="CH278">
        <v>0.13356643356643361</v>
      </c>
      <c r="CI278">
        <v>0</v>
      </c>
      <c r="CJ278">
        <v>16199</v>
      </c>
      <c r="CK278" t="s">
        <v>141</v>
      </c>
      <c r="CL278" t="s">
        <v>845</v>
      </c>
      <c r="CM278" t="s">
        <v>143</v>
      </c>
      <c r="CN278">
        <v>0.22166177081800001</v>
      </c>
      <c r="CO278">
        <v>32.051090739601847</v>
      </c>
      <c r="CP278">
        <v>277</v>
      </c>
      <c r="CQ278" t="s">
        <v>1308</v>
      </c>
      <c r="CR278">
        <v>213</v>
      </c>
      <c r="CS278" t="s">
        <v>1064</v>
      </c>
      <c r="CT278" t="s">
        <v>1063</v>
      </c>
      <c r="CU278" t="s">
        <v>837</v>
      </c>
      <c r="CV278" t="s">
        <v>1065</v>
      </c>
      <c r="CW278" t="s">
        <v>1066</v>
      </c>
      <c r="CX278" t="s">
        <v>1067</v>
      </c>
      <c r="CY278" t="s">
        <v>1068</v>
      </c>
      <c r="CZ278" t="s">
        <v>206</v>
      </c>
      <c r="DA278" t="s">
        <v>152</v>
      </c>
      <c r="DB278" t="s">
        <v>178</v>
      </c>
      <c r="DC278" t="s">
        <v>961</v>
      </c>
      <c r="DD278" t="s">
        <v>208</v>
      </c>
      <c r="DE278">
        <v>4436</v>
      </c>
      <c r="DF278">
        <v>-111.185568</v>
      </c>
      <c r="DG278">
        <v>41.139183000000003</v>
      </c>
      <c r="DH278">
        <v>6780</v>
      </c>
      <c r="DI278">
        <v>420</v>
      </c>
      <c r="DJ278">
        <v>2937</v>
      </c>
      <c r="DK278">
        <v>144</v>
      </c>
      <c r="DL278">
        <v>22</v>
      </c>
      <c r="DO278">
        <v>145</v>
      </c>
      <c r="DP278">
        <v>10</v>
      </c>
      <c r="DQ278">
        <v>200</v>
      </c>
      <c r="DS278" t="s">
        <v>1069</v>
      </c>
      <c r="DT278">
        <v>1.2500000000000001E-2</v>
      </c>
      <c r="DU278">
        <v>1.2500000000000001E-2</v>
      </c>
      <c r="DV278">
        <v>0.32500000000000001</v>
      </c>
      <c r="DW278">
        <v>0.32500000000000001</v>
      </c>
      <c r="DX278">
        <v>0.32500000000000001</v>
      </c>
      <c r="DY278">
        <v>21.47461860746624</v>
      </c>
      <c r="DZ278" s="4">
        <v>4.016</v>
      </c>
      <c r="EA278" s="4" t="s">
        <v>1309</v>
      </c>
      <c r="EB278" s="4" t="s">
        <v>1310</v>
      </c>
      <c r="EC278">
        <v>4.6689999999999996</v>
      </c>
      <c r="ED278">
        <v>362</v>
      </c>
      <c r="EE278" t="s">
        <v>1302</v>
      </c>
      <c r="EF278">
        <v>0.1801506314611967</v>
      </c>
      <c r="EH278">
        <f t="shared" si="9"/>
        <v>0.58000000000000007</v>
      </c>
      <c r="EI278">
        <v>3.38</v>
      </c>
      <c r="EJ278">
        <v>3.65</v>
      </c>
    </row>
    <row r="279" spans="1:140" x14ac:dyDescent="0.35">
      <c r="A279" s="1">
        <v>277</v>
      </c>
      <c r="B279">
        <v>-114.88087942972101</v>
      </c>
      <c r="C279">
        <v>44.331919533390277</v>
      </c>
      <c r="D279" t="s">
        <v>1463</v>
      </c>
      <c r="E279">
        <v>0.1</v>
      </c>
      <c r="F279" t="s">
        <v>306</v>
      </c>
      <c r="G279">
        <v>4.7399999999999998E-2</v>
      </c>
      <c r="H279" t="s">
        <v>136</v>
      </c>
      <c r="I279">
        <v>-12788481</v>
      </c>
      <c r="J279">
        <v>5516952</v>
      </c>
      <c r="K279" t="s">
        <v>1304</v>
      </c>
      <c r="L279" t="s">
        <v>1464</v>
      </c>
      <c r="M279">
        <v>19</v>
      </c>
      <c r="N279">
        <v>4.22</v>
      </c>
      <c r="O279">
        <v>4</v>
      </c>
      <c r="P279">
        <v>8</v>
      </c>
      <c r="Q279">
        <v>16</v>
      </c>
      <c r="R279">
        <v>37</v>
      </c>
      <c r="S279">
        <v>4274</v>
      </c>
      <c r="T279" t="s">
        <v>1306</v>
      </c>
      <c r="U279">
        <v>5.8816805527331848</v>
      </c>
      <c r="V279" t="s">
        <v>1304</v>
      </c>
      <c r="W279">
        <v>9.5100000000000004E-2</v>
      </c>
      <c r="X279">
        <v>10</v>
      </c>
      <c r="Y279">
        <v>8.9</v>
      </c>
      <c r="Z279">
        <v>8.9</v>
      </c>
      <c r="AA279">
        <v>20</v>
      </c>
      <c r="AB279">
        <v>26</v>
      </c>
      <c r="AC279">
        <v>0.38200000000000001</v>
      </c>
      <c r="AD279">
        <v>67</v>
      </c>
      <c r="AE279">
        <v>6.0712015257469797E-2</v>
      </c>
      <c r="AF279">
        <v>2.86</v>
      </c>
      <c r="AG279" t="s">
        <v>1306</v>
      </c>
      <c r="AH279" t="s">
        <v>1304</v>
      </c>
      <c r="AI279">
        <v>38</v>
      </c>
      <c r="AJ279">
        <v>1.266666666666667E-2</v>
      </c>
      <c r="AK279">
        <v>12.66666666666667</v>
      </c>
      <c r="AL279" t="s">
        <v>1307</v>
      </c>
      <c r="AM279">
        <v>31485.19690898023</v>
      </c>
      <c r="AN279">
        <v>1.27</v>
      </c>
      <c r="AO279">
        <v>0.09</v>
      </c>
      <c r="AP279">
        <v>0.19</v>
      </c>
      <c r="AQ279">
        <v>0.99</v>
      </c>
      <c r="AR279">
        <v>0.93</v>
      </c>
      <c r="AS279">
        <v>0.04</v>
      </c>
      <c r="AT279">
        <v>0.01</v>
      </c>
      <c r="AU279">
        <v>0.02</v>
      </c>
      <c r="AV279">
        <v>2.2200000000000002</v>
      </c>
      <c r="AW279">
        <v>1.22</v>
      </c>
      <c r="AX279">
        <v>0.21</v>
      </c>
      <c r="AY279">
        <v>0.53</v>
      </c>
      <c r="AZ279">
        <v>0</v>
      </c>
      <c r="BA279">
        <v>0.99</v>
      </c>
      <c r="BB279">
        <v>0.08</v>
      </c>
      <c r="BC279">
        <v>0.15</v>
      </c>
      <c r="BD279">
        <v>0.27</v>
      </c>
      <c r="BE279">
        <v>6.28</v>
      </c>
      <c r="BF279">
        <v>5.59</v>
      </c>
      <c r="BG279">
        <v>0.24</v>
      </c>
      <c r="BH279">
        <v>0.45</v>
      </c>
      <c r="BI279">
        <v>0</v>
      </c>
      <c r="BJ279">
        <v>0.04</v>
      </c>
      <c r="BK279">
        <v>5.55</v>
      </c>
      <c r="BL279">
        <v>0</v>
      </c>
      <c r="BM279">
        <v>1.76</v>
      </c>
      <c r="BN279">
        <v>0.21</v>
      </c>
      <c r="BO279">
        <v>0.46</v>
      </c>
      <c r="BP279">
        <v>1.0900000000000001</v>
      </c>
      <c r="BQ279">
        <v>0.92</v>
      </c>
      <c r="BR279">
        <v>0.06</v>
      </c>
      <c r="BS279">
        <v>0.11</v>
      </c>
      <c r="BT279">
        <v>0</v>
      </c>
      <c r="BU279">
        <v>6.68</v>
      </c>
      <c r="BV279">
        <v>5.62</v>
      </c>
      <c r="BW279">
        <v>0.34</v>
      </c>
      <c r="BX279">
        <v>0.72</v>
      </c>
      <c r="BY279">
        <v>0</v>
      </c>
      <c r="BZ279">
        <v>0.04</v>
      </c>
      <c r="CA279">
        <v>5.58</v>
      </c>
      <c r="CB279">
        <v>0</v>
      </c>
      <c r="CC279">
        <f t="shared" si="8"/>
        <v>2.75</v>
      </c>
      <c r="CD279">
        <v>3.96</v>
      </c>
      <c r="CE279">
        <v>0.34230769230769231</v>
      </c>
      <c r="CF279">
        <v>0.44500000000000001</v>
      </c>
      <c r="CG279">
        <v>0.1492537313432836</v>
      </c>
      <c r="CH279">
        <v>0.13356643356643361</v>
      </c>
      <c r="CI279">
        <v>0</v>
      </c>
      <c r="CJ279">
        <v>16202</v>
      </c>
      <c r="CK279" t="s">
        <v>141</v>
      </c>
      <c r="CL279" t="s">
        <v>845</v>
      </c>
      <c r="CM279" t="s">
        <v>143</v>
      </c>
      <c r="CN279">
        <v>0.62523181047800003</v>
      </c>
      <c r="CO279">
        <v>122.01119826131681</v>
      </c>
      <c r="CP279">
        <v>278</v>
      </c>
      <c r="CQ279" t="s">
        <v>1308</v>
      </c>
      <c r="CR279">
        <v>213</v>
      </c>
      <c r="CS279" t="s">
        <v>1064</v>
      </c>
      <c r="CT279" t="s">
        <v>1063</v>
      </c>
      <c r="CU279" t="s">
        <v>837</v>
      </c>
      <c r="CV279" t="s">
        <v>1065</v>
      </c>
      <c r="CW279" t="s">
        <v>1066</v>
      </c>
      <c r="CX279" t="s">
        <v>1067</v>
      </c>
      <c r="CY279" t="s">
        <v>1068</v>
      </c>
      <c r="CZ279" t="s">
        <v>206</v>
      </c>
      <c r="DA279" t="s">
        <v>152</v>
      </c>
      <c r="DB279" t="s">
        <v>178</v>
      </c>
      <c r="DC279" t="s">
        <v>961</v>
      </c>
      <c r="DD279" t="s">
        <v>208</v>
      </c>
      <c r="DE279">
        <v>4436</v>
      </c>
      <c r="DF279">
        <v>-111.185568</v>
      </c>
      <c r="DG279">
        <v>41.139183000000003</v>
      </c>
      <c r="DH279">
        <v>6780</v>
      </c>
      <c r="DI279">
        <v>420</v>
      </c>
      <c r="DJ279">
        <v>2937</v>
      </c>
      <c r="DK279">
        <v>144</v>
      </c>
      <c r="DL279">
        <v>22</v>
      </c>
      <c r="DO279">
        <v>145</v>
      </c>
      <c r="DP279">
        <v>10</v>
      </c>
      <c r="DQ279">
        <v>200</v>
      </c>
      <c r="DS279" t="s">
        <v>1069</v>
      </c>
      <c r="DT279">
        <v>1.2500000000000001E-2</v>
      </c>
      <c r="DU279">
        <v>1.2500000000000001E-2</v>
      </c>
      <c r="DV279">
        <v>0.32500000000000001</v>
      </c>
      <c r="DW279">
        <v>0.32500000000000001</v>
      </c>
      <c r="DX279">
        <v>0.32500000000000001</v>
      </c>
      <c r="DY279">
        <v>139.714835785247</v>
      </c>
      <c r="DZ279" s="4">
        <v>4.016</v>
      </c>
      <c r="EA279" s="4" t="s">
        <v>1309</v>
      </c>
      <c r="EB279" s="4" t="s">
        <v>1310</v>
      </c>
      <c r="EC279">
        <v>4.6689999999999996</v>
      </c>
      <c r="ED279">
        <v>43</v>
      </c>
      <c r="EE279" t="s">
        <v>1307</v>
      </c>
      <c r="EF279">
        <v>0.22666317329190069</v>
      </c>
      <c r="EH279">
        <f t="shared" si="9"/>
        <v>0.58000000000000007</v>
      </c>
      <c r="EI279">
        <v>3.38</v>
      </c>
      <c r="EJ279">
        <v>3.65</v>
      </c>
    </row>
    <row r="280" spans="1:140" x14ac:dyDescent="0.35">
      <c r="A280" s="1">
        <v>278</v>
      </c>
      <c r="B280">
        <v>-113.084248861482</v>
      </c>
      <c r="C280">
        <v>44.331919533390277</v>
      </c>
      <c r="D280" t="s">
        <v>1465</v>
      </c>
      <c r="E280">
        <v>0.1</v>
      </c>
      <c r="F280" t="s">
        <v>306</v>
      </c>
      <c r="G280">
        <v>4.7399999999999998E-2</v>
      </c>
      <c r="H280" t="s">
        <v>161</v>
      </c>
      <c r="I280">
        <v>-12588481</v>
      </c>
      <c r="J280">
        <v>5516952</v>
      </c>
      <c r="K280" t="s">
        <v>1304</v>
      </c>
      <c r="L280" t="s">
        <v>1466</v>
      </c>
      <c r="M280">
        <v>30</v>
      </c>
      <c r="N280">
        <v>4.0960000000000001</v>
      </c>
      <c r="O280">
        <v>4</v>
      </c>
      <c r="P280">
        <v>8</v>
      </c>
      <c r="Q280">
        <v>16</v>
      </c>
      <c r="R280">
        <v>59</v>
      </c>
      <c r="S280">
        <v>7976</v>
      </c>
      <c r="T280" t="s">
        <v>1306</v>
      </c>
      <c r="U280">
        <v>5.8816805527331848</v>
      </c>
      <c r="V280" t="s">
        <v>1304</v>
      </c>
      <c r="W280">
        <v>9.5100000000000004E-2</v>
      </c>
      <c r="X280">
        <v>10</v>
      </c>
      <c r="Y280">
        <v>8.9</v>
      </c>
      <c r="Z280">
        <v>8.9</v>
      </c>
      <c r="AA280">
        <v>20</v>
      </c>
      <c r="AB280">
        <v>26</v>
      </c>
      <c r="AC280">
        <v>0.38200000000000001</v>
      </c>
      <c r="AD280">
        <v>67</v>
      </c>
      <c r="AE280">
        <v>6.0712015257469797E-2</v>
      </c>
      <c r="AF280">
        <v>2.86</v>
      </c>
      <c r="AG280" t="s">
        <v>1306</v>
      </c>
      <c r="AH280" t="s">
        <v>1304</v>
      </c>
      <c r="AI280">
        <v>38</v>
      </c>
      <c r="AJ280">
        <v>1.266666666666667E-2</v>
      </c>
      <c r="AK280">
        <v>12.66666666666667</v>
      </c>
      <c r="AL280" t="s">
        <v>1319</v>
      </c>
      <c r="AM280">
        <v>15247.310145462779</v>
      </c>
      <c r="AN280">
        <v>1.27</v>
      </c>
      <c r="AO280">
        <v>0.09</v>
      </c>
      <c r="AP280">
        <v>0.19</v>
      </c>
      <c r="AQ280">
        <v>0.99</v>
      </c>
      <c r="AR280">
        <v>0.93</v>
      </c>
      <c r="AS280">
        <v>0.04</v>
      </c>
      <c r="AT280">
        <v>0.01</v>
      </c>
      <c r="AU280">
        <v>0.02</v>
      </c>
      <c r="AV280">
        <v>2.2200000000000002</v>
      </c>
      <c r="AW280">
        <v>1.22</v>
      </c>
      <c r="AX280">
        <v>0.21</v>
      </c>
      <c r="AY280">
        <v>0.53</v>
      </c>
      <c r="AZ280">
        <v>0</v>
      </c>
      <c r="BA280">
        <v>0.99</v>
      </c>
      <c r="BB280">
        <v>0.08</v>
      </c>
      <c r="BC280">
        <v>0.15</v>
      </c>
      <c r="BD280">
        <v>0.27</v>
      </c>
      <c r="BE280">
        <v>6.28</v>
      </c>
      <c r="BF280">
        <v>5.59</v>
      </c>
      <c r="BG280">
        <v>0.24</v>
      </c>
      <c r="BH280">
        <v>0.45</v>
      </c>
      <c r="BI280">
        <v>0</v>
      </c>
      <c r="BJ280">
        <v>0.04</v>
      </c>
      <c r="BK280">
        <v>5.55</v>
      </c>
      <c r="BL280">
        <v>0</v>
      </c>
      <c r="BM280">
        <v>1.76</v>
      </c>
      <c r="BN280">
        <v>0.21</v>
      </c>
      <c r="BO280">
        <v>0.46</v>
      </c>
      <c r="BP280">
        <v>1.0900000000000001</v>
      </c>
      <c r="BQ280">
        <v>0.92</v>
      </c>
      <c r="BR280">
        <v>0.06</v>
      </c>
      <c r="BS280">
        <v>0.11</v>
      </c>
      <c r="BT280">
        <v>0</v>
      </c>
      <c r="BU280">
        <v>6.68</v>
      </c>
      <c r="BV280">
        <v>5.62</v>
      </c>
      <c r="BW280">
        <v>0.34</v>
      </c>
      <c r="BX280">
        <v>0.72</v>
      </c>
      <c r="BY280">
        <v>0</v>
      </c>
      <c r="BZ280">
        <v>0.04</v>
      </c>
      <c r="CA280">
        <v>5.58</v>
      </c>
      <c r="CB280">
        <v>0</v>
      </c>
      <c r="CC280">
        <f t="shared" si="8"/>
        <v>2.75</v>
      </c>
      <c r="CD280">
        <v>3.96</v>
      </c>
      <c r="CE280">
        <v>0.34230769230769231</v>
      </c>
      <c r="CF280">
        <v>0.44500000000000001</v>
      </c>
      <c r="CG280">
        <v>0.1492537313432836</v>
      </c>
      <c r="CH280">
        <v>0.13356643356643361</v>
      </c>
      <c r="CI280">
        <v>0</v>
      </c>
      <c r="CJ280">
        <v>16095</v>
      </c>
      <c r="CK280" t="s">
        <v>169</v>
      </c>
      <c r="CL280" t="s">
        <v>1467</v>
      </c>
      <c r="CM280" t="s">
        <v>143</v>
      </c>
      <c r="CN280">
        <v>0.171693381348</v>
      </c>
      <c r="CO280">
        <v>81.124999225350564</v>
      </c>
      <c r="CP280">
        <v>279</v>
      </c>
      <c r="CQ280" t="s">
        <v>1063</v>
      </c>
      <c r="CR280">
        <v>213</v>
      </c>
      <c r="CS280" t="s">
        <v>1064</v>
      </c>
      <c r="CT280" t="s">
        <v>1063</v>
      </c>
      <c r="CU280" t="s">
        <v>837</v>
      </c>
      <c r="CV280" t="s">
        <v>1065</v>
      </c>
      <c r="CW280" t="s">
        <v>1066</v>
      </c>
      <c r="CX280" t="s">
        <v>1067</v>
      </c>
      <c r="CY280" t="s">
        <v>1068</v>
      </c>
      <c r="CZ280" t="s">
        <v>206</v>
      </c>
      <c r="DA280" t="s">
        <v>152</v>
      </c>
      <c r="DB280" t="s">
        <v>178</v>
      </c>
      <c r="DC280" t="s">
        <v>961</v>
      </c>
      <c r="DD280" t="s">
        <v>208</v>
      </c>
      <c r="DE280">
        <v>4436</v>
      </c>
      <c r="DF280">
        <v>-111.185568</v>
      </c>
      <c r="DG280">
        <v>41.139183000000003</v>
      </c>
      <c r="DH280">
        <v>6780</v>
      </c>
      <c r="DI280">
        <v>420</v>
      </c>
      <c r="DJ280">
        <v>2937</v>
      </c>
      <c r="DK280">
        <v>144</v>
      </c>
      <c r="DL280">
        <v>22</v>
      </c>
      <c r="DO280">
        <v>145</v>
      </c>
      <c r="DP280">
        <v>10</v>
      </c>
      <c r="DQ280">
        <v>200</v>
      </c>
      <c r="DS280" t="s">
        <v>1069</v>
      </c>
      <c r="DT280">
        <v>1.2500000000000001E-2</v>
      </c>
      <c r="DU280">
        <v>1.2500000000000001E-2</v>
      </c>
      <c r="DV280">
        <v>0.32500000000000001</v>
      </c>
      <c r="DW280">
        <v>0.32500000000000001</v>
      </c>
      <c r="DX280">
        <v>0.32500000000000001</v>
      </c>
      <c r="DY280">
        <v>172.35029498189789</v>
      </c>
      <c r="DZ280" s="4">
        <v>4.016</v>
      </c>
      <c r="EA280" s="4" t="s">
        <v>1309</v>
      </c>
      <c r="EB280" s="4" t="s">
        <v>1310</v>
      </c>
      <c r="EC280">
        <v>4.6689999999999996</v>
      </c>
      <c r="ED280">
        <v>418</v>
      </c>
      <c r="EE280" t="s">
        <v>1319</v>
      </c>
      <c r="EF280">
        <v>9.8056592502704071E-2</v>
      </c>
      <c r="EH280">
        <f t="shared" si="9"/>
        <v>0.58000000000000007</v>
      </c>
      <c r="EI280">
        <v>3.38</v>
      </c>
      <c r="EJ280">
        <v>3.65</v>
      </c>
    </row>
    <row r="281" spans="1:140" x14ac:dyDescent="0.35">
      <c r="A281" s="1">
        <v>279</v>
      </c>
      <c r="B281">
        <v>-111.2876182932429</v>
      </c>
      <c r="C281">
        <v>44.331919533390277</v>
      </c>
      <c r="D281" t="s">
        <v>1468</v>
      </c>
      <c r="E281">
        <v>0.1</v>
      </c>
      <c r="F281" t="s">
        <v>135</v>
      </c>
      <c r="G281">
        <v>4.7399999999999998E-2</v>
      </c>
      <c r="H281" t="s">
        <v>136</v>
      </c>
      <c r="I281">
        <v>-12388481</v>
      </c>
      <c r="J281">
        <v>5516952</v>
      </c>
      <c r="K281" t="s">
        <v>1304</v>
      </c>
      <c r="L281" t="s">
        <v>1321</v>
      </c>
      <c r="M281">
        <v>22</v>
      </c>
      <c r="N281">
        <v>4.4459999999999997</v>
      </c>
      <c r="O281">
        <v>4</v>
      </c>
      <c r="P281">
        <v>8</v>
      </c>
      <c r="Q281">
        <v>16</v>
      </c>
      <c r="R281">
        <v>43</v>
      </c>
      <c r="S281">
        <v>13383</v>
      </c>
      <c r="T281" t="s">
        <v>1306</v>
      </c>
      <c r="U281">
        <v>5.8816805527331848</v>
      </c>
      <c r="V281" t="s">
        <v>1304</v>
      </c>
      <c r="W281">
        <v>9.5100000000000004E-2</v>
      </c>
      <c r="X281">
        <v>10</v>
      </c>
      <c r="Y281">
        <v>8.9</v>
      </c>
      <c r="Z281">
        <v>8.9</v>
      </c>
      <c r="AA281">
        <v>20</v>
      </c>
      <c r="AB281">
        <v>26</v>
      </c>
      <c r="AC281">
        <v>0.38200000000000001</v>
      </c>
      <c r="AD281">
        <v>67</v>
      </c>
      <c r="AE281">
        <v>6.0712015257469797E-2</v>
      </c>
      <c r="AF281">
        <v>2.86</v>
      </c>
      <c r="AG281" t="s">
        <v>1306</v>
      </c>
      <c r="AH281" t="s">
        <v>1304</v>
      </c>
      <c r="AI281">
        <v>38</v>
      </c>
      <c r="AJ281">
        <v>1.266666666666667E-2</v>
      </c>
      <c r="AK281">
        <v>12.66666666666667</v>
      </c>
      <c r="AL281" t="s">
        <v>1469</v>
      </c>
      <c r="AM281">
        <v>0</v>
      </c>
      <c r="AN281">
        <v>1.27</v>
      </c>
      <c r="AO281">
        <v>0.09</v>
      </c>
      <c r="AP281">
        <v>0.19</v>
      </c>
      <c r="AQ281">
        <v>0.99</v>
      </c>
      <c r="AR281">
        <v>0.93</v>
      </c>
      <c r="AS281">
        <v>0.04</v>
      </c>
      <c r="AT281">
        <v>0.01</v>
      </c>
      <c r="AU281">
        <v>0.02</v>
      </c>
      <c r="AV281">
        <v>2.2200000000000002</v>
      </c>
      <c r="AW281">
        <v>1.22</v>
      </c>
      <c r="AX281">
        <v>0.21</v>
      </c>
      <c r="AY281">
        <v>0.53</v>
      </c>
      <c r="AZ281">
        <v>0</v>
      </c>
      <c r="BA281">
        <v>0.99</v>
      </c>
      <c r="BB281">
        <v>0.08</v>
      </c>
      <c r="BC281">
        <v>0.15</v>
      </c>
      <c r="BD281">
        <v>0.27</v>
      </c>
      <c r="BE281">
        <v>6.28</v>
      </c>
      <c r="BF281">
        <v>5.59</v>
      </c>
      <c r="BG281">
        <v>0.24</v>
      </c>
      <c r="BH281">
        <v>0.45</v>
      </c>
      <c r="BI281">
        <v>0</v>
      </c>
      <c r="BJ281">
        <v>0.04</v>
      </c>
      <c r="BK281">
        <v>5.55</v>
      </c>
      <c r="BL281">
        <v>0</v>
      </c>
      <c r="BM281">
        <v>1.76</v>
      </c>
      <c r="BN281">
        <v>0.21</v>
      </c>
      <c r="BO281">
        <v>0.46</v>
      </c>
      <c r="BP281">
        <v>1.0900000000000001</v>
      </c>
      <c r="BQ281">
        <v>0.92</v>
      </c>
      <c r="BR281">
        <v>0.06</v>
      </c>
      <c r="BS281">
        <v>0.11</v>
      </c>
      <c r="BT281">
        <v>0</v>
      </c>
      <c r="BU281">
        <v>6.68</v>
      </c>
      <c r="BV281">
        <v>5.62</v>
      </c>
      <c r="BW281">
        <v>0.34</v>
      </c>
      <c r="BX281">
        <v>0.72</v>
      </c>
      <c r="BY281">
        <v>0</v>
      </c>
      <c r="BZ281">
        <v>0.04</v>
      </c>
      <c r="CA281">
        <v>5.58</v>
      </c>
      <c r="CB281">
        <v>0</v>
      </c>
      <c r="CC281">
        <f t="shared" si="8"/>
        <v>2.75</v>
      </c>
      <c r="CD281">
        <v>3.96</v>
      </c>
      <c r="CE281">
        <v>0.34230769230769231</v>
      </c>
      <c r="CF281">
        <v>0.44500000000000001</v>
      </c>
      <c r="CG281">
        <v>0.1492537313432836</v>
      </c>
      <c r="CH281">
        <v>0.13356643356643361</v>
      </c>
      <c r="CI281">
        <v>0</v>
      </c>
      <c r="CJ281">
        <v>16095</v>
      </c>
      <c r="CK281" t="s">
        <v>169</v>
      </c>
      <c r="CL281" t="s">
        <v>1467</v>
      </c>
      <c r="CM281" t="s">
        <v>143</v>
      </c>
      <c r="CN281">
        <v>0.171693381348</v>
      </c>
      <c r="CO281">
        <v>123.8290590114137</v>
      </c>
      <c r="CP281">
        <v>280</v>
      </c>
      <c r="CQ281" t="s">
        <v>577</v>
      </c>
      <c r="CR281">
        <v>212</v>
      </c>
      <c r="CS281" t="s">
        <v>1326</v>
      </c>
      <c r="CT281" t="s">
        <v>1063</v>
      </c>
      <c r="CU281" t="s">
        <v>1194</v>
      </c>
      <c r="CV281" t="s">
        <v>1327</v>
      </c>
      <c r="CW281" t="s">
        <v>1066</v>
      </c>
      <c r="CX281" t="s">
        <v>1328</v>
      </c>
      <c r="CY281" t="s">
        <v>1329</v>
      </c>
      <c r="CZ281" t="s">
        <v>206</v>
      </c>
      <c r="DA281" t="s">
        <v>152</v>
      </c>
      <c r="DB281" t="s">
        <v>178</v>
      </c>
      <c r="DC281" t="s">
        <v>961</v>
      </c>
      <c r="DD281" t="s">
        <v>208</v>
      </c>
      <c r="DE281">
        <v>6902</v>
      </c>
      <c r="DF281">
        <v>-110.592718</v>
      </c>
      <c r="DG281">
        <v>41.988205999999998</v>
      </c>
      <c r="DH281">
        <v>6375</v>
      </c>
      <c r="DI281">
        <v>440</v>
      </c>
      <c r="DJ281">
        <v>2761</v>
      </c>
      <c r="DK281">
        <v>137</v>
      </c>
      <c r="DL281">
        <v>22</v>
      </c>
      <c r="DO281">
        <v>150</v>
      </c>
      <c r="DP281">
        <v>10</v>
      </c>
      <c r="DQ281">
        <v>200</v>
      </c>
      <c r="DS281" t="s">
        <v>1069</v>
      </c>
      <c r="DT281">
        <v>1.2500000000000001E-2</v>
      </c>
      <c r="DU281">
        <v>1.2500000000000001E-2</v>
      </c>
      <c r="DV281">
        <v>0.32500000000000001</v>
      </c>
      <c r="DW281">
        <v>0.32500000000000001</v>
      </c>
      <c r="DX281">
        <v>0.32500000000000001</v>
      </c>
      <c r="DY281">
        <v>82.627806821983427</v>
      </c>
      <c r="DZ281" s="4">
        <v>4.016</v>
      </c>
      <c r="EA281" s="4" t="s">
        <v>1309</v>
      </c>
      <c r="EB281" s="4" t="s">
        <v>1310</v>
      </c>
      <c r="EC281">
        <v>4.6689999999999996</v>
      </c>
      <c r="ED281">
        <v>286</v>
      </c>
      <c r="EE281" t="s">
        <v>1469</v>
      </c>
      <c r="EF281">
        <v>0</v>
      </c>
      <c r="EH281">
        <f t="shared" si="9"/>
        <v>0.58000000000000007</v>
      </c>
      <c r="EI281">
        <v>3.38</v>
      </c>
      <c r="EJ281">
        <v>3.65</v>
      </c>
    </row>
    <row r="282" spans="1:140" x14ac:dyDescent="0.35">
      <c r="A282" s="1">
        <v>280</v>
      </c>
      <c r="B282">
        <v>-109.4909877250039</v>
      </c>
      <c r="C282">
        <v>44.331919533390277</v>
      </c>
      <c r="D282" t="s">
        <v>1470</v>
      </c>
      <c r="E282">
        <v>0.1</v>
      </c>
      <c r="F282" t="s">
        <v>135</v>
      </c>
      <c r="G282">
        <v>8.6800000000000002E-2</v>
      </c>
      <c r="H282" t="s">
        <v>161</v>
      </c>
      <c r="I282">
        <v>-12188481</v>
      </c>
      <c r="J282">
        <v>5516952</v>
      </c>
      <c r="K282" t="s">
        <v>1192</v>
      </c>
      <c r="L282" t="s">
        <v>972</v>
      </c>
      <c r="M282">
        <v>15</v>
      </c>
      <c r="N282">
        <v>4.1989999999999998</v>
      </c>
      <c r="O282">
        <v>4</v>
      </c>
      <c r="P282">
        <v>8</v>
      </c>
      <c r="Q282">
        <v>56</v>
      </c>
      <c r="R282">
        <v>29</v>
      </c>
      <c r="S282">
        <v>29625</v>
      </c>
      <c r="T282" t="s">
        <v>1194</v>
      </c>
      <c r="U282">
        <v>5.4553299751975244</v>
      </c>
      <c r="V282" t="s">
        <v>1192</v>
      </c>
      <c r="W282">
        <v>9.1400000000000009E-2</v>
      </c>
      <c r="X282">
        <v>10</v>
      </c>
      <c r="Y282">
        <v>8.9</v>
      </c>
      <c r="Z282">
        <v>8.9</v>
      </c>
      <c r="AA282">
        <v>20</v>
      </c>
      <c r="AB282">
        <v>26</v>
      </c>
      <c r="AC282">
        <v>1.724</v>
      </c>
      <c r="AD282">
        <v>67</v>
      </c>
      <c r="AE282">
        <v>0.27399872854418311</v>
      </c>
      <c r="AF282">
        <v>2.86</v>
      </c>
      <c r="AG282" t="s">
        <v>1194</v>
      </c>
      <c r="AH282" t="s">
        <v>1192</v>
      </c>
      <c r="AI282">
        <v>53</v>
      </c>
      <c r="AJ282">
        <v>1.7666666666666671E-2</v>
      </c>
      <c r="AK282">
        <v>17.666666666666671</v>
      </c>
      <c r="AL282" t="s">
        <v>1322</v>
      </c>
      <c r="AM282">
        <v>57772.166155842839</v>
      </c>
      <c r="AN282">
        <v>1.25</v>
      </c>
      <c r="AO282">
        <v>0.09</v>
      </c>
      <c r="AP282">
        <v>0.19</v>
      </c>
      <c r="AQ282">
        <v>0.96</v>
      </c>
      <c r="AR282">
        <v>0.86</v>
      </c>
      <c r="AS282">
        <v>0.09</v>
      </c>
      <c r="AT282">
        <v>0.01</v>
      </c>
      <c r="AU282">
        <v>0.02</v>
      </c>
      <c r="AV282">
        <v>2.21</v>
      </c>
      <c r="AW282">
        <v>1.21</v>
      </c>
      <c r="AX282">
        <v>0.21</v>
      </c>
      <c r="AY282">
        <v>0.53</v>
      </c>
      <c r="AZ282">
        <v>0</v>
      </c>
      <c r="BA282">
        <v>0.92</v>
      </c>
      <c r="BB282">
        <v>0.16</v>
      </c>
      <c r="BC282">
        <v>0.14000000000000001</v>
      </c>
      <c r="BD282">
        <v>0.27</v>
      </c>
      <c r="BE282">
        <v>5.76</v>
      </c>
      <c r="BF282">
        <v>5.07</v>
      </c>
      <c r="BG282">
        <v>0.24</v>
      </c>
      <c r="BH282">
        <v>0.45</v>
      </c>
      <c r="BI282">
        <v>0</v>
      </c>
      <c r="BJ282">
        <v>0.08</v>
      </c>
      <c r="BK282">
        <v>4.99</v>
      </c>
      <c r="BL282">
        <v>0</v>
      </c>
      <c r="BM282">
        <v>1.74</v>
      </c>
      <c r="BN282">
        <v>0.21</v>
      </c>
      <c r="BO282">
        <v>0.46</v>
      </c>
      <c r="BP282">
        <v>1.07</v>
      </c>
      <c r="BQ282">
        <v>0.85</v>
      </c>
      <c r="BR282">
        <v>0.12</v>
      </c>
      <c r="BS282">
        <v>0.1</v>
      </c>
      <c r="BT282">
        <v>0</v>
      </c>
      <c r="BU282">
        <v>6.16</v>
      </c>
      <c r="BV282">
        <v>5.0999999999999996</v>
      </c>
      <c r="BW282">
        <v>0.34</v>
      </c>
      <c r="BX282">
        <v>0.72</v>
      </c>
      <c r="BY282">
        <v>0</v>
      </c>
      <c r="BZ282">
        <v>0.08</v>
      </c>
      <c r="CA282">
        <v>5.0199999999999996</v>
      </c>
      <c r="CB282">
        <v>0</v>
      </c>
      <c r="CC282">
        <f t="shared" si="8"/>
        <v>2.75</v>
      </c>
      <c r="CD282">
        <v>3.96</v>
      </c>
      <c r="CE282">
        <v>0.34230769230769231</v>
      </c>
      <c r="CF282">
        <v>0.44500000000000001</v>
      </c>
      <c r="CG282">
        <v>0.1492537313432836</v>
      </c>
      <c r="CH282">
        <v>0.60279720279720284</v>
      </c>
      <c r="CI282">
        <v>0</v>
      </c>
      <c r="CJ282">
        <v>3398</v>
      </c>
      <c r="CK282" t="s">
        <v>141</v>
      </c>
      <c r="CL282" t="s">
        <v>738</v>
      </c>
      <c r="CM282" t="s">
        <v>143</v>
      </c>
      <c r="CN282">
        <v>0.36083515571500002</v>
      </c>
      <c r="CO282">
        <v>37.772253024282882</v>
      </c>
      <c r="CP282">
        <v>281</v>
      </c>
      <c r="CQ282" t="s">
        <v>1471</v>
      </c>
      <c r="CR282">
        <v>122</v>
      </c>
      <c r="CS282" t="s">
        <v>1472</v>
      </c>
      <c r="CT282" t="s">
        <v>1359</v>
      </c>
      <c r="CU282" t="s">
        <v>1194</v>
      </c>
      <c r="CV282" t="s">
        <v>1348</v>
      </c>
      <c r="CW282" t="s">
        <v>1349</v>
      </c>
      <c r="CX282" t="s">
        <v>1350</v>
      </c>
      <c r="CY282" t="s">
        <v>1351</v>
      </c>
      <c r="CZ282" t="s">
        <v>1352</v>
      </c>
      <c r="DA282" t="s">
        <v>152</v>
      </c>
      <c r="DB282" t="s">
        <v>178</v>
      </c>
      <c r="DC282" t="s">
        <v>961</v>
      </c>
      <c r="DD282" t="s">
        <v>203</v>
      </c>
      <c r="DE282">
        <v>9960</v>
      </c>
      <c r="DF282">
        <v>-105.72309300000001</v>
      </c>
      <c r="DG282">
        <v>43.969281000000002</v>
      </c>
      <c r="DH282">
        <v>11000</v>
      </c>
      <c r="DI282">
        <v>295</v>
      </c>
      <c r="DL282">
        <v>16</v>
      </c>
      <c r="DM282">
        <v>12</v>
      </c>
      <c r="DN282">
        <v>24</v>
      </c>
      <c r="DO282">
        <v>60</v>
      </c>
      <c r="DP282">
        <v>3</v>
      </c>
      <c r="DQ282">
        <v>80</v>
      </c>
      <c r="DS282" t="s">
        <v>1473</v>
      </c>
      <c r="DT282">
        <v>1.2500000000000001E-2</v>
      </c>
      <c r="DU282">
        <v>1.2500000000000001E-2</v>
      </c>
      <c r="DV282">
        <v>0.32500000000000001</v>
      </c>
      <c r="DW282">
        <v>0.32500000000000001</v>
      </c>
      <c r="DX282">
        <v>0.32500000000000001</v>
      </c>
      <c r="DY282">
        <v>20.78185490902651</v>
      </c>
      <c r="DZ282" s="4">
        <v>3.871</v>
      </c>
      <c r="EA282" s="4" t="s">
        <v>1199</v>
      </c>
      <c r="EB282" s="4" t="s">
        <v>1200</v>
      </c>
      <c r="EC282">
        <v>4.5510000000000002</v>
      </c>
      <c r="ED282">
        <v>274</v>
      </c>
      <c r="EE282" t="s">
        <v>1322</v>
      </c>
      <c r="EF282">
        <v>0.37410764677808778</v>
      </c>
      <c r="EH282">
        <f t="shared" si="9"/>
        <v>0.58000000000000007</v>
      </c>
      <c r="EI282">
        <v>3.38</v>
      </c>
      <c r="EJ282">
        <v>3.65</v>
      </c>
    </row>
    <row r="283" spans="1:140" x14ac:dyDescent="0.35">
      <c r="A283" s="1">
        <v>281</v>
      </c>
      <c r="B283">
        <v>-107.6943571567648</v>
      </c>
      <c r="C283">
        <v>44.331919533390277</v>
      </c>
      <c r="D283" t="s">
        <v>1474</v>
      </c>
      <c r="E283">
        <v>0.02</v>
      </c>
      <c r="F283" t="s">
        <v>160</v>
      </c>
      <c r="G283">
        <v>8.6800000000000002E-2</v>
      </c>
      <c r="H283" t="s">
        <v>161</v>
      </c>
      <c r="I283">
        <v>-11988481</v>
      </c>
      <c r="J283">
        <v>5516952</v>
      </c>
      <c r="K283" t="s">
        <v>1192</v>
      </c>
      <c r="L283" t="s">
        <v>1475</v>
      </c>
      <c r="M283">
        <v>2</v>
      </c>
      <c r="N283">
        <v>3.9089999999999998</v>
      </c>
      <c r="O283">
        <v>4</v>
      </c>
      <c r="P283">
        <v>8</v>
      </c>
      <c r="Q283">
        <v>56</v>
      </c>
      <c r="R283">
        <v>3</v>
      </c>
      <c r="S283">
        <v>11521</v>
      </c>
      <c r="T283" t="s">
        <v>1194</v>
      </c>
      <c r="U283">
        <v>5.4553299751975244</v>
      </c>
      <c r="V283" t="s">
        <v>1192</v>
      </c>
      <c r="W283">
        <v>9.1400000000000009E-2</v>
      </c>
      <c r="X283">
        <v>10</v>
      </c>
      <c r="Y283">
        <v>8.9</v>
      </c>
      <c r="Z283">
        <v>8.9</v>
      </c>
      <c r="AA283">
        <v>20</v>
      </c>
      <c r="AB283">
        <v>26</v>
      </c>
      <c r="AC283">
        <v>1.724</v>
      </c>
      <c r="AD283">
        <v>67</v>
      </c>
      <c r="AE283">
        <v>0.27399872854418311</v>
      </c>
      <c r="AF283">
        <v>2.86</v>
      </c>
      <c r="AG283" t="s">
        <v>1194</v>
      </c>
      <c r="AH283" t="s">
        <v>1192</v>
      </c>
      <c r="AI283">
        <v>53</v>
      </c>
      <c r="AJ283">
        <v>1.7666666666666671E-2</v>
      </c>
      <c r="AK283">
        <v>17.666666666666671</v>
      </c>
      <c r="AL283" t="s">
        <v>1476</v>
      </c>
      <c r="AM283">
        <v>50393.326163523772</v>
      </c>
      <c r="AN283">
        <v>1.25</v>
      </c>
      <c r="AO283">
        <v>0.09</v>
      </c>
      <c r="AP283">
        <v>0.19</v>
      </c>
      <c r="AQ283">
        <v>0.96</v>
      </c>
      <c r="AR283">
        <v>0.86</v>
      </c>
      <c r="AS283">
        <v>0.09</v>
      </c>
      <c r="AT283">
        <v>0.01</v>
      </c>
      <c r="AU283">
        <v>0.02</v>
      </c>
      <c r="AV283">
        <v>2.21</v>
      </c>
      <c r="AW283">
        <v>1.21</v>
      </c>
      <c r="AX283">
        <v>0.21</v>
      </c>
      <c r="AY283">
        <v>0.53</v>
      </c>
      <c r="AZ283">
        <v>0</v>
      </c>
      <c r="BA283">
        <v>0.92</v>
      </c>
      <c r="BB283">
        <v>0.16</v>
      </c>
      <c r="BC283">
        <v>0.14000000000000001</v>
      </c>
      <c r="BD283">
        <v>0.27</v>
      </c>
      <c r="BE283">
        <v>5.76</v>
      </c>
      <c r="BF283">
        <v>5.07</v>
      </c>
      <c r="BG283">
        <v>0.24</v>
      </c>
      <c r="BH283">
        <v>0.45</v>
      </c>
      <c r="BI283">
        <v>0</v>
      </c>
      <c r="BJ283">
        <v>0.08</v>
      </c>
      <c r="BK283">
        <v>4.99</v>
      </c>
      <c r="BL283">
        <v>0</v>
      </c>
      <c r="BM283">
        <v>1.74</v>
      </c>
      <c r="BN283">
        <v>0.21</v>
      </c>
      <c r="BO283">
        <v>0.46</v>
      </c>
      <c r="BP283">
        <v>1.07</v>
      </c>
      <c r="BQ283">
        <v>0.85</v>
      </c>
      <c r="BR283">
        <v>0.12</v>
      </c>
      <c r="BS283">
        <v>0.1</v>
      </c>
      <c r="BT283">
        <v>0</v>
      </c>
      <c r="BU283">
        <v>6.16</v>
      </c>
      <c r="BV283">
        <v>5.0999999999999996</v>
      </c>
      <c r="BW283">
        <v>0.34</v>
      </c>
      <c r="BX283">
        <v>0.72</v>
      </c>
      <c r="BY283">
        <v>0</v>
      </c>
      <c r="BZ283">
        <v>0.08</v>
      </c>
      <c r="CA283">
        <v>5.0199999999999996</v>
      </c>
      <c r="CB283">
        <v>0</v>
      </c>
      <c r="CC283">
        <f t="shared" si="8"/>
        <v>2.75</v>
      </c>
      <c r="CD283">
        <v>3.96</v>
      </c>
      <c r="CE283">
        <v>0.34230769230769231</v>
      </c>
      <c r="CF283">
        <v>0.44500000000000001</v>
      </c>
      <c r="CG283">
        <v>0.1492537313432836</v>
      </c>
      <c r="CH283">
        <v>0.60279720279720284</v>
      </c>
      <c r="CI283">
        <v>0</v>
      </c>
      <c r="CJ283">
        <v>26941</v>
      </c>
      <c r="CK283" t="s">
        <v>141</v>
      </c>
      <c r="CL283" t="s">
        <v>1365</v>
      </c>
      <c r="CM283" t="s">
        <v>143</v>
      </c>
      <c r="CN283">
        <v>0.78268189213399997</v>
      </c>
      <c r="CO283">
        <v>21.135621800697809</v>
      </c>
      <c r="CP283">
        <v>282</v>
      </c>
      <c r="CQ283" t="s">
        <v>1063</v>
      </c>
      <c r="CR283">
        <v>122</v>
      </c>
      <c r="CS283" t="s">
        <v>1472</v>
      </c>
      <c r="CT283" t="s">
        <v>1359</v>
      </c>
      <c r="CU283" t="s">
        <v>1194</v>
      </c>
      <c r="CV283" t="s">
        <v>1348</v>
      </c>
      <c r="CW283" t="s">
        <v>1349</v>
      </c>
      <c r="CX283" t="s">
        <v>1350</v>
      </c>
      <c r="CY283" t="s">
        <v>1351</v>
      </c>
      <c r="CZ283" t="s">
        <v>1352</v>
      </c>
      <c r="DA283" t="s">
        <v>152</v>
      </c>
      <c r="DB283" t="s">
        <v>178</v>
      </c>
      <c r="DC283" t="s">
        <v>961</v>
      </c>
      <c r="DD283" t="s">
        <v>203</v>
      </c>
      <c r="DE283">
        <v>9960</v>
      </c>
      <c r="DF283">
        <v>-105.72309300000001</v>
      </c>
      <c r="DG283">
        <v>43.969281000000002</v>
      </c>
      <c r="DH283">
        <v>11000</v>
      </c>
      <c r="DI283">
        <v>295</v>
      </c>
      <c r="DL283">
        <v>16</v>
      </c>
      <c r="DM283">
        <v>12</v>
      </c>
      <c r="DN283">
        <v>24</v>
      </c>
      <c r="DO283">
        <v>60</v>
      </c>
      <c r="DP283">
        <v>3</v>
      </c>
      <c r="DQ283">
        <v>80</v>
      </c>
      <c r="DS283" t="s">
        <v>1473</v>
      </c>
      <c r="DT283">
        <v>1.2500000000000001E-2</v>
      </c>
      <c r="DU283">
        <v>1.2500000000000001E-2</v>
      </c>
      <c r="DV283">
        <v>0.32500000000000001</v>
      </c>
      <c r="DW283">
        <v>0.32500000000000001</v>
      </c>
      <c r="DX283">
        <v>0.32500000000000001</v>
      </c>
      <c r="DY283">
        <v>0</v>
      </c>
      <c r="DZ283" s="4">
        <v>3.871</v>
      </c>
      <c r="EA283" s="4" t="s">
        <v>1199</v>
      </c>
      <c r="EB283" s="4" t="s">
        <v>1200</v>
      </c>
      <c r="EC283">
        <v>4.5510000000000002</v>
      </c>
      <c r="ED283">
        <v>188</v>
      </c>
      <c r="EE283" t="s">
        <v>1476</v>
      </c>
      <c r="EF283">
        <v>0.3454680387381589</v>
      </c>
      <c r="EH283">
        <f t="shared" si="9"/>
        <v>0.58000000000000007</v>
      </c>
      <c r="EI283">
        <v>3.38</v>
      </c>
      <c r="EJ283">
        <v>3.65</v>
      </c>
    </row>
    <row r="284" spans="1:140" x14ac:dyDescent="0.35">
      <c r="A284" s="1">
        <v>282</v>
      </c>
      <c r="B284">
        <v>-105.8977265885258</v>
      </c>
      <c r="C284">
        <v>44.331919533390277</v>
      </c>
      <c r="D284" t="s">
        <v>1477</v>
      </c>
      <c r="E284">
        <v>0.02</v>
      </c>
      <c r="F284" t="s">
        <v>160</v>
      </c>
      <c r="G284">
        <v>0.1232</v>
      </c>
      <c r="H284" t="s">
        <v>161</v>
      </c>
      <c r="I284">
        <v>-11788481</v>
      </c>
      <c r="J284">
        <v>5516952</v>
      </c>
      <c r="K284" t="s">
        <v>1192</v>
      </c>
      <c r="L284" t="s">
        <v>1016</v>
      </c>
      <c r="M284">
        <v>3</v>
      </c>
      <c r="N284">
        <v>3.6989999999999998</v>
      </c>
      <c r="O284">
        <v>4</v>
      </c>
      <c r="P284">
        <v>8</v>
      </c>
      <c r="Q284">
        <v>56</v>
      </c>
      <c r="R284">
        <v>5</v>
      </c>
      <c r="S284">
        <v>47027</v>
      </c>
      <c r="T284" t="s">
        <v>1194</v>
      </c>
      <c r="U284">
        <v>5.4553299751975244</v>
      </c>
      <c r="V284" t="s">
        <v>1192</v>
      </c>
      <c r="W284">
        <v>9.1400000000000009E-2</v>
      </c>
      <c r="X284">
        <v>10</v>
      </c>
      <c r="Y284">
        <v>8.9</v>
      </c>
      <c r="Z284">
        <v>8.9</v>
      </c>
      <c r="AA284">
        <v>20</v>
      </c>
      <c r="AB284">
        <v>26</v>
      </c>
      <c r="AC284">
        <v>1.724</v>
      </c>
      <c r="AD284">
        <v>67</v>
      </c>
      <c r="AE284">
        <v>0.27399872854418311</v>
      </c>
      <c r="AF284">
        <v>2.86</v>
      </c>
      <c r="AG284" t="s">
        <v>1194</v>
      </c>
      <c r="AH284" t="s">
        <v>1192</v>
      </c>
      <c r="AI284">
        <v>53</v>
      </c>
      <c r="AJ284">
        <v>1.7666666666666671E-2</v>
      </c>
      <c r="AK284">
        <v>17.666666666666671</v>
      </c>
      <c r="AL284" t="s">
        <v>1478</v>
      </c>
      <c r="AM284">
        <v>0</v>
      </c>
      <c r="AN284">
        <v>1.25</v>
      </c>
      <c r="AO284">
        <v>0.09</v>
      </c>
      <c r="AP284">
        <v>0.19</v>
      </c>
      <c r="AQ284">
        <v>0.96</v>
      </c>
      <c r="AR284">
        <v>0.86</v>
      </c>
      <c r="AS284">
        <v>0.09</v>
      </c>
      <c r="AT284">
        <v>0.01</v>
      </c>
      <c r="AU284">
        <v>0.02</v>
      </c>
      <c r="AV284">
        <v>2.21</v>
      </c>
      <c r="AW284">
        <v>1.21</v>
      </c>
      <c r="AX284">
        <v>0.21</v>
      </c>
      <c r="AY284">
        <v>0.53</v>
      </c>
      <c r="AZ284">
        <v>0</v>
      </c>
      <c r="BA284">
        <v>0.92</v>
      </c>
      <c r="BB284">
        <v>0.16</v>
      </c>
      <c r="BC284">
        <v>0.14000000000000001</v>
      </c>
      <c r="BD284">
        <v>0.27</v>
      </c>
      <c r="BE284">
        <v>5.76</v>
      </c>
      <c r="BF284">
        <v>5.07</v>
      </c>
      <c r="BG284">
        <v>0.24</v>
      </c>
      <c r="BH284">
        <v>0.45</v>
      </c>
      <c r="BI284">
        <v>0</v>
      </c>
      <c r="BJ284">
        <v>0.08</v>
      </c>
      <c r="BK284">
        <v>4.99</v>
      </c>
      <c r="BL284">
        <v>0</v>
      </c>
      <c r="BM284">
        <v>1.74</v>
      </c>
      <c r="BN284">
        <v>0.21</v>
      </c>
      <c r="BO284">
        <v>0.46</v>
      </c>
      <c r="BP284">
        <v>1.07</v>
      </c>
      <c r="BQ284">
        <v>0.85</v>
      </c>
      <c r="BR284">
        <v>0.12</v>
      </c>
      <c r="BS284">
        <v>0.1</v>
      </c>
      <c r="BT284">
        <v>0</v>
      </c>
      <c r="BU284">
        <v>6.16</v>
      </c>
      <c r="BV284">
        <v>5.0999999999999996</v>
      </c>
      <c r="BW284">
        <v>0.34</v>
      </c>
      <c r="BX284">
        <v>0.72</v>
      </c>
      <c r="BY284">
        <v>0</v>
      </c>
      <c r="BZ284">
        <v>0.08</v>
      </c>
      <c r="CA284">
        <v>5.0199999999999996</v>
      </c>
      <c r="CB284">
        <v>0</v>
      </c>
      <c r="CC284">
        <f t="shared" si="8"/>
        <v>2.75</v>
      </c>
      <c r="CD284">
        <v>3.96</v>
      </c>
      <c r="CE284">
        <v>0.34230769230769231</v>
      </c>
      <c r="CF284">
        <v>0.44500000000000001</v>
      </c>
      <c r="CG284">
        <v>0.1492537313432836</v>
      </c>
      <c r="CH284">
        <v>0.60279720279720284</v>
      </c>
      <c r="CI284">
        <v>0</v>
      </c>
      <c r="CJ284">
        <v>31685</v>
      </c>
      <c r="CK284" t="s">
        <v>141</v>
      </c>
      <c r="CL284" t="s">
        <v>1479</v>
      </c>
      <c r="CM284" t="s">
        <v>143</v>
      </c>
      <c r="CN284">
        <v>1.27846208891</v>
      </c>
      <c r="CO284">
        <v>0.14758896519747061</v>
      </c>
      <c r="CP284">
        <v>283</v>
      </c>
      <c r="CQ284" t="s">
        <v>1346</v>
      </c>
      <c r="CR284">
        <v>118</v>
      </c>
      <c r="CS284" t="s">
        <v>1347</v>
      </c>
      <c r="CT284" t="s">
        <v>908</v>
      </c>
      <c r="CU284" t="s">
        <v>1194</v>
      </c>
      <c r="CV284" t="s">
        <v>1348</v>
      </c>
      <c r="CW284" t="s">
        <v>1349</v>
      </c>
      <c r="CX284" t="s">
        <v>1350</v>
      </c>
      <c r="CY284" t="s">
        <v>1351</v>
      </c>
      <c r="CZ284" t="s">
        <v>1352</v>
      </c>
      <c r="DA284" t="s">
        <v>152</v>
      </c>
      <c r="DB284" t="s">
        <v>153</v>
      </c>
      <c r="DC284" t="s">
        <v>207</v>
      </c>
      <c r="DD284" t="s">
        <v>1353</v>
      </c>
      <c r="DE284">
        <v>27700</v>
      </c>
      <c r="DF284">
        <v>-105.661428</v>
      </c>
      <c r="DG284">
        <v>43.852302999999999</v>
      </c>
      <c r="DH284">
        <v>11000</v>
      </c>
      <c r="DI284">
        <v>833</v>
      </c>
      <c r="DL284">
        <v>10</v>
      </c>
      <c r="DO284">
        <v>5</v>
      </c>
      <c r="DR284" t="s">
        <v>1354</v>
      </c>
      <c r="DS284" t="s">
        <v>1355</v>
      </c>
      <c r="DT284">
        <v>1.2500000000000001E-2</v>
      </c>
      <c r="DU284">
        <v>1.2500000000000001E-2</v>
      </c>
      <c r="DV284">
        <v>0.32500000000000001</v>
      </c>
      <c r="DW284">
        <v>0.32500000000000001</v>
      </c>
      <c r="DX284">
        <v>0.32500000000000001</v>
      </c>
      <c r="DY284">
        <v>0</v>
      </c>
      <c r="DZ284" s="4">
        <v>3.871</v>
      </c>
      <c r="EA284" s="4" t="s">
        <v>1199</v>
      </c>
      <c r="EB284" s="4" t="s">
        <v>1200</v>
      </c>
      <c r="EC284">
        <v>4.5510000000000002</v>
      </c>
      <c r="ED284">
        <v>665</v>
      </c>
      <c r="EE284" t="s">
        <v>1478</v>
      </c>
      <c r="EF284">
        <v>0</v>
      </c>
      <c r="EH284">
        <f t="shared" si="9"/>
        <v>0.58000000000000007</v>
      </c>
      <c r="EI284">
        <v>3.38</v>
      </c>
      <c r="EJ284">
        <v>3.65</v>
      </c>
    </row>
    <row r="285" spans="1:140" x14ac:dyDescent="0.35">
      <c r="A285" s="1">
        <v>283</v>
      </c>
      <c r="B285">
        <v>-104.1010960202868</v>
      </c>
      <c r="C285">
        <v>44.331919533390277</v>
      </c>
      <c r="D285" t="s">
        <v>1480</v>
      </c>
      <c r="E285">
        <v>0.1</v>
      </c>
      <c r="F285" t="s">
        <v>135</v>
      </c>
      <c r="G285">
        <v>0.1232</v>
      </c>
      <c r="H285" t="s">
        <v>161</v>
      </c>
      <c r="I285">
        <v>-11588481</v>
      </c>
      <c r="J285">
        <v>5516952</v>
      </c>
      <c r="K285" t="s">
        <v>1192</v>
      </c>
      <c r="L285" t="s">
        <v>1458</v>
      </c>
      <c r="M285">
        <v>6</v>
      </c>
      <c r="N285">
        <v>3.6190000000000002</v>
      </c>
      <c r="O285">
        <v>4</v>
      </c>
      <c r="P285">
        <v>8</v>
      </c>
      <c r="Q285">
        <v>56</v>
      </c>
      <c r="R285">
        <v>11</v>
      </c>
      <c r="S285">
        <v>7184</v>
      </c>
      <c r="T285" t="s">
        <v>1194</v>
      </c>
      <c r="U285">
        <v>5.4553299751975244</v>
      </c>
      <c r="V285" t="s">
        <v>1192</v>
      </c>
      <c r="W285">
        <v>9.1400000000000009E-2</v>
      </c>
      <c r="X285">
        <v>10</v>
      </c>
      <c r="Y285">
        <v>8.9</v>
      </c>
      <c r="Z285">
        <v>8.9</v>
      </c>
      <c r="AA285">
        <v>20</v>
      </c>
      <c r="AB285">
        <v>26</v>
      </c>
      <c r="AC285">
        <v>1.724</v>
      </c>
      <c r="AD285">
        <v>67</v>
      </c>
      <c r="AE285">
        <v>0.27399872854418311</v>
      </c>
      <c r="AF285">
        <v>2.86</v>
      </c>
      <c r="AG285" t="s">
        <v>1194</v>
      </c>
      <c r="AH285" t="s">
        <v>1192</v>
      </c>
      <c r="AI285">
        <v>53</v>
      </c>
      <c r="AJ285">
        <v>1.7666666666666671E-2</v>
      </c>
      <c r="AK285">
        <v>17.666666666666671</v>
      </c>
      <c r="AL285" t="s">
        <v>1481</v>
      </c>
      <c r="AM285">
        <v>5069.9976742166218</v>
      </c>
      <c r="AN285">
        <v>1.25</v>
      </c>
      <c r="AO285">
        <v>0.09</v>
      </c>
      <c r="AP285">
        <v>0.19</v>
      </c>
      <c r="AQ285">
        <v>0.96</v>
      </c>
      <c r="AR285">
        <v>0.86</v>
      </c>
      <c r="AS285">
        <v>0.09</v>
      </c>
      <c r="AT285">
        <v>0.01</v>
      </c>
      <c r="AU285">
        <v>0.02</v>
      </c>
      <c r="AV285">
        <v>2.21</v>
      </c>
      <c r="AW285">
        <v>1.21</v>
      </c>
      <c r="AX285">
        <v>0.21</v>
      </c>
      <c r="AY285">
        <v>0.53</v>
      </c>
      <c r="AZ285">
        <v>0</v>
      </c>
      <c r="BA285">
        <v>0.92</v>
      </c>
      <c r="BB285">
        <v>0.16</v>
      </c>
      <c r="BC285">
        <v>0.14000000000000001</v>
      </c>
      <c r="BD285">
        <v>0.27</v>
      </c>
      <c r="BE285">
        <v>5.76</v>
      </c>
      <c r="BF285">
        <v>5.07</v>
      </c>
      <c r="BG285">
        <v>0.24</v>
      </c>
      <c r="BH285">
        <v>0.45</v>
      </c>
      <c r="BI285">
        <v>0</v>
      </c>
      <c r="BJ285">
        <v>0.08</v>
      </c>
      <c r="BK285">
        <v>4.99</v>
      </c>
      <c r="BL285">
        <v>0</v>
      </c>
      <c r="BM285">
        <v>1.74</v>
      </c>
      <c r="BN285">
        <v>0.21</v>
      </c>
      <c r="BO285">
        <v>0.46</v>
      </c>
      <c r="BP285">
        <v>1.07</v>
      </c>
      <c r="BQ285">
        <v>0.85</v>
      </c>
      <c r="BR285">
        <v>0.12</v>
      </c>
      <c r="BS285">
        <v>0.1</v>
      </c>
      <c r="BT285">
        <v>0</v>
      </c>
      <c r="BU285">
        <v>6.16</v>
      </c>
      <c r="BV285">
        <v>5.0999999999999996</v>
      </c>
      <c r="BW285">
        <v>0.34</v>
      </c>
      <c r="BX285">
        <v>0.72</v>
      </c>
      <c r="BY285">
        <v>0</v>
      </c>
      <c r="BZ285">
        <v>0.08</v>
      </c>
      <c r="CA285">
        <v>5.0199999999999996</v>
      </c>
      <c r="CB285">
        <v>0</v>
      </c>
      <c r="CC285">
        <f t="shared" si="8"/>
        <v>2.75</v>
      </c>
      <c r="CD285">
        <v>3.96</v>
      </c>
      <c r="CE285">
        <v>0.34230769230769231</v>
      </c>
      <c r="CF285">
        <v>0.44500000000000001</v>
      </c>
      <c r="CG285">
        <v>0.1492537313432836</v>
      </c>
      <c r="CH285">
        <v>0.60279720279720284</v>
      </c>
      <c r="CI285">
        <v>0</v>
      </c>
      <c r="CJ285">
        <v>26904</v>
      </c>
      <c r="CK285" t="s">
        <v>141</v>
      </c>
      <c r="CL285" t="s">
        <v>1365</v>
      </c>
      <c r="CM285" t="s">
        <v>143</v>
      </c>
      <c r="CN285">
        <v>0.14276080492900001</v>
      </c>
      <c r="CO285">
        <v>22.603819933855821</v>
      </c>
      <c r="CP285">
        <v>284</v>
      </c>
      <c r="CQ285" t="s">
        <v>1359</v>
      </c>
      <c r="CR285">
        <v>118</v>
      </c>
      <c r="CS285" t="s">
        <v>1347</v>
      </c>
      <c r="CT285" t="s">
        <v>908</v>
      </c>
      <c r="CU285" t="s">
        <v>1194</v>
      </c>
      <c r="CV285" t="s">
        <v>1348</v>
      </c>
      <c r="CW285" t="s">
        <v>1349</v>
      </c>
      <c r="CX285" t="s">
        <v>1350</v>
      </c>
      <c r="CY285" t="s">
        <v>1351</v>
      </c>
      <c r="CZ285" t="s">
        <v>1352</v>
      </c>
      <c r="DA285" t="s">
        <v>152</v>
      </c>
      <c r="DB285" t="s">
        <v>153</v>
      </c>
      <c r="DC285" t="s">
        <v>207</v>
      </c>
      <c r="DD285" t="s">
        <v>1353</v>
      </c>
      <c r="DE285">
        <v>27700</v>
      </c>
      <c r="DF285">
        <v>-105.661428</v>
      </c>
      <c r="DG285">
        <v>43.852302999999999</v>
      </c>
      <c r="DH285">
        <v>11000</v>
      </c>
      <c r="DI285">
        <v>833</v>
      </c>
      <c r="DL285">
        <v>10</v>
      </c>
      <c r="DO285">
        <v>5</v>
      </c>
      <c r="DR285" t="s">
        <v>1354</v>
      </c>
      <c r="DS285" t="s">
        <v>1355</v>
      </c>
      <c r="DT285">
        <v>1.2500000000000001E-2</v>
      </c>
      <c r="DU285">
        <v>1.2500000000000001E-2</v>
      </c>
      <c r="DV285">
        <v>0.32500000000000001</v>
      </c>
      <c r="DW285">
        <v>0.32500000000000001</v>
      </c>
      <c r="DX285">
        <v>0.32500000000000001</v>
      </c>
      <c r="DY285">
        <v>15.031089309813</v>
      </c>
      <c r="DZ285" s="4">
        <v>3.871</v>
      </c>
      <c r="EA285" s="4" t="s">
        <v>1199</v>
      </c>
      <c r="EB285" s="4" t="s">
        <v>1200</v>
      </c>
      <c r="EC285">
        <v>4.5510000000000002</v>
      </c>
      <c r="ED285">
        <v>385</v>
      </c>
      <c r="EE285" t="s">
        <v>1481</v>
      </c>
      <c r="EF285">
        <v>4.554451801498538E-2</v>
      </c>
      <c r="EH285">
        <f t="shared" si="9"/>
        <v>0.58000000000000007</v>
      </c>
      <c r="EI285">
        <v>3.38</v>
      </c>
      <c r="EJ285">
        <v>3.65</v>
      </c>
    </row>
    <row r="286" spans="1:140" x14ac:dyDescent="0.35">
      <c r="A286" s="1">
        <v>284</v>
      </c>
      <c r="B286">
        <v>-102.30446545204769</v>
      </c>
      <c r="C286">
        <v>44.331919533390277</v>
      </c>
      <c r="D286" t="s">
        <v>1482</v>
      </c>
      <c r="E286">
        <v>0.02</v>
      </c>
      <c r="F286" t="s">
        <v>160</v>
      </c>
      <c r="G286">
        <v>9.7899999999999987E-2</v>
      </c>
      <c r="H286" t="s">
        <v>161</v>
      </c>
      <c r="I286">
        <v>-11388481</v>
      </c>
      <c r="J286">
        <v>5516952</v>
      </c>
      <c r="K286" t="s">
        <v>1361</v>
      </c>
      <c r="L286" t="s">
        <v>1483</v>
      </c>
      <c r="M286">
        <v>51</v>
      </c>
      <c r="N286">
        <v>3.819</v>
      </c>
      <c r="O286">
        <v>2</v>
      </c>
      <c r="P286">
        <v>4</v>
      </c>
      <c r="Q286">
        <v>46</v>
      </c>
      <c r="R286">
        <v>103</v>
      </c>
      <c r="S286">
        <v>109231</v>
      </c>
      <c r="T286" t="s">
        <v>1363</v>
      </c>
      <c r="U286">
        <v>5.993541709002236</v>
      </c>
      <c r="V286" t="s">
        <v>1361</v>
      </c>
      <c r="W286">
        <v>0.1087</v>
      </c>
      <c r="X286">
        <v>10</v>
      </c>
      <c r="Y286">
        <v>8.9</v>
      </c>
      <c r="Z286">
        <v>8.9</v>
      </c>
      <c r="AA286">
        <v>20</v>
      </c>
      <c r="AB286">
        <v>26</v>
      </c>
      <c r="AC286">
        <v>0.318</v>
      </c>
      <c r="AD286">
        <v>67</v>
      </c>
      <c r="AE286">
        <v>5.0540368722186903E-2</v>
      </c>
      <c r="AF286">
        <v>2.86</v>
      </c>
      <c r="AG286" t="s">
        <v>1363</v>
      </c>
      <c r="AH286" t="s">
        <v>1361</v>
      </c>
      <c r="AI286">
        <v>26</v>
      </c>
      <c r="AJ286">
        <v>8.6666666666666663E-3</v>
      </c>
      <c r="AK286">
        <v>8.6666666666666661</v>
      </c>
      <c r="AL286" t="s">
        <v>1364</v>
      </c>
      <c r="AM286">
        <v>0</v>
      </c>
      <c r="AN286">
        <v>1.29</v>
      </c>
      <c r="AO286">
        <v>0.09</v>
      </c>
      <c r="AP286">
        <v>0.19</v>
      </c>
      <c r="AQ286">
        <v>1</v>
      </c>
      <c r="AR286">
        <v>0.95</v>
      </c>
      <c r="AS286">
        <v>0.04</v>
      </c>
      <c r="AT286">
        <v>0.01</v>
      </c>
      <c r="AU286">
        <v>0.02</v>
      </c>
      <c r="AV286">
        <v>2.25</v>
      </c>
      <c r="AW286">
        <v>1.25</v>
      </c>
      <c r="AX286">
        <v>0.21</v>
      </c>
      <c r="AY286">
        <v>0.53</v>
      </c>
      <c r="AZ286">
        <v>0</v>
      </c>
      <c r="BA286">
        <v>1.01</v>
      </c>
      <c r="BB286">
        <v>0.08</v>
      </c>
      <c r="BC286">
        <v>0.17</v>
      </c>
      <c r="BD286">
        <v>0.27</v>
      </c>
      <c r="BE286">
        <v>6.83</v>
      </c>
      <c r="BF286">
        <v>6.14</v>
      </c>
      <c r="BG286">
        <v>0.24</v>
      </c>
      <c r="BH286">
        <v>0.45</v>
      </c>
      <c r="BI286">
        <v>0</v>
      </c>
      <c r="BJ286">
        <v>0.04</v>
      </c>
      <c r="BK286">
        <v>6.1</v>
      </c>
      <c r="BL286">
        <v>0</v>
      </c>
      <c r="BM286">
        <v>1.79</v>
      </c>
      <c r="BN286">
        <v>0.21</v>
      </c>
      <c r="BO286">
        <v>0.46</v>
      </c>
      <c r="BP286">
        <v>1.1100000000000001</v>
      </c>
      <c r="BQ286">
        <v>0.93</v>
      </c>
      <c r="BR286">
        <v>0.06</v>
      </c>
      <c r="BS286">
        <v>0.12</v>
      </c>
      <c r="BT286">
        <v>0</v>
      </c>
      <c r="BU286">
        <v>7.24</v>
      </c>
      <c r="BV286">
        <v>6.18</v>
      </c>
      <c r="BW286">
        <v>0.34</v>
      </c>
      <c r="BX286">
        <v>0.72</v>
      </c>
      <c r="BY286">
        <v>0</v>
      </c>
      <c r="BZ286">
        <v>0.04</v>
      </c>
      <c r="CA286">
        <v>6.14</v>
      </c>
      <c r="CB286">
        <v>0</v>
      </c>
      <c r="CC286">
        <f t="shared" si="8"/>
        <v>2.75</v>
      </c>
      <c r="CD286">
        <v>3.96</v>
      </c>
      <c r="CE286">
        <v>0.34230769230769231</v>
      </c>
      <c r="CF286">
        <v>0.44500000000000001</v>
      </c>
      <c r="CG286">
        <v>0.1492537313432836</v>
      </c>
      <c r="CH286">
        <v>0.1111888111888112</v>
      </c>
      <c r="CI286">
        <v>0</v>
      </c>
      <c r="CJ286">
        <v>26908</v>
      </c>
      <c r="CK286" t="s">
        <v>141</v>
      </c>
      <c r="CL286" t="s">
        <v>1365</v>
      </c>
      <c r="CM286" t="s">
        <v>143</v>
      </c>
      <c r="CN286">
        <v>0.165531270762</v>
      </c>
      <c r="CO286">
        <v>59.114580117366273</v>
      </c>
      <c r="CP286">
        <v>285</v>
      </c>
      <c r="CQ286" t="s">
        <v>1484</v>
      </c>
      <c r="CR286">
        <v>115</v>
      </c>
      <c r="CS286" t="s">
        <v>1485</v>
      </c>
      <c r="CT286" t="s">
        <v>1486</v>
      </c>
      <c r="CU286" t="s">
        <v>1368</v>
      </c>
      <c r="CV286" t="s">
        <v>1487</v>
      </c>
      <c r="CW286" t="s">
        <v>1370</v>
      </c>
      <c r="CX286" t="s">
        <v>1371</v>
      </c>
      <c r="CY286" t="s">
        <v>1372</v>
      </c>
      <c r="CZ286" t="s">
        <v>1352</v>
      </c>
      <c r="DA286" t="s">
        <v>152</v>
      </c>
      <c r="DB286" t="s">
        <v>153</v>
      </c>
      <c r="DC286" t="s">
        <v>207</v>
      </c>
      <c r="DD286" t="s">
        <v>1353</v>
      </c>
      <c r="DE286">
        <v>3536</v>
      </c>
      <c r="DF286">
        <v>-103.437718</v>
      </c>
      <c r="DG286">
        <v>47.254190999999999</v>
      </c>
      <c r="DH286">
        <v>9000</v>
      </c>
      <c r="DI286">
        <v>407</v>
      </c>
      <c r="DL286">
        <v>10</v>
      </c>
      <c r="DM286">
        <v>4</v>
      </c>
      <c r="DN286">
        <v>17</v>
      </c>
      <c r="DO286">
        <v>9</v>
      </c>
      <c r="DP286">
        <v>2</v>
      </c>
      <c r="DQ286">
        <v>28</v>
      </c>
      <c r="DR286">
        <v>275000</v>
      </c>
      <c r="DS286" t="s">
        <v>1355</v>
      </c>
      <c r="DT286">
        <v>1.2500000000000001E-2</v>
      </c>
      <c r="DU286">
        <v>1.2500000000000001E-2</v>
      </c>
      <c r="DV286">
        <v>0.32500000000000001</v>
      </c>
      <c r="DW286">
        <v>0.32500000000000001</v>
      </c>
      <c r="DX286">
        <v>0.32500000000000001</v>
      </c>
      <c r="DY286">
        <v>0</v>
      </c>
      <c r="DZ286" s="4">
        <v>3.706</v>
      </c>
      <c r="EA286" s="4" t="s">
        <v>1375</v>
      </c>
      <c r="EB286" s="4" t="s">
        <v>788</v>
      </c>
      <c r="EC286">
        <v>4.2729999999999997</v>
      </c>
      <c r="ED286">
        <v>252</v>
      </c>
      <c r="EE286" t="s">
        <v>1364</v>
      </c>
      <c r="EF286">
        <v>0</v>
      </c>
      <c r="EH286">
        <f t="shared" si="9"/>
        <v>0.58000000000000007</v>
      </c>
      <c r="EI286">
        <v>3.38</v>
      </c>
      <c r="EJ286">
        <v>3.65</v>
      </c>
    </row>
    <row r="287" spans="1:140" x14ac:dyDescent="0.35">
      <c r="A287" s="1">
        <v>285</v>
      </c>
      <c r="B287">
        <v>-100.5078348838087</v>
      </c>
      <c r="C287">
        <v>44.331919533390277</v>
      </c>
      <c r="D287" t="s">
        <v>1488</v>
      </c>
      <c r="E287">
        <v>0.02</v>
      </c>
      <c r="F287" t="s">
        <v>160</v>
      </c>
      <c r="G287">
        <v>7.9399999999999998E-2</v>
      </c>
      <c r="H287" t="s">
        <v>136</v>
      </c>
      <c r="I287">
        <v>-11188481</v>
      </c>
      <c r="J287">
        <v>5516952</v>
      </c>
      <c r="K287" t="s">
        <v>1361</v>
      </c>
      <c r="L287" t="s">
        <v>1489</v>
      </c>
      <c r="M287">
        <v>58</v>
      </c>
      <c r="N287">
        <v>3.927</v>
      </c>
      <c r="O287">
        <v>2</v>
      </c>
      <c r="P287">
        <v>4</v>
      </c>
      <c r="Q287">
        <v>46</v>
      </c>
      <c r="R287">
        <v>117</v>
      </c>
      <c r="S287">
        <v>2980</v>
      </c>
      <c r="T287" t="s">
        <v>1363</v>
      </c>
      <c r="U287">
        <v>5.993541709002236</v>
      </c>
      <c r="V287" t="s">
        <v>1361</v>
      </c>
      <c r="W287">
        <v>0.1087</v>
      </c>
      <c r="X287">
        <v>10</v>
      </c>
      <c r="Y287">
        <v>8.9</v>
      </c>
      <c r="Z287">
        <v>8.9</v>
      </c>
      <c r="AA287">
        <v>20</v>
      </c>
      <c r="AB287">
        <v>26</v>
      </c>
      <c r="AC287">
        <v>0.318</v>
      </c>
      <c r="AD287">
        <v>67</v>
      </c>
      <c r="AE287">
        <v>5.0540368722186903E-2</v>
      </c>
      <c r="AF287">
        <v>2.86</v>
      </c>
      <c r="AG287" t="s">
        <v>1363</v>
      </c>
      <c r="AH287" t="s">
        <v>1361</v>
      </c>
      <c r="AI287">
        <v>26</v>
      </c>
      <c r="AJ287">
        <v>8.6666666666666663E-3</v>
      </c>
      <c r="AK287">
        <v>8.6666666666666661</v>
      </c>
      <c r="AL287" t="s">
        <v>1378</v>
      </c>
      <c r="AM287">
        <v>0</v>
      </c>
      <c r="AN287">
        <v>1.29</v>
      </c>
      <c r="AO287">
        <v>0.09</v>
      </c>
      <c r="AP287">
        <v>0.19</v>
      </c>
      <c r="AQ287">
        <v>1</v>
      </c>
      <c r="AR287">
        <v>0.95</v>
      </c>
      <c r="AS287">
        <v>0.04</v>
      </c>
      <c r="AT287">
        <v>0.01</v>
      </c>
      <c r="AU287">
        <v>0.02</v>
      </c>
      <c r="AV287">
        <v>2.25</v>
      </c>
      <c r="AW287">
        <v>1.25</v>
      </c>
      <c r="AX287">
        <v>0.21</v>
      </c>
      <c r="AY287">
        <v>0.53</v>
      </c>
      <c r="AZ287">
        <v>0</v>
      </c>
      <c r="BA287">
        <v>1.01</v>
      </c>
      <c r="BB287">
        <v>0.08</v>
      </c>
      <c r="BC287">
        <v>0.17</v>
      </c>
      <c r="BD287">
        <v>0.27</v>
      </c>
      <c r="BE287">
        <v>6.83</v>
      </c>
      <c r="BF287">
        <v>6.14</v>
      </c>
      <c r="BG287">
        <v>0.24</v>
      </c>
      <c r="BH287">
        <v>0.45</v>
      </c>
      <c r="BI287">
        <v>0</v>
      </c>
      <c r="BJ287">
        <v>0.04</v>
      </c>
      <c r="BK287">
        <v>6.1</v>
      </c>
      <c r="BL287">
        <v>0</v>
      </c>
      <c r="BM287">
        <v>1.79</v>
      </c>
      <c r="BN287">
        <v>0.21</v>
      </c>
      <c r="BO287">
        <v>0.46</v>
      </c>
      <c r="BP287">
        <v>1.1100000000000001</v>
      </c>
      <c r="BQ287">
        <v>0.93</v>
      </c>
      <c r="BR287">
        <v>0.06</v>
      </c>
      <c r="BS287">
        <v>0.12</v>
      </c>
      <c r="BT287">
        <v>0</v>
      </c>
      <c r="BU287">
        <v>7.24</v>
      </c>
      <c r="BV287">
        <v>6.18</v>
      </c>
      <c r="BW287">
        <v>0.34</v>
      </c>
      <c r="BX287">
        <v>0.72</v>
      </c>
      <c r="BY287">
        <v>0</v>
      </c>
      <c r="BZ287">
        <v>0.04</v>
      </c>
      <c r="CA287">
        <v>6.14</v>
      </c>
      <c r="CB287">
        <v>0</v>
      </c>
      <c r="CC287">
        <f t="shared" si="8"/>
        <v>2.75</v>
      </c>
      <c r="CD287">
        <v>3.96</v>
      </c>
      <c r="CE287">
        <v>0.34230769230769231</v>
      </c>
      <c r="CF287">
        <v>0.44500000000000001</v>
      </c>
      <c r="CG287">
        <v>0.1492537313432836</v>
      </c>
      <c r="CH287">
        <v>0.1111888111888112</v>
      </c>
      <c r="CI287">
        <v>0</v>
      </c>
      <c r="CJ287">
        <v>19131</v>
      </c>
      <c r="CK287" t="s">
        <v>141</v>
      </c>
      <c r="CL287" t="s">
        <v>475</v>
      </c>
      <c r="CM287" t="s">
        <v>143</v>
      </c>
      <c r="CN287">
        <v>0.12975589241300001</v>
      </c>
      <c r="CO287">
        <v>153.7932337970602</v>
      </c>
      <c r="CP287">
        <v>286</v>
      </c>
      <c r="CQ287" t="s">
        <v>1366</v>
      </c>
      <c r="CR287">
        <v>13</v>
      </c>
      <c r="CS287" t="s">
        <v>1367</v>
      </c>
      <c r="CT287" t="s">
        <v>1366</v>
      </c>
      <c r="CU287" t="s">
        <v>1368</v>
      </c>
      <c r="CV287" t="s">
        <v>1369</v>
      </c>
      <c r="CW287" t="s">
        <v>1370</v>
      </c>
      <c r="CX287" t="s">
        <v>1371</v>
      </c>
      <c r="CY287" t="s">
        <v>1372</v>
      </c>
      <c r="CZ287" t="s">
        <v>1352</v>
      </c>
      <c r="DA287" t="s">
        <v>152</v>
      </c>
      <c r="DB287" t="s">
        <v>178</v>
      </c>
      <c r="DC287" t="s">
        <v>1373</v>
      </c>
      <c r="DD287" t="s">
        <v>657</v>
      </c>
      <c r="DE287">
        <v>10823</v>
      </c>
      <c r="DF287">
        <v>-100.88397000000001</v>
      </c>
      <c r="DG287">
        <v>47.47186</v>
      </c>
      <c r="DH287">
        <v>7525</v>
      </c>
      <c r="DI287">
        <v>260</v>
      </c>
      <c r="DL287">
        <v>8.6</v>
      </c>
      <c r="DM287">
        <v>0.8</v>
      </c>
      <c r="DN287">
        <v>16.2</v>
      </c>
      <c r="DO287">
        <v>190</v>
      </c>
      <c r="DP287">
        <v>104</v>
      </c>
      <c r="DQ287">
        <v>223</v>
      </c>
      <c r="DR287">
        <v>100000</v>
      </c>
      <c r="DS287" t="s">
        <v>1374</v>
      </c>
      <c r="DT287">
        <v>1.2500000000000001E-2</v>
      </c>
      <c r="DU287">
        <v>1.2500000000000001E-2</v>
      </c>
      <c r="DV287">
        <v>0.32500000000000001</v>
      </c>
      <c r="DW287">
        <v>0.32500000000000001</v>
      </c>
      <c r="DX287">
        <v>0.32500000000000001</v>
      </c>
      <c r="DY287">
        <v>0</v>
      </c>
      <c r="DZ287" s="4">
        <v>3.706</v>
      </c>
      <c r="EA287" s="4" t="s">
        <v>1375</v>
      </c>
      <c r="EB287" s="4" t="s">
        <v>788</v>
      </c>
      <c r="EC287">
        <v>4.2729999999999997</v>
      </c>
      <c r="ED287">
        <v>765</v>
      </c>
      <c r="EE287" t="s">
        <v>1378</v>
      </c>
      <c r="EF287">
        <v>0</v>
      </c>
      <c r="EH287">
        <f t="shared" si="9"/>
        <v>0.58000000000000007</v>
      </c>
      <c r="EI287">
        <v>3.38</v>
      </c>
      <c r="EJ287">
        <v>3.65</v>
      </c>
    </row>
    <row r="288" spans="1:140" x14ac:dyDescent="0.35">
      <c r="A288" s="1">
        <v>286</v>
      </c>
      <c r="B288">
        <v>-98.711204315569631</v>
      </c>
      <c r="C288">
        <v>44.331919533390277</v>
      </c>
      <c r="D288" t="s">
        <v>1490</v>
      </c>
      <c r="E288">
        <v>0.1</v>
      </c>
      <c r="F288" t="s">
        <v>135</v>
      </c>
      <c r="G288">
        <v>7.9399999999999998E-2</v>
      </c>
      <c r="H288" t="s">
        <v>161</v>
      </c>
      <c r="I288">
        <v>-10988481</v>
      </c>
      <c r="J288">
        <v>5516952</v>
      </c>
      <c r="K288" t="s">
        <v>1361</v>
      </c>
      <c r="L288" t="s">
        <v>1491</v>
      </c>
      <c r="M288">
        <v>29</v>
      </c>
      <c r="N288">
        <v>3.8260000000000001</v>
      </c>
      <c r="O288">
        <v>2</v>
      </c>
      <c r="P288">
        <v>4</v>
      </c>
      <c r="Q288">
        <v>46</v>
      </c>
      <c r="R288">
        <v>59</v>
      </c>
      <c r="S288">
        <v>3146</v>
      </c>
      <c r="T288" t="s">
        <v>1363</v>
      </c>
      <c r="U288">
        <v>5.993541709002236</v>
      </c>
      <c r="V288" t="s">
        <v>1361</v>
      </c>
      <c r="W288">
        <v>0.1087</v>
      </c>
      <c r="X288">
        <v>10</v>
      </c>
      <c r="Y288">
        <v>8.9</v>
      </c>
      <c r="Z288">
        <v>8.9</v>
      </c>
      <c r="AA288">
        <v>20</v>
      </c>
      <c r="AB288">
        <v>26</v>
      </c>
      <c r="AC288">
        <v>0.318</v>
      </c>
      <c r="AD288">
        <v>67</v>
      </c>
      <c r="AE288">
        <v>5.0540368722186903E-2</v>
      </c>
      <c r="AF288">
        <v>2.86</v>
      </c>
      <c r="AG288" t="s">
        <v>1363</v>
      </c>
      <c r="AH288" t="s">
        <v>1361</v>
      </c>
      <c r="AI288">
        <v>26</v>
      </c>
      <c r="AJ288">
        <v>8.6666666666666663E-3</v>
      </c>
      <c r="AK288">
        <v>8.6666666666666661</v>
      </c>
      <c r="AL288" t="s">
        <v>1492</v>
      </c>
      <c r="AM288">
        <v>1113.7136053468751</v>
      </c>
      <c r="AN288">
        <v>1.29</v>
      </c>
      <c r="AO288">
        <v>0.09</v>
      </c>
      <c r="AP288">
        <v>0.19</v>
      </c>
      <c r="AQ288">
        <v>1</v>
      </c>
      <c r="AR288">
        <v>0.95</v>
      </c>
      <c r="AS288">
        <v>0.04</v>
      </c>
      <c r="AT288">
        <v>0.01</v>
      </c>
      <c r="AU288">
        <v>0.02</v>
      </c>
      <c r="AV288">
        <v>2.25</v>
      </c>
      <c r="AW288">
        <v>1.25</v>
      </c>
      <c r="AX288">
        <v>0.21</v>
      </c>
      <c r="AY288">
        <v>0.53</v>
      </c>
      <c r="AZ288">
        <v>0</v>
      </c>
      <c r="BA288">
        <v>1.01</v>
      </c>
      <c r="BB288">
        <v>0.08</v>
      </c>
      <c r="BC288">
        <v>0.17</v>
      </c>
      <c r="BD288">
        <v>0.27</v>
      </c>
      <c r="BE288">
        <v>6.83</v>
      </c>
      <c r="BF288">
        <v>6.14</v>
      </c>
      <c r="BG288">
        <v>0.24</v>
      </c>
      <c r="BH288">
        <v>0.45</v>
      </c>
      <c r="BI288">
        <v>0</v>
      </c>
      <c r="BJ288">
        <v>0.04</v>
      </c>
      <c r="BK288">
        <v>6.1</v>
      </c>
      <c r="BL288">
        <v>0</v>
      </c>
      <c r="BM288">
        <v>1.79</v>
      </c>
      <c r="BN288">
        <v>0.21</v>
      </c>
      <c r="BO288">
        <v>0.46</v>
      </c>
      <c r="BP288">
        <v>1.1100000000000001</v>
      </c>
      <c r="BQ288">
        <v>0.93</v>
      </c>
      <c r="BR288">
        <v>0.06</v>
      </c>
      <c r="BS288">
        <v>0.12</v>
      </c>
      <c r="BT288">
        <v>0</v>
      </c>
      <c r="BU288">
        <v>7.24</v>
      </c>
      <c r="BV288">
        <v>6.18</v>
      </c>
      <c r="BW288">
        <v>0.34</v>
      </c>
      <c r="BX288">
        <v>0.72</v>
      </c>
      <c r="BY288">
        <v>0</v>
      </c>
      <c r="BZ288">
        <v>0.04</v>
      </c>
      <c r="CA288">
        <v>6.14</v>
      </c>
      <c r="CB288">
        <v>0</v>
      </c>
      <c r="CC288">
        <f t="shared" si="8"/>
        <v>2.75</v>
      </c>
      <c r="CD288">
        <v>3.96</v>
      </c>
      <c r="CE288">
        <v>0.34230769230769231</v>
      </c>
      <c r="CF288">
        <v>0.44500000000000001</v>
      </c>
      <c r="CG288">
        <v>0.1492537313432836</v>
      </c>
      <c r="CH288">
        <v>0.1111888111888112</v>
      </c>
      <c r="CI288">
        <v>0</v>
      </c>
      <c r="CJ288">
        <v>19146</v>
      </c>
      <c r="CK288" t="s">
        <v>141</v>
      </c>
      <c r="CL288" t="s">
        <v>475</v>
      </c>
      <c r="CM288" t="s">
        <v>143</v>
      </c>
      <c r="CN288">
        <v>0.26089301506899998</v>
      </c>
      <c r="CO288">
        <v>30.135242639719351</v>
      </c>
      <c r="CP288">
        <v>287</v>
      </c>
      <c r="CQ288" t="s">
        <v>1366</v>
      </c>
      <c r="CR288">
        <v>13</v>
      </c>
      <c r="CS288" t="s">
        <v>1367</v>
      </c>
      <c r="CT288" t="s">
        <v>1366</v>
      </c>
      <c r="CU288" t="s">
        <v>1368</v>
      </c>
      <c r="CV288" t="s">
        <v>1369</v>
      </c>
      <c r="CW288" t="s">
        <v>1370</v>
      </c>
      <c r="CX288" t="s">
        <v>1371</v>
      </c>
      <c r="CY288" t="s">
        <v>1372</v>
      </c>
      <c r="CZ288" t="s">
        <v>1352</v>
      </c>
      <c r="DA288" t="s">
        <v>152</v>
      </c>
      <c r="DB288" t="s">
        <v>178</v>
      </c>
      <c r="DC288" t="s">
        <v>1373</v>
      </c>
      <c r="DD288" t="s">
        <v>657</v>
      </c>
      <c r="DE288">
        <v>10823</v>
      </c>
      <c r="DF288">
        <v>-100.88397000000001</v>
      </c>
      <c r="DG288">
        <v>47.47186</v>
      </c>
      <c r="DH288">
        <v>7525</v>
      </c>
      <c r="DI288">
        <v>260</v>
      </c>
      <c r="DL288">
        <v>8.6</v>
      </c>
      <c r="DM288">
        <v>0.8</v>
      </c>
      <c r="DN288">
        <v>16.2</v>
      </c>
      <c r="DO288">
        <v>190</v>
      </c>
      <c r="DP288">
        <v>104</v>
      </c>
      <c r="DQ288">
        <v>223</v>
      </c>
      <c r="DR288">
        <v>100000</v>
      </c>
      <c r="DS288" t="s">
        <v>1374</v>
      </c>
      <c r="DT288">
        <v>1.2500000000000001E-2</v>
      </c>
      <c r="DU288">
        <v>1.2500000000000001E-2</v>
      </c>
      <c r="DV288">
        <v>0.32500000000000001</v>
      </c>
      <c r="DW288">
        <v>0.32500000000000001</v>
      </c>
      <c r="DX288">
        <v>0.32500000000000001</v>
      </c>
      <c r="DY288">
        <v>42.634377470048811</v>
      </c>
      <c r="DZ288" s="4">
        <v>3.706</v>
      </c>
      <c r="EA288" s="4" t="s">
        <v>1375</v>
      </c>
      <c r="EB288" s="4" t="s">
        <v>788</v>
      </c>
      <c r="EC288">
        <v>4.2729999999999997</v>
      </c>
      <c r="ED288">
        <v>711</v>
      </c>
      <c r="EE288" t="s">
        <v>1492</v>
      </c>
      <c r="EF288">
        <v>1.00046373824423E-2</v>
      </c>
      <c r="EH288">
        <f t="shared" si="9"/>
        <v>0.58000000000000007</v>
      </c>
      <c r="EI288">
        <v>3.38</v>
      </c>
      <c r="EJ288">
        <v>3.65</v>
      </c>
    </row>
    <row r="289" spans="1:140" x14ac:dyDescent="0.35">
      <c r="A289" s="1">
        <v>287</v>
      </c>
      <c r="B289">
        <v>-96.914573747330593</v>
      </c>
      <c r="C289">
        <v>44.331919533390277</v>
      </c>
      <c r="D289" t="s">
        <v>1493</v>
      </c>
      <c r="E289">
        <v>0.1</v>
      </c>
      <c r="F289" t="s">
        <v>306</v>
      </c>
      <c r="G289">
        <v>7.9399999999999998E-2</v>
      </c>
      <c r="H289" t="s">
        <v>161</v>
      </c>
      <c r="I289">
        <v>-10788481</v>
      </c>
      <c r="J289">
        <v>5516952</v>
      </c>
      <c r="K289" t="s">
        <v>1361</v>
      </c>
      <c r="L289" t="s">
        <v>1494</v>
      </c>
      <c r="M289">
        <v>5</v>
      </c>
      <c r="N289">
        <v>3.4750000000000001</v>
      </c>
      <c r="O289">
        <v>2</v>
      </c>
      <c r="P289">
        <v>4</v>
      </c>
      <c r="Q289">
        <v>46</v>
      </c>
      <c r="R289">
        <v>11</v>
      </c>
      <c r="S289">
        <v>34380</v>
      </c>
      <c r="T289" t="s">
        <v>1363</v>
      </c>
      <c r="U289">
        <v>5.993541709002236</v>
      </c>
      <c r="V289" t="s">
        <v>1361</v>
      </c>
      <c r="W289">
        <v>0.1087</v>
      </c>
      <c r="X289">
        <v>10</v>
      </c>
      <c r="Y289">
        <v>8.9</v>
      </c>
      <c r="Z289">
        <v>8.9</v>
      </c>
      <c r="AA289">
        <v>20</v>
      </c>
      <c r="AB289">
        <v>26</v>
      </c>
      <c r="AC289">
        <v>0.318</v>
      </c>
      <c r="AD289">
        <v>67</v>
      </c>
      <c r="AE289">
        <v>5.0540368722186903E-2</v>
      </c>
      <c r="AF289">
        <v>2.86</v>
      </c>
      <c r="AG289" t="s">
        <v>1363</v>
      </c>
      <c r="AH289" t="s">
        <v>1361</v>
      </c>
      <c r="AI289">
        <v>26</v>
      </c>
      <c r="AJ289">
        <v>8.6666666666666663E-3</v>
      </c>
      <c r="AK289">
        <v>8.6666666666666661</v>
      </c>
      <c r="AL289" t="s">
        <v>1495</v>
      </c>
      <c r="AM289">
        <v>0</v>
      </c>
      <c r="AN289">
        <v>1.29</v>
      </c>
      <c r="AO289">
        <v>0.09</v>
      </c>
      <c r="AP289">
        <v>0.19</v>
      </c>
      <c r="AQ289">
        <v>1</v>
      </c>
      <c r="AR289">
        <v>0.95</v>
      </c>
      <c r="AS289">
        <v>0.04</v>
      </c>
      <c r="AT289">
        <v>0.01</v>
      </c>
      <c r="AU289">
        <v>0.02</v>
      </c>
      <c r="AV289">
        <v>2.25</v>
      </c>
      <c r="AW289">
        <v>1.25</v>
      </c>
      <c r="AX289">
        <v>0.21</v>
      </c>
      <c r="AY289">
        <v>0.53</v>
      </c>
      <c r="AZ289">
        <v>0</v>
      </c>
      <c r="BA289">
        <v>1.01</v>
      </c>
      <c r="BB289">
        <v>0.08</v>
      </c>
      <c r="BC289">
        <v>0.17</v>
      </c>
      <c r="BD289">
        <v>0.27</v>
      </c>
      <c r="BE289">
        <v>6.83</v>
      </c>
      <c r="BF289">
        <v>6.14</v>
      </c>
      <c r="BG289">
        <v>0.24</v>
      </c>
      <c r="BH289">
        <v>0.45</v>
      </c>
      <c r="BI289">
        <v>0</v>
      </c>
      <c r="BJ289">
        <v>0.04</v>
      </c>
      <c r="BK289">
        <v>6.1</v>
      </c>
      <c r="BL289">
        <v>0</v>
      </c>
      <c r="BM289">
        <v>1.79</v>
      </c>
      <c r="BN289">
        <v>0.21</v>
      </c>
      <c r="BO289">
        <v>0.46</v>
      </c>
      <c r="BP289">
        <v>1.1100000000000001</v>
      </c>
      <c r="BQ289">
        <v>0.93</v>
      </c>
      <c r="BR289">
        <v>0.06</v>
      </c>
      <c r="BS289">
        <v>0.12</v>
      </c>
      <c r="BT289">
        <v>0</v>
      </c>
      <c r="BU289">
        <v>7.24</v>
      </c>
      <c r="BV289">
        <v>6.18</v>
      </c>
      <c r="BW289">
        <v>0.34</v>
      </c>
      <c r="BX289">
        <v>0.72</v>
      </c>
      <c r="BY289">
        <v>0</v>
      </c>
      <c r="BZ289">
        <v>0.04</v>
      </c>
      <c r="CA289">
        <v>6.14</v>
      </c>
      <c r="CB289">
        <v>0</v>
      </c>
      <c r="CC289">
        <f t="shared" si="8"/>
        <v>2.75</v>
      </c>
      <c r="CD289">
        <v>3.96</v>
      </c>
      <c r="CE289">
        <v>0.34230769230769231</v>
      </c>
      <c r="CF289">
        <v>0.44500000000000001</v>
      </c>
      <c r="CG289">
        <v>0.1492537313432836</v>
      </c>
      <c r="CH289">
        <v>0.1111888111888112</v>
      </c>
      <c r="CI289">
        <v>0</v>
      </c>
      <c r="CJ289">
        <v>19157</v>
      </c>
      <c r="CK289" t="s">
        <v>141</v>
      </c>
      <c r="CL289" t="s">
        <v>475</v>
      </c>
      <c r="CM289" t="s">
        <v>143</v>
      </c>
      <c r="CN289">
        <v>0.26470399999999999</v>
      </c>
      <c r="CO289">
        <v>0.40984828755739278</v>
      </c>
      <c r="CP289">
        <v>288</v>
      </c>
      <c r="CQ289" t="s">
        <v>1366</v>
      </c>
      <c r="CR289">
        <v>13</v>
      </c>
      <c r="CS289" t="s">
        <v>1367</v>
      </c>
      <c r="CT289" t="s">
        <v>1366</v>
      </c>
      <c r="CU289" t="s">
        <v>1368</v>
      </c>
      <c r="CV289" t="s">
        <v>1369</v>
      </c>
      <c r="CW289" t="s">
        <v>1370</v>
      </c>
      <c r="CX289" t="s">
        <v>1371</v>
      </c>
      <c r="CY289" t="s">
        <v>1372</v>
      </c>
      <c r="CZ289" t="s">
        <v>1352</v>
      </c>
      <c r="DA289" t="s">
        <v>152</v>
      </c>
      <c r="DB289" t="s">
        <v>178</v>
      </c>
      <c r="DC289" t="s">
        <v>1373</v>
      </c>
      <c r="DD289" t="s">
        <v>657</v>
      </c>
      <c r="DE289">
        <v>10823</v>
      </c>
      <c r="DF289">
        <v>-100.88397000000001</v>
      </c>
      <c r="DG289">
        <v>47.47186</v>
      </c>
      <c r="DH289">
        <v>7525</v>
      </c>
      <c r="DI289">
        <v>260</v>
      </c>
      <c r="DL289">
        <v>8.6</v>
      </c>
      <c r="DM289">
        <v>0.8</v>
      </c>
      <c r="DN289">
        <v>16.2</v>
      </c>
      <c r="DO289">
        <v>190</v>
      </c>
      <c r="DP289">
        <v>104</v>
      </c>
      <c r="DQ289">
        <v>223</v>
      </c>
      <c r="DR289">
        <v>100000</v>
      </c>
      <c r="DS289" t="s">
        <v>1374</v>
      </c>
      <c r="DT289">
        <v>1.2500000000000001E-2</v>
      </c>
      <c r="DU289">
        <v>1.2500000000000001E-2</v>
      </c>
      <c r="DV289">
        <v>0.32500000000000001</v>
      </c>
      <c r="DW289">
        <v>0.32500000000000001</v>
      </c>
      <c r="DX289">
        <v>0.32500000000000001</v>
      </c>
      <c r="DY289">
        <v>154.80114105004</v>
      </c>
      <c r="DZ289" s="4">
        <v>3.706</v>
      </c>
      <c r="EA289" s="4" t="s">
        <v>1375</v>
      </c>
      <c r="EB289" s="4" t="s">
        <v>788</v>
      </c>
      <c r="EC289">
        <v>4.2729999999999997</v>
      </c>
      <c r="ED289">
        <v>704</v>
      </c>
      <c r="EE289" t="s">
        <v>1495</v>
      </c>
      <c r="EF289">
        <v>0</v>
      </c>
      <c r="EH289">
        <f t="shared" si="9"/>
        <v>0.58000000000000007</v>
      </c>
      <c r="EI289">
        <v>3.38</v>
      </c>
      <c r="EJ289">
        <v>3.65</v>
      </c>
    </row>
    <row r="290" spans="1:140" x14ac:dyDescent="0.35">
      <c r="A290" s="1">
        <v>288</v>
      </c>
      <c r="B290">
        <v>-95.11794317909154</v>
      </c>
      <c r="C290">
        <v>44.331919533390277</v>
      </c>
      <c r="D290" t="s">
        <v>1496</v>
      </c>
      <c r="E290">
        <v>0.1</v>
      </c>
      <c r="F290" t="s">
        <v>326</v>
      </c>
      <c r="G290">
        <v>7.9399999999999998E-2</v>
      </c>
      <c r="H290" t="s">
        <v>161</v>
      </c>
      <c r="I290">
        <v>-10588481</v>
      </c>
      <c r="J290">
        <v>5516952</v>
      </c>
      <c r="K290" t="s">
        <v>1497</v>
      </c>
      <c r="L290" t="s">
        <v>1498</v>
      </c>
      <c r="M290">
        <v>64</v>
      </c>
      <c r="N290">
        <v>3.6560000000000001</v>
      </c>
      <c r="O290">
        <v>2</v>
      </c>
      <c r="P290">
        <v>4</v>
      </c>
      <c r="Q290">
        <v>27</v>
      </c>
      <c r="R290">
        <v>127</v>
      </c>
      <c r="S290">
        <v>15419</v>
      </c>
      <c r="T290" t="s">
        <v>1499</v>
      </c>
      <c r="U290">
        <v>5.6054727189595601</v>
      </c>
      <c r="V290" t="s">
        <v>1497</v>
      </c>
      <c r="W290">
        <v>0.1235</v>
      </c>
      <c r="X290">
        <v>10</v>
      </c>
      <c r="Y290">
        <v>8.9</v>
      </c>
      <c r="Z290">
        <v>8.9</v>
      </c>
      <c r="AA290">
        <v>20</v>
      </c>
      <c r="AB290">
        <v>26</v>
      </c>
      <c r="AC290">
        <v>0.76600000000000001</v>
      </c>
      <c r="AD290">
        <v>67</v>
      </c>
      <c r="AE290">
        <v>0.12174189446916719</v>
      </c>
      <c r="AF290">
        <v>2.86</v>
      </c>
      <c r="AG290" t="s">
        <v>1499</v>
      </c>
      <c r="AH290" t="s">
        <v>1497</v>
      </c>
      <c r="AI290">
        <v>28</v>
      </c>
      <c r="AJ290">
        <v>9.3333333333333341E-3</v>
      </c>
      <c r="AK290">
        <v>9.3333333333333339</v>
      </c>
      <c r="AL290" t="s">
        <v>1500</v>
      </c>
      <c r="AM290">
        <v>7887.9936455416482</v>
      </c>
      <c r="AN290">
        <v>1.23</v>
      </c>
      <c r="AO290">
        <v>0.09</v>
      </c>
      <c r="AP290">
        <v>0.19</v>
      </c>
      <c r="AQ290">
        <v>0.95</v>
      </c>
      <c r="AR290">
        <v>0.89</v>
      </c>
      <c r="AS290">
        <v>0.04</v>
      </c>
      <c r="AT290">
        <v>0.02</v>
      </c>
      <c r="AU290">
        <v>0.02</v>
      </c>
      <c r="AV290">
        <v>2.2000000000000002</v>
      </c>
      <c r="AW290">
        <v>1.2</v>
      </c>
      <c r="AX290">
        <v>0.21</v>
      </c>
      <c r="AY290">
        <v>0.53</v>
      </c>
      <c r="AZ290">
        <v>0</v>
      </c>
      <c r="BA290">
        <v>0.94</v>
      </c>
      <c r="BB290">
        <v>0.08</v>
      </c>
      <c r="BC290">
        <v>0.18</v>
      </c>
      <c r="BD290">
        <v>0.27</v>
      </c>
      <c r="BE290">
        <v>7.39</v>
      </c>
      <c r="BF290">
        <v>6.7</v>
      </c>
      <c r="BG290">
        <v>0.24</v>
      </c>
      <c r="BH290">
        <v>0.45</v>
      </c>
      <c r="BI290">
        <v>0</v>
      </c>
      <c r="BJ290">
        <v>0.04</v>
      </c>
      <c r="BK290">
        <v>6.66</v>
      </c>
      <c r="BL290">
        <v>0</v>
      </c>
      <c r="BM290">
        <v>1.74</v>
      </c>
      <c r="BN290">
        <v>0.21</v>
      </c>
      <c r="BO290">
        <v>0.46</v>
      </c>
      <c r="BP290">
        <v>1.07</v>
      </c>
      <c r="BQ290">
        <v>0.88</v>
      </c>
      <c r="BR290">
        <v>0.06</v>
      </c>
      <c r="BS290">
        <v>0.13</v>
      </c>
      <c r="BT290">
        <v>0</v>
      </c>
      <c r="BU290">
        <v>7.79</v>
      </c>
      <c r="BV290">
        <v>6.73</v>
      </c>
      <c r="BW290">
        <v>0.34</v>
      </c>
      <c r="BX290">
        <v>0.72</v>
      </c>
      <c r="BY290">
        <v>0</v>
      </c>
      <c r="BZ290">
        <v>0.04</v>
      </c>
      <c r="CA290">
        <v>6.7</v>
      </c>
      <c r="CB290">
        <v>0</v>
      </c>
      <c r="CC290">
        <f t="shared" si="8"/>
        <v>2.75</v>
      </c>
      <c r="CD290">
        <v>3.96</v>
      </c>
      <c r="CE290">
        <v>0.34230769230769231</v>
      </c>
      <c r="CF290">
        <v>0.44500000000000001</v>
      </c>
      <c r="CG290">
        <v>0.1492537313432836</v>
      </c>
      <c r="CH290">
        <v>0.26783216783216779</v>
      </c>
      <c r="CI290">
        <v>0</v>
      </c>
      <c r="CJ290">
        <v>17793</v>
      </c>
      <c r="CK290" t="s">
        <v>141</v>
      </c>
      <c r="CL290" t="s">
        <v>475</v>
      </c>
      <c r="CM290" t="s">
        <v>143</v>
      </c>
      <c r="CN290">
        <v>0.48959999999999998</v>
      </c>
      <c r="CO290">
        <v>11.10301039246883</v>
      </c>
      <c r="CP290">
        <v>289</v>
      </c>
      <c r="CQ290" t="s">
        <v>1366</v>
      </c>
      <c r="CR290">
        <v>13</v>
      </c>
      <c r="CS290" t="s">
        <v>1367</v>
      </c>
      <c r="CT290" t="s">
        <v>1366</v>
      </c>
      <c r="CU290" t="s">
        <v>1368</v>
      </c>
      <c r="CV290" t="s">
        <v>1369</v>
      </c>
      <c r="CW290" t="s">
        <v>1370</v>
      </c>
      <c r="CX290" t="s">
        <v>1371</v>
      </c>
      <c r="CY290" t="s">
        <v>1372</v>
      </c>
      <c r="CZ290" t="s">
        <v>1352</v>
      </c>
      <c r="DA290" t="s">
        <v>152</v>
      </c>
      <c r="DB290" t="s">
        <v>178</v>
      </c>
      <c r="DC290" t="s">
        <v>1373</v>
      </c>
      <c r="DD290" t="s">
        <v>657</v>
      </c>
      <c r="DE290">
        <v>10823</v>
      </c>
      <c r="DF290">
        <v>-100.88397000000001</v>
      </c>
      <c r="DG290">
        <v>47.47186</v>
      </c>
      <c r="DH290">
        <v>7525</v>
      </c>
      <c r="DI290">
        <v>260</v>
      </c>
      <c r="DL290">
        <v>8.6</v>
      </c>
      <c r="DM290">
        <v>0.8</v>
      </c>
      <c r="DN290">
        <v>16.2</v>
      </c>
      <c r="DO290">
        <v>190</v>
      </c>
      <c r="DP290">
        <v>104</v>
      </c>
      <c r="DQ290">
        <v>223</v>
      </c>
      <c r="DR290">
        <v>100000</v>
      </c>
      <c r="DS290" t="s">
        <v>1374</v>
      </c>
      <c r="DT290">
        <v>1.2500000000000001E-2</v>
      </c>
      <c r="DU290">
        <v>1.2500000000000001E-2</v>
      </c>
      <c r="DV290">
        <v>0.32500000000000001</v>
      </c>
      <c r="DW290">
        <v>0.32500000000000001</v>
      </c>
      <c r="DX290">
        <v>0.32500000000000001</v>
      </c>
      <c r="DY290">
        <v>247.01921811789671</v>
      </c>
      <c r="DZ290" s="4">
        <v>3.766</v>
      </c>
      <c r="EA290" s="4" t="s">
        <v>1501</v>
      </c>
      <c r="EB290" s="4" t="s">
        <v>1502</v>
      </c>
      <c r="EC290">
        <v>4.6429999999999998</v>
      </c>
      <c r="ED290">
        <v>226</v>
      </c>
      <c r="EE290" t="s">
        <v>1500</v>
      </c>
      <c r="EF290">
        <v>5.1231381184766563E-2</v>
      </c>
      <c r="EH290">
        <f t="shared" si="9"/>
        <v>0.58000000000000007</v>
      </c>
      <c r="EI290">
        <v>3.38</v>
      </c>
      <c r="EJ290">
        <v>3.65</v>
      </c>
    </row>
    <row r="291" spans="1:140" x14ac:dyDescent="0.35">
      <c r="A291" s="1">
        <v>289</v>
      </c>
      <c r="B291">
        <v>-93.321312610852502</v>
      </c>
      <c r="C291">
        <v>44.331919533390277</v>
      </c>
      <c r="D291" t="s">
        <v>1503</v>
      </c>
      <c r="E291">
        <v>0.1</v>
      </c>
      <c r="F291" t="s">
        <v>326</v>
      </c>
      <c r="G291">
        <v>8.8000000000000009E-2</v>
      </c>
      <c r="H291" t="s">
        <v>161</v>
      </c>
      <c r="I291">
        <v>-10388481</v>
      </c>
      <c r="J291">
        <v>5516952</v>
      </c>
      <c r="K291" t="s">
        <v>1497</v>
      </c>
      <c r="L291" t="s">
        <v>1504</v>
      </c>
      <c r="M291">
        <v>66</v>
      </c>
      <c r="N291">
        <v>3.645</v>
      </c>
      <c r="O291">
        <v>2</v>
      </c>
      <c r="P291">
        <v>4</v>
      </c>
      <c r="Q291">
        <v>27</v>
      </c>
      <c r="R291">
        <v>131</v>
      </c>
      <c r="S291">
        <v>67098</v>
      </c>
      <c r="T291" t="s">
        <v>1499</v>
      </c>
      <c r="U291">
        <v>5.6054727189595601</v>
      </c>
      <c r="V291" t="s">
        <v>1497</v>
      </c>
      <c r="W291">
        <v>0.1235</v>
      </c>
      <c r="X291">
        <v>10</v>
      </c>
      <c r="Y291">
        <v>8.9</v>
      </c>
      <c r="Z291">
        <v>8.9</v>
      </c>
      <c r="AA291">
        <v>20</v>
      </c>
      <c r="AB291">
        <v>26</v>
      </c>
      <c r="AC291">
        <v>0.76600000000000001</v>
      </c>
      <c r="AD291">
        <v>67</v>
      </c>
      <c r="AE291">
        <v>0.12174189446916719</v>
      </c>
      <c r="AF291">
        <v>2.86</v>
      </c>
      <c r="AG291" t="s">
        <v>1499</v>
      </c>
      <c r="AH291" t="s">
        <v>1497</v>
      </c>
      <c r="AI291">
        <v>28</v>
      </c>
      <c r="AJ291">
        <v>9.3333333333333341E-3</v>
      </c>
      <c r="AK291">
        <v>9.3333333333333339</v>
      </c>
      <c r="AL291" t="s">
        <v>1505</v>
      </c>
      <c r="AM291">
        <v>0</v>
      </c>
      <c r="AN291">
        <v>1.23</v>
      </c>
      <c r="AO291">
        <v>0.09</v>
      </c>
      <c r="AP291">
        <v>0.19</v>
      </c>
      <c r="AQ291">
        <v>0.95</v>
      </c>
      <c r="AR291">
        <v>0.89</v>
      </c>
      <c r="AS291">
        <v>0.04</v>
      </c>
      <c r="AT291">
        <v>0.02</v>
      </c>
      <c r="AU291">
        <v>0.02</v>
      </c>
      <c r="AV291">
        <v>2.2000000000000002</v>
      </c>
      <c r="AW291">
        <v>1.2</v>
      </c>
      <c r="AX291">
        <v>0.21</v>
      </c>
      <c r="AY291">
        <v>0.53</v>
      </c>
      <c r="AZ291">
        <v>0</v>
      </c>
      <c r="BA291">
        <v>0.94</v>
      </c>
      <c r="BB291">
        <v>0.08</v>
      </c>
      <c r="BC291">
        <v>0.18</v>
      </c>
      <c r="BD291">
        <v>0.27</v>
      </c>
      <c r="BE291">
        <v>7.39</v>
      </c>
      <c r="BF291">
        <v>6.7</v>
      </c>
      <c r="BG291">
        <v>0.24</v>
      </c>
      <c r="BH291">
        <v>0.45</v>
      </c>
      <c r="BI291">
        <v>0</v>
      </c>
      <c r="BJ291">
        <v>0.04</v>
      </c>
      <c r="BK291">
        <v>6.66</v>
      </c>
      <c r="BL291">
        <v>0</v>
      </c>
      <c r="BM291">
        <v>1.74</v>
      </c>
      <c r="BN291">
        <v>0.21</v>
      </c>
      <c r="BO291">
        <v>0.46</v>
      </c>
      <c r="BP291">
        <v>1.07</v>
      </c>
      <c r="BQ291">
        <v>0.88</v>
      </c>
      <c r="BR291">
        <v>0.06</v>
      </c>
      <c r="BS291">
        <v>0.13</v>
      </c>
      <c r="BT291">
        <v>0</v>
      </c>
      <c r="BU291">
        <v>7.79</v>
      </c>
      <c r="BV291">
        <v>6.73</v>
      </c>
      <c r="BW291">
        <v>0.34</v>
      </c>
      <c r="BX291">
        <v>0.72</v>
      </c>
      <c r="BY291">
        <v>0</v>
      </c>
      <c r="BZ291">
        <v>0.04</v>
      </c>
      <c r="CA291">
        <v>6.7</v>
      </c>
      <c r="CB291">
        <v>0</v>
      </c>
      <c r="CC291">
        <f t="shared" si="8"/>
        <v>2.75</v>
      </c>
      <c r="CD291">
        <v>3.96</v>
      </c>
      <c r="CE291">
        <v>0.34230769230769231</v>
      </c>
      <c r="CF291">
        <v>0.44500000000000001</v>
      </c>
      <c r="CG291">
        <v>0.1492537313432836</v>
      </c>
      <c r="CH291">
        <v>0.26783216783216779</v>
      </c>
      <c r="CI291">
        <v>0</v>
      </c>
      <c r="CJ291">
        <v>19028</v>
      </c>
      <c r="CK291" t="s">
        <v>141</v>
      </c>
      <c r="CL291" t="s">
        <v>475</v>
      </c>
      <c r="CM291" t="s">
        <v>143</v>
      </c>
      <c r="CN291">
        <v>0.28753632363199999</v>
      </c>
      <c r="CO291">
        <v>7.9664759998693819</v>
      </c>
      <c r="CP291">
        <v>290</v>
      </c>
      <c r="CQ291" t="s">
        <v>774</v>
      </c>
      <c r="CR291">
        <v>93</v>
      </c>
      <c r="CS291" t="s">
        <v>775</v>
      </c>
      <c r="CT291" t="s">
        <v>639</v>
      </c>
      <c r="CU291" t="s">
        <v>776</v>
      </c>
      <c r="CV291" t="s">
        <v>777</v>
      </c>
      <c r="CW291" t="s">
        <v>642</v>
      </c>
      <c r="CX291" t="s">
        <v>778</v>
      </c>
      <c r="CY291" t="s">
        <v>779</v>
      </c>
      <c r="CZ291" t="s">
        <v>645</v>
      </c>
      <c r="DA291" t="s">
        <v>152</v>
      </c>
      <c r="DB291" t="s">
        <v>491</v>
      </c>
      <c r="DC291" t="s">
        <v>459</v>
      </c>
      <c r="DD291" t="s">
        <v>492</v>
      </c>
      <c r="DE291">
        <v>5560</v>
      </c>
      <c r="DF291">
        <v>-88.498699999999999</v>
      </c>
      <c r="DG291">
        <v>38.153100000000002</v>
      </c>
      <c r="DH291">
        <v>7300</v>
      </c>
      <c r="DI291">
        <v>600</v>
      </c>
      <c r="DL291">
        <v>3.5</v>
      </c>
      <c r="DM291">
        <v>4</v>
      </c>
      <c r="DN291">
        <v>4</v>
      </c>
      <c r="DO291">
        <v>65</v>
      </c>
      <c r="DP291">
        <v>1</v>
      </c>
      <c r="DQ291">
        <v>400</v>
      </c>
      <c r="DR291">
        <v>140000</v>
      </c>
      <c r="DS291">
        <v>60</v>
      </c>
      <c r="DT291">
        <v>1.2500000000000001E-2</v>
      </c>
      <c r="DU291">
        <v>1.2500000000000001E-2</v>
      </c>
      <c r="DV291">
        <v>0.32500000000000001</v>
      </c>
      <c r="DW291">
        <v>0.32500000000000001</v>
      </c>
      <c r="DX291">
        <v>0.32500000000000001</v>
      </c>
      <c r="DY291">
        <v>253.98686214844309</v>
      </c>
      <c r="DZ291" s="4">
        <v>3.766</v>
      </c>
      <c r="EA291" s="4" t="s">
        <v>1501</v>
      </c>
      <c r="EB291" s="4" t="s">
        <v>1502</v>
      </c>
      <c r="EC291">
        <v>4.6429999999999998</v>
      </c>
      <c r="ED291">
        <v>480</v>
      </c>
      <c r="EE291" t="s">
        <v>1505</v>
      </c>
      <c r="EF291">
        <v>0</v>
      </c>
      <c r="EH291">
        <f t="shared" si="9"/>
        <v>0.58000000000000007</v>
      </c>
      <c r="EI291">
        <v>3.38</v>
      </c>
      <c r="EJ291">
        <v>3.65</v>
      </c>
    </row>
    <row r="292" spans="1:140" x14ac:dyDescent="0.35">
      <c r="A292" s="1">
        <v>290</v>
      </c>
      <c r="B292">
        <v>-91.524682042613449</v>
      </c>
      <c r="C292">
        <v>44.331919533390277</v>
      </c>
      <c r="D292" t="s">
        <v>1506</v>
      </c>
      <c r="E292">
        <v>0.1</v>
      </c>
      <c r="F292" t="s">
        <v>306</v>
      </c>
      <c r="G292">
        <v>8.8000000000000009E-2</v>
      </c>
      <c r="H292" t="s">
        <v>161</v>
      </c>
      <c r="I292">
        <v>-10188481</v>
      </c>
      <c r="J292">
        <v>5516952</v>
      </c>
      <c r="K292" t="s">
        <v>1393</v>
      </c>
      <c r="L292" t="s">
        <v>1507</v>
      </c>
      <c r="M292">
        <v>62</v>
      </c>
      <c r="N292">
        <v>3.5960000000000001</v>
      </c>
      <c r="O292">
        <v>2</v>
      </c>
      <c r="P292">
        <v>3</v>
      </c>
      <c r="Q292">
        <v>55</v>
      </c>
      <c r="R292">
        <v>121</v>
      </c>
      <c r="S292">
        <v>30756</v>
      </c>
      <c r="T292" t="s">
        <v>1395</v>
      </c>
      <c r="U292">
        <v>6.5847896768949399</v>
      </c>
      <c r="V292" t="s">
        <v>1393</v>
      </c>
      <c r="W292">
        <v>0.12720000000000001</v>
      </c>
      <c r="X292">
        <v>10</v>
      </c>
      <c r="Y292">
        <v>8.9</v>
      </c>
      <c r="Z292">
        <v>8.9</v>
      </c>
      <c r="AA292">
        <v>20</v>
      </c>
      <c r="AB292">
        <v>26</v>
      </c>
      <c r="AC292">
        <v>1.0900000000000001</v>
      </c>
      <c r="AD292">
        <v>67</v>
      </c>
      <c r="AE292">
        <v>0.17323585505403691</v>
      </c>
      <c r="AF292">
        <v>2.86</v>
      </c>
      <c r="AG292" t="s">
        <v>1395</v>
      </c>
      <c r="AH292" t="s">
        <v>1393</v>
      </c>
      <c r="AI292">
        <v>18</v>
      </c>
      <c r="AJ292">
        <v>6.0000000000000001E-3</v>
      </c>
      <c r="AK292">
        <v>6</v>
      </c>
      <c r="AL292" t="s">
        <v>1508</v>
      </c>
      <c r="AM292">
        <v>38223.48611449336</v>
      </c>
      <c r="AN292">
        <v>1.39</v>
      </c>
      <c r="AO292">
        <v>0.09</v>
      </c>
      <c r="AP292">
        <v>0.19</v>
      </c>
      <c r="AQ292">
        <v>1.1000000000000001</v>
      </c>
      <c r="AR292">
        <v>1.04</v>
      </c>
      <c r="AS292">
        <v>0.04</v>
      </c>
      <c r="AT292">
        <v>0.02</v>
      </c>
      <c r="AU292">
        <v>0.02</v>
      </c>
      <c r="AV292">
        <v>2.38</v>
      </c>
      <c r="AW292">
        <v>1.38</v>
      </c>
      <c r="AX292">
        <v>0.21</v>
      </c>
      <c r="AY292">
        <v>0.53</v>
      </c>
      <c r="AZ292">
        <v>0</v>
      </c>
      <c r="BA292">
        <v>1.1100000000000001</v>
      </c>
      <c r="BB292">
        <v>0.08</v>
      </c>
      <c r="BC292">
        <v>0.2</v>
      </c>
      <c r="BD292">
        <v>0.27</v>
      </c>
      <c r="BE292">
        <v>7.94</v>
      </c>
      <c r="BF292">
        <v>7.25</v>
      </c>
      <c r="BG292">
        <v>0.24</v>
      </c>
      <c r="BH292">
        <v>0.45</v>
      </c>
      <c r="BI292">
        <v>0</v>
      </c>
      <c r="BJ292">
        <v>0.04</v>
      </c>
      <c r="BK292">
        <v>7.21</v>
      </c>
      <c r="BL292">
        <v>0</v>
      </c>
      <c r="BM292">
        <v>1.9</v>
      </c>
      <c r="BN292">
        <v>0.21</v>
      </c>
      <c r="BO292">
        <v>0.46</v>
      </c>
      <c r="BP292">
        <v>1.23</v>
      </c>
      <c r="BQ292">
        <v>1.03</v>
      </c>
      <c r="BR292">
        <v>0.06</v>
      </c>
      <c r="BS292">
        <v>0.14000000000000001</v>
      </c>
      <c r="BT292">
        <v>0</v>
      </c>
      <c r="BU292">
        <v>8.35</v>
      </c>
      <c r="BV292">
        <v>7.29</v>
      </c>
      <c r="BW292">
        <v>0.34</v>
      </c>
      <c r="BX292">
        <v>0.72</v>
      </c>
      <c r="BY292">
        <v>0</v>
      </c>
      <c r="BZ292">
        <v>0.04</v>
      </c>
      <c r="CA292">
        <v>7.25</v>
      </c>
      <c r="CB292">
        <v>0</v>
      </c>
      <c r="CC292">
        <f t="shared" si="8"/>
        <v>2.75</v>
      </c>
      <c r="CD292">
        <v>3.96</v>
      </c>
      <c r="CE292">
        <v>0.34230769230769231</v>
      </c>
      <c r="CF292">
        <v>0.44500000000000001</v>
      </c>
      <c r="CG292">
        <v>0.1492537313432836</v>
      </c>
      <c r="CH292">
        <v>0.38111888111888109</v>
      </c>
      <c r="CI292">
        <v>0</v>
      </c>
      <c r="CJ292">
        <v>17182</v>
      </c>
      <c r="CK292" t="s">
        <v>141</v>
      </c>
      <c r="CL292" t="s">
        <v>475</v>
      </c>
      <c r="CM292" t="s">
        <v>143</v>
      </c>
      <c r="CN292">
        <v>0.129784173334</v>
      </c>
      <c r="CO292">
        <v>10.38690050238732</v>
      </c>
      <c r="CP292">
        <v>291</v>
      </c>
      <c r="CQ292" t="s">
        <v>774</v>
      </c>
      <c r="CR292">
        <v>93</v>
      </c>
      <c r="CS292" t="s">
        <v>775</v>
      </c>
      <c r="CT292" t="s">
        <v>639</v>
      </c>
      <c r="CU292" t="s">
        <v>776</v>
      </c>
      <c r="CV292" t="s">
        <v>777</v>
      </c>
      <c r="CW292" t="s">
        <v>642</v>
      </c>
      <c r="CX292" t="s">
        <v>778</v>
      </c>
      <c r="CY292" t="s">
        <v>779</v>
      </c>
      <c r="CZ292" t="s">
        <v>645</v>
      </c>
      <c r="DA292" t="s">
        <v>152</v>
      </c>
      <c r="DB292" t="s">
        <v>491</v>
      </c>
      <c r="DC292" t="s">
        <v>459</v>
      </c>
      <c r="DD292" t="s">
        <v>492</v>
      </c>
      <c r="DE292">
        <v>5560</v>
      </c>
      <c r="DF292">
        <v>-88.498699999999999</v>
      </c>
      <c r="DG292">
        <v>38.153100000000002</v>
      </c>
      <c r="DH292">
        <v>7300</v>
      </c>
      <c r="DI292">
        <v>600</v>
      </c>
      <c r="DL292">
        <v>3.5</v>
      </c>
      <c r="DM292">
        <v>4</v>
      </c>
      <c r="DN292">
        <v>4</v>
      </c>
      <c r="DO292">
        <v>65</v>
      </c>
      <c r="DP292">
        <v>1</v>
      </c>
      <c r="DQ292">
        <v>400</v>
      </c>
      <c r="DR292">
        <v>140000</v>
      </c>
      <c r="DS292">
        <v>60</v>
      </c>
      <c r="DT292">
        <v>1.2500000000000001E-2</v>
      </c>
      <c r="DU292">
        <v>1.2500000000000001E-2</v>
      </c>
      <c r="DV292">
        <v>0.32500000000000001</v>
      </c>
      <c r="DW292">
        <v>0.32500000000000001</v>
      </c>
      <c r="DX292">
        <v>0.32500000000000001</v>
      </c>
      <c r="DY292">
        <v>184.0847130880471</v>
      </c>
      <c r="DZ292" s="4">
        <v>3.6840000000000002</v>
      </c>
      <c r="EA292" s="4" t="s">
        <v>1397</v>
      </c>
      <c r="EB292" s="4" t="s">
        <v>1398</v>
      </c>
      <c r="EC292">
        <v>4.5810000000000004</v>
      </c>
      <c r="ED292">
        <v>810</v>
      </c>
      <c r="EE292" t="s">
        <v>1509</v>
      </c>
      <c r="EF292">
        <v>0.26429853203970621</v>
      </c>
      <c r="EH292">
        <f t="shared" si="9"/>
        <v>0.58000000000000007</v>
      </c>
      <c r="EI292">
        <v>3.38</v>
      </c>
      <c r="EJ292">
        <v>3.65</v>
      </c>
    </row>
    <row r="293" spans="1:140" x14ac:dyDescent="0.35">
      <c r="A293" s="1">
        <v>291</v>
      </c>
      <c r="B293">
        <v>-89.728051474374411</v>
      </c>
      <c r="C293">
        <v>44.331919533390277</v>
      </c>
      <c r="D293" t="s">
        <v>1510</v>
      </c>
      <c r="E293">
        <v>0.1</v>
      </c>
      <c r="F293" t="s">
        <v>306</v>
      </c>
      <c r="G293">
        <v>8.8000000000000009E-2</v>
      </c>
      <c r="H293" t="s">
        <v>161</v>
      </c>
      <c r="I293">
        <v>-9988481</v>
      </c>
      <c r="J293">
        <v>5516952</v>
      </c>
      <c r="K293" t="s">
        <v>1393</v>
      </c>
      <c r="L293" t="s">
        <v>1511</v>
      </c>
      <c r="M293">
        <v>72</v>
      </c>
      <c r="N293">
        <v>3.5859999999999999</v>
      </c>
      <c r="O293">
        <v>2</v>
      </c>
      <c r="P293">
        <v>3</v>
      </c>
      <c r="Q293">
        <v>55</v>
      </c>
      <c r="R293">
        <v>141</v>
      </c>
      <c r="S293">
        <v>74218</v>
      </c>
      <c r="T293" t="s">
        <v>1395</v>
      </c>
      <c r="U293">
        <v>6.5847896768949399</v>
      </c>
      <c r="V293" t="s">
        <v>1393</v>
      </c>
      <c r="W293">
        <v>0.12720000000000001</v>
      </c>
      <c r="X293">
        <v>10</v>
      </c>
      <c r="Y293">
        <v>8.9</v>
      </c>
      <c r="Z293">
        <v>8.9</v>
      </c>
      <c r="AA293">
        <v>20</v>
      </c>
      <c r="AB293">
        <v>26</v>
      </c>
      <c r="AC293">
        <v>1.0900000000000001</v>
      </c>
      <c r="AD293">
        <v>67</v>
      </c>
      <c r="AE293">
        <v>0.17323585505403691</v>
      </c>
      <c r="AF293">
        <v>2.86</v>
      </c>
      <c r="AG293" t="s">
        <v>1395</v>
      </c>
      <c r="AH293" t="s">
        <v>1393</v>
      </c>
      <c r="AI293">
        <v>18</v>
      </c>
      <c r="AJ293">
        <v>6.0000000000000001E-3</v>
      </c>
      <c r="AK293">
        <v>6</v>
      </c>
      <c r="AL293" t="s">
        <v>1512</v>
      </c>
      <c r="AM293">
        <v>0</v>
      </c>
      <c r="AN293">
        <v>1.39</v>
      </c>
      <c r="AO293">
        <v>0.09</v>
      </c>
      <c r="AP293">
        <v>0.19</v>
      </c>
      <c r="AQ293">
        <v>1.1000000000000001</v>
      </c>
      <c r="AR293">
        <v>1.04</v>
      </c>
      <c r="AS293">
        <v>0.04</v>
      </c>
      <c r="AT293">
        <v>0.02</v>
      </c>
      <c r="AU293">
        <v>0.02</v>
      </c>
      <c r="AV293">
        <v>2.38</v>
      </c>
      <c r="AW293">
        <v>1.38</v>
      </c>
      <c r="AX293">
        <v>0.21</v>
      </c>
      <c r="AY293">
        <v>0.53</v>
      </c>
      <c r="AZ293">
        <v>0</v>
      </c>
      <c r="BA293">
        <v>1.1100000000000001</v>
      </c>
      <c r="BB293">
        <v>0.08</v>
      </c>
      <c r="BC293">
        <v>0.2</v>
      </c>
      <c r="BD293">
        <v>0.27</v>
      </c>
      <c r="BE293">
        <v>7.94</v>
      </c>
      <c r="BF293">
        <v>7.25</v>
      </c>
      <c r="BG293">
        <v>0.24</v>
      </c>
      <c r="BH293">
        <v>0.45</v>
      </c>
      <c r="BI293">
        <v>0</v>
      </c>
      <c r="BJ293">
        <v>0.04</v>
      </c>
      <c r="BK293">
        <v>7.21</v>
      </c>
      <c r="BL293">
        <v>0</v>
      </c>
      <c r="BM293">
        <v>1.9</v>
      </c>
      <c r="BN293">
        <v>0.21</v>
      </c>
      <c r="BO293">
        <v>0.46</v>
      </c>
      <c r="BP293">
        <v>1.23</v>
      </c>
      <c r="BQ293">
        <v>1.03</v>
      </c>
      <c r="BR293">
        <v>0.06</v>
      </c>
      <c r="BS293">
        <v>0.14000000000000001</v>
      </c>
      <c r="BT293">
        <v>0</v>
      </c>
      <c r="BU293">
        <v>8.35</v>
      </c>
      <c r="BV293">
        <v>7.29</v>
      </c>
      <c r="BW293">
        <v>0.34</v>
      </c>
      <c r="BX293">
        <v>0.72</v>
      </c>
      <c r="BY293">
        <v>0</v>
      </c>
      <c r="BZ293">
        <v>0.04</v>
      </c>
      <c r="CA293">
        <v>7.25</v>
      </c>
      <c r="CB293">
        <v>0</v>
      </c>
      <c r="CC293">
        <f t="shared" si="8"/>
        <v>2.75</v>
      </c>
      <c r="CD293">
        <v>3.96</v>
      </c>
      <c r="CE293">
        <v>0.34230769230769231</v>
      </c>
      <c r="CF293">
        <v>0.44500000000000001</v>
      </c>
      <c r="CG293">
        <v>0.1492537313432836</v>
      </c>
      <c r="CH293">
        <v>0.38111888111888109</v>
      </c>
      <c r="CI293">
        <v>0</v>
      </c>
      <c r="CJ293">
        <v>27485</v>
      </c>
      <c r="CK293" t="s">
        <v>141</v>
      </c>
      <c r="CL293" t="s">
        <v>990</v>
      </c>
      <c r="CM293" t="s">
        <v>143</v>
      </c>
      <c r="CN293">
        <v>0.213761164286</v>
      </c>
      <c r="CO293">
        <v>12.968090830325661</v>
      </c>
      <c r="CP293">
        <v>292</v>
      </c>
      <c r="CQ293" t="s">
        <v>774</v>
      </c>
      <c r="CR293">
        <v>93</v>
      </c>
      <c r="CS293" t="s">
        <v>775</v>
      </c>
      <c r="CT293" t="s">
        <v>639</v>
      </c>
      <c r="CU293" t="s">
        <v>776</v>
      </c>
      <c r="CV293" t="s">
        <v>777</v>
      </c>
      <c r="CW293" t="s">
        <v>642</v>
      </c>
      <c r="CX293" t="s">
        <v>778</v>
      </c>
      <c r="CY293" t="s">
        <v>779</v>
      </c>
      <c r="CZ293" t="s">
        <v>645</v>
      </c>
      <c r="DA293" t="s">
        <v>152</v>
      </c>
      <c r="DB293" t="s">
        <v>491</v>
      </c>
      <c r="DC293" t="s">
        <v>459</v>
      </c>
      <c r="DD293" t="s">
        <v>492</v>
      </c>
      <c r="DE293">
        <v>5560</v>
      </c>
      <c r="DF293">
        <v>-88.498699999999999</v>
      </c>
      <c r="DG293">
        <v>38.153100000000002</v>
      </c>
      <c r="DH293">
        <v>7300</v>
      </c>
      <c r="DI293">
        <v>600</v>
      </c>
      <c r="DL293">
        <v>3.5</v>
      </c>
      <c r="DM293">
        <v>4</v>
      </c>
      <c r="DN293">
        <v>4</v>
      </c>
      <c r="DO293">
        <v>65</v>
      </c>
      <c r="DP293">
        <v>1</v>
      </c>
      <c r="DQ293">
        <v>400</v>
      </c>
      <c r="DR293">
        <v>140000</v>
      </c>
      <c r="DS293">
        <v>60</v>
      </c>
      <c r="DT293">
        <v>1.2500000000000001E-2</v>
      </c>
      <c r="DU293">
        <v>1.2500000000000001E-2</v>
      </c>
      <c r="DV293">
        <v>0.32500000000000001</v>
      </c>
      <c r="DW293">
        <v>0.32500000000000001</v>
      </c>
      <c r="DX293">
        <v>0.32500000000000001</v>
      </c>
      <c r="DY293">
        <v>173.9209405462619</v>
      </c>
      <c r="DZ293" s="4">
        <v>3.6840000000000002</v>
      </c>
      <c r="EA293" s="4" t="s">
        <v>1397</v>
      </c>
      <c r="EB293" s="4" t="s">
        <v>1398</v>
      </c>
      <c r="EC293">
        <v>4.5810000000000004</v>
      </c>
      <c r="ED293">
        <v>690</v>
      </c>
      <c r="EE293" t="s">
        <v>1512</v>
      </c>
      <c r="EF293">
        <v>0</v>
      </c>
      <c r="EH293">
        <f t="shared" si="9"/>
        <v>0.58000000000000007</v>
      </c>
      <c r="EI293">
        <v>3.38</v>
      </c>
      <c r="EJ293">
        <v>3.65</v>
      </c>
    </row>
    <row r="294" spans="1:140" x14ac:dyDescent="0.35">
      <c r="A294" s="1">
        <v>292</v>
      </c>
      <c r="B294">
        <v>-87.931420906135358</v>
      </c>
      <c r="C294">
        <v>44.331919533390277</v>
      </c>
      <c r="D294" t="s">
        <v>1513</v>
      </c>
      <c r="E294">
        <v>0.1</v>
      </c>
      <c r="F294" t="s">
        <v>135</v>
      </c>
      <c r="G294">
        <v>3.7100000000000001E-2</v>
      </c>
      <c r="H294" t="s">
        <v>161</v>
      </c>
      <c r="I294">
        <v>-9788481</v>
      </c>
      <c r="J294">
        <v>5516952</v>
      </c>
      <c r="K294" t="s">
        <v>1393</v>
      </c>
      <c r="L294" t="s">
        <v>1514</v>
      </c>
      <c r="M294">
        <v>5</v>
      </c>
      <c r="N294">
        <v>3.6160000000000001</v>
      </c>
      <c r="O294">
        <v>2</v>
      </c>
      <c r="P294">
        <v>3</v>
      </c>
      <c r="Q294">
        <v>55</v>
      </c>
      <c r="R294">
        <v>9</v>
      </c>
      <c r="S294">
        <v>268729</v>
      </c>
      <c r="T294" t="s">
        <v>1395</v>
      </c>
      <c r="U294">
        <v>6.5847896768949399</v>
      </c>
      <c r="V294" t="s">
        <v>1393</v>
      </c>
      <c r="W294">
        <v>0.12720000000000001</v>
      </c>
      <c r="X294">
        <v>10</v>
      </c>
      <c r="Y294">
        <v>8.9</v>
      </c>
      <c r="Z294">
        <v>8.9</v>
      </c>
      <c r="AA294">
        <v>20</v>
      </c>
      <c r="AB294">
        <v>26</v>
      </c>
      <c r="AC294">
        <v>1.0900000000000001</v>
      </c>
      <c r="AD294">
        <v>67</v>
      </c>
      <c r="AE294">
        <v>0.17323585505403691</v>
      </c>
      <c r="AF294">
        <v>2.86</v>
      </c>
      <c r="AG294" t="s">
        <v>1395</v>
      </c>
      <c r="AH294" t="s">
        <v>1393</v>
      </c>
      <c r="AI294">
        <v>18</v>
      </c>
      <c r="AJ294">
        <v>6.0000000000000001E-3</v>
      </c>
      <c r="AK294">
        <v>6</v>
      </c>
      <c r="AL294" t="s">
        <v>1515</v>
      </c>
      <c r="AM294">
        <v>0</v>
      </c>
      <c r="AN294">
        <v>1.39</v>
      </c>
      <c r="AO294">
        <v>0.09</v>
      </c>
      <c r="AP294">
        <v>0.19</v>
      </c>
      <c r="AQ294">
        <v>1.1000000000000001</v>
      </c>
      <c r="AR294">
        <v>1.04</v>
      </c>
      <c r="AS294">
        <v>0.04</v>
      </c>
      <c r="AT294">
        <v>0.02</v>
      </c>
      <c r="AU294">
        <v>0.02</v>
      </c>
      <c r="AV294">
        <v>2.38</v>
      </c>
      <c r="AW294">
        <v>1.38</v>
      </c>
      <c r="AX294">
        <v>0.21</v>
      </c>
      <c r="AY294">
        <v>0.53</v>
      </c>
      <c r="AZ294">
        <v>0</v>
      </c>
      <c r="BA294">
        <v>1.1100000000000001</v>
      </c>
      <c r="BB294">
        <v>0.08</v>
      </c>
      <c r="BC294">
        <v>0.2</v>
      </c>
      <c r="BD294">
        <v>0.27</v>
      </c>
      <c r="BE294">
        <v>7.94</v>
      </c>
      <c r="BF294">
        <v>7.25</v>
      </c>
      <c r="BG294">
        <v>0.24</v>
      </c>
      <c r="BH294">
        <v>0.45</v>
      </c>
      <c r="BI294">
        <v>0</v>
      </c>
      <c r="BJ294">
        <v>0.04</v>
      </c>
      <c r="BK294">
        <v>7.21</v>
      </c>
      <c r="BL294">
        <v>0</v>
      </c>
      <c r="BM294">
        <v>1.9</v>
      </c>
      <c r="BN294">
        <v>0.21</v>
      </c>
      <c r="BO294">
        <v>0.46</v>
      </c>
      <c r="BP294">
        <v>1.23</v>
      </c>
      <c r="BQ294">
        <v>1.03</v>
      </c>
      <c r="BR294">
        <v>0.06</v>
      </c>
      <c r="BS294">
        <v>0.14000000000000001</v>
      </c>
      <c r="BT294">
        <v>0</v>
      </c>
      <c r="BU294">
        <v>8.35</v>
      </c>
      <c r="BV294">
        <v>7.29</v>
      </c>
      <c r="BW294">
        <v>0.34</v>
      </c>
      <c r="BX294">
        <v>0.72</v>
      </c>
      <c r="BY294">
        <v>0</v>
      </c>
      <c r="BZ294">
        <v>0.04</v>
      </c>
      <c r="CA294">
        <v>7.25</v>
      </c>
      <c r="CB294">
        <v>0</v>
      </c>
      <c r="CC294">
        <f t="shared" si="8"/>
        <v>2.75</v>
      </c>
      <c r="CD294">
        <v>3.96</v>
      </c>
      <c r="CE294">
        <v>0.34230769230769231</v>
      </c>
      <c r="CF294">
        <v>0.44500000000000001</v>
      </c>
      <c r="CG294">
        <v>0.1492537313432836</v>
      </c>
      <c r="CH294">
        <v>0.38111888111888109</v>
      </c>
      <c r="CI294">
        <v>0</v>
      </c>
      <c r="CJ294">
        <v>27737</v>
      </c>
      <c r="CK294" t="s">
        <v>141</v>
      </c>
      <c r="CL294" t="s">
        <v>990</v>
      </c>
      <c r="CM294" t="s">
        <v>143</v>
      </c>
      <c r="CN294">
        <v>0.35989472202700001</v>
      </c>
      <c r="CO294">
        <v>2.8103964393163232</v>
      </c>
      <c r="CP294">
        <v>293</v>
      </c>
      <c r="CQ294" t="s">
        <v>1018</v>
      </c>
      <c r="CR294">
        <v>144</v>
      </c>
      <c r="CS294" t="s">
        <v>650</v>
      </c>
      <c r="CT294" t="s">
        <v>651</v>
      </c>
      <c r="CU294" t="s">
        <v>640</v>
      </c>
      <c r="CV294" t="s">
        <v>652</v>
      </c>
      <c r="CW294" t="s">
        <v>653</v>
      </c>
      <c r="CX294" t="s">
        <v>654</v>
      </c>
      <c r="CY294" t="s">
        <v>655</v>
      </c>
      <c r="CZ294" t="s">
        <v>645</v>
      </c>
      <c r="DA294" t="s">
        <v>152</v>
      </c>
      <c r="DB294" t="s">
        <v>178</v>
      </c>
      <c r="DC294" t="s">
        <v>656</v>
      </c>
      <c r="DD294" t="s">
        <v>657</v>
      </c>
      <c r="DE294">
        <v>10350</v>
      </c>
      <c r="DF294">
        <v>-84.596498999999994</v>
      </c>
      <c r="DG294">
        <v>38.291331</v>
      </c>
      <c r="DH294">
        <v>4500</v>
      </c>
      <c r="DI294">
        <v>200</v>
      </c>
      <c r="DL294">
        <v>10</v>
      </c>
      <c r="DM294">
        <v>8</v>
      </c>
      <c r="DN294">
        <v>12</v>
      </c>
      <c r="DO294">
        <v>50</v>
      </c>
      <c r="DP294">
        <v>25</v>
      </c>
      <c r="DQ294">
        <v>100</v>
      </c>
      <c r="DS294" t="s">
        <v>658</v>
      </c>
      <c r="DT294">
        <v>1.2500000000000001E-2</v>
      </c>
      <c r="DU294">
        <v>1.2500000000000001E-2</v>
      </c>
      <c r="DV294">
        <v>0.32500000000000001</v>
      </c>
      <c r="DW294">
        <v>0.32500000000000001</v>
      </c>
      <c r="DX294">
        <v>0.32500000000000001</v>
      </c>
      <c r="DY294">
        <v>95.537914580472631</v>
      </c>
      <c r="DZ294" s="4">
        <v>3.6840000000000002</v>
      </c>
      <c r="EA294" s="4" t="s">
        <v>1397</v>
      </c>
      <c r="EB294" s="4" t="s">
        <v>1398</v>
      </c>
      <c r="EC294">
        <v>4.5810000000000004</v>
      </c>
      <c r="ED294">
        <v>453</v>
      </c>
      <c r="EE294" t="s">
        <v>1515</v>
      </c>
      <c r="EF294">
        <v>0</v>
      </c>
      <c r="EH294">
        <f t="shared" si="9"/>
        <v>0.58000000000000007</v>
      </c>
      <c r="EI294">
        <v>3.38</v>
      </c>
      <c r="EJ294">
        <v>3.65</v>
      </c>
    </row>
    <row r="295" spans="1:140" x14ac:dyDescent="0.35">
      <c r="A295" s="1">
        <v>293</v>
      </c>
      <c r="B295">
        <v>-86.13479033789632</v>
      </c>
      <c r="C295">
        <v>44.331919533390277</v>
      </c>
      <c r="D295" t="s">
        <v>1516</v>
      </c>
      <c r="E295">
        <v>0.02</v>
      </c>
      <c r="F295" t="s">
        <v>160</v>
      </c>
      <c r="G295">
        <v>0.1239</v>
      </c>
      <c r="H295" t="s">
        <v>161</v>
      </c>
      <c r="I295">
        <v>-9588481</v>
      </c>
      <c r="J295">
        <v>5516952</v>
      </c>
      <c r="K295" t="s">
        <v>1138</v>
      </c>
      <c r="L295" t="s">
        <v>1517</v>
      </c>
      <c r="M295">
        <v>51</v>
      </c>
      <c r="N295">
        <v>3.9540000000000002</v>
      </c>
      <c r="O295">
        <v>2</v>
      </c>
      <c r="P295">
        <v>3</v>
      </c>
      <c r="Q295">
        <v>26</v>
      </c>
      <c r="R295">
        <v>101</v>
      </c>
      <c r="S295">
        <v>25029</v>
      </c>
      <c r="T295" t="s">
        <v>1136</v>
      </c>
      <c r="U295">
        <v>7.3304777992277996</v>
      </c>
      <c r="V295" t="s">
        <v>1138</v>
      </c>
      <c r="W295">
        <v>0.1416</v>
      </c>
      <c r="X295">
        <v>10</v>
      </c>
      <c r="Y295">
        <v>8.9</v>
      </c>
      <c r="Z295">
        <v>8.9</v>
      </c>
      <c r="AA295">
        <v>20</v>
      </c>
      <c r="AB295">
        <v>26</v>
      </c>
      <c r="AC295">
        <v>0.95699999999999996</v>
      </c>
      <c r="AD295">
        <v>67</v>
      </c>
      <c r="AE295">
        <v>0.15209790209790211</v>
      </c>
      <c r="AF295">
        <v>2.86</v>
      </c>
      <c r="AG295" t="s">
        <v>1136</v>
      </c>
      <c r="AH295" t="s">
        <v>1138</v>
      </c>
      <c r="AI295">
        <v>29</v>
      </c>
      <c r="AJ295">
        <v>9.6666666666666672E-3</v>
      </c>
      <c r="AK295">
        <v>9.6666666666666679</v>
      </c>
      <c r="AL295" t="s">
        <v>1518</v>
      </c>
      <c r="AM295">
        <v>25150.517488166159</v>
      </c>
      <c r="AN295">
        <v>1.51</v>
      </c>
      <c r="AO295">
        <v>0.09</v>
      </c>
      <c r="AP295">
        <v>0.19</v>
      </c>
      <c r="AQ295">
        <v>1.22</v>
      </c>
      <c r="AR295">
        <v>1.1599999999999999</v>
      </c>
      <c r="AS295">
        <v>0.04</v>
      </c>
      <c r="AT295">
        <v>0.02</v>
      </c>
      <c r="AU295">
        <v>0.02</v>
      </c>
      <c r="AV295">
        <v>2.52</v>
      </c>
      <c r="AW295">
        <v>1.52</v>
      </c>
      <c r="AX295">
        <v>0.21</v>
      </c>
      <c r="AY295">
        <v>0.53</v>
      </c>
      <c r="AZ295">
        <v>0</v>
      </c>
      <c r="BA295">
        <v>1.23</v>
      </c>
      <c r="BB295">
        <v>0.08</v>
      </c>
      <c r="BC295">
        <v>0.21</v>
      </c>
      <c r="BD295">
        <v>0.27</v>
      </c>
      <c r="BE295">
        <v>8.5</v>
      </c>
      <c r="BF295">
        <v>7.81</v>
      </c>
      <c r="BG295">
        <v>0.24</v>
      </c>
      <c r="BH295">
        <v>0.45</v>
      </c>
      <c r="BI295">
        <v>0</v>
      </c>
      <c r="BJ295">
        <v>0.04</v>
      </c>
      <c r="BK295">
        <v>7.77</v>
      </c>
      <c r="BL295">
        <v>0</v>
      </c>
      <c r="BM295">
        <v>2.0299999999999998</v>
      </c>
      <c r="BN295">
        <v>0.21</v>
      </c>
      <c r="BO295">
        <v>0.46</v>
      </c>
      <c r="BP295">
        <v>1.36</v>
      </c>
      <c r="BQ295">
        <v>1.1399999999999999</v>
      </c>
      <c r="BR295">
        <v>0.06</v>
      </c>
      <c r="BS295">
        <v>0.16</v>
      </c>
      <c r="BT295">
        <v>0</v>
      </c>
      <c r="BU295">
        <v>8.91</v>
      </c>
      <c r="BV295">
        <v>7.85</v>
      </c>
      <c r="BW295">
        <v>0.34</v>
      </c>
      <c r="BX295">
        <v>0.72</v>
      </c>
      <c r="BY295">
        <v>0</v>
      </c>
      <c r="BZ295">
        <v>0.04</v>
      </c>
      <c r="CA295">
        <v>7.81</v>
      </c>
      <c r="CB295">
        <v>0</v>
      </c>
      <c r="CC295">
        <f t="shared" si="8"/>
        <v>2.75</v>
      </c>
      <c r="CD295">
        <v>3.96</v>
      </c>
      <c r="CE295">
        <v>0.34230769230769231</v>
      </c>
      <c r="CF295">
        <v>0.44500000000000001</v>
      </c>
      <c r="CG295">
        <v>0.1492537313432836</v>
      </c>
      <c r="CH295">
        <v>0.33461538461538459</v>
      </c>
      <c r="CI295">
        <v>0</v>
      </c>
      <c r="CJ295">
        <v>14064</v>
      </c>
      <c r="CK295" t="s">
        <v>169</v>
      </c>
      <c r="CL295" t="s">
        <v>1410</v>
      </c>
      <c r="CM295" t="s">
        <v>143</v>
      </c>
      <c r="CN295">
        <v>0.48694033145799998</v>
      </c>
      <c r="CO295">
        <v>2.089662763988708</v>
      </c>
      <c r="CP295">
        <v>294</v>
      </c>
      <c r="CQ295" t="s">
        <v>1411</v>
      </c>
      <c r="CR295">
        <v>201</v>
      </c>
      <c r="CS295" t="s">
        <v>1412</v>
      </c>
      <c r="CT295" t="s">
        <v>1413</v>
      </c>
      <c r="CU295" t="s">
        <v>1136</v>
      </c>
      <c r="CV295" t="s">
        <v>1414</v>
      </c>
      <c r="CW295" t="s">
        <v>1138</v>
      </c>
      <c r="CX295" t="s">
        <v>1139</v>
      </c>
      <c r="CY295" t="s">
        <v>1140</v>
      </c>
      <c r="CZ295" t="s">
        <v>686</v>
      </c>
      <c r="DA295" t="s">
        <v>152</v>
      </c>
      <c r="DB295" t="s">
        <v>178</v>
      </c>
      <c r="DC295" t="s">
        <v>459</v>
      </c>
      <c r="DD295" t="s">
        <v>492</v>
      </c>
      <c r="DE295">
        <v>9198</v>
      </c>
      <c r="DF295">
        <v>-84.445599999999999</v>
      </c>
      <c r="DG295">
        <v>43.7074</v>
      </c>
      <c r="DH295">
        <v>7310</v>
      </c>
      <c r="DI295">
        <v>450</v>
      </c>
      <c r="DL295">
        <v>7</v>
      </c>
      <c r="DM295">
        <v>5.5</v>
      </c>
      <c r="DN295">
        <v>8.4</v>
      </c>
      <c r="DO295">
        <v>75</v>
      </c>
      <c r="DP295">
        <v>10</v>
      </c>
      <c r="DQ295">
        <v>300</v>
      </c>
      <c r="DS295" t="s">
        <v>1415</v>
      </c>
      <c r="DT295">
        <v>1.2500000000000001E-2</v>
      </c>
      <c r="DU295">
        <v>1.2500000000000001E-2</v>
      </c>
      <c r="DV295">
        <v>0.32500000000000001</v>
      </c>
      <c r="DW295">
        <v>0.32500000000000001</v>
      </c>
      <c r="DX295">
        <v>0.32500000000000001</v>
      </c>
      <c r="DY295">
        <v>0</v>
      </c>
      <c r="DZ295" s="4">
        <v>3.9670000000000001</v>
      </c>
      <c r="EA295" s="4" t="s">
        <v>1405</v>
      </c>
      <c r="EB295" s="4" t="s">
        <v>1406</v>
      </c>
      <c r="EC295">
        <v>4.9119999999999999</v>
      </c>
      <c r="ED295">
        <v>710</v>
      </c>
      <c r="EE295" t="s">
        <v>1518</v>
      </c>
      <c r="EF295">
        <v>0.16190233962265921</v>
      </c>
      <c r="EH295">
        <f t="shared" si="9"/>
        <v>0.58000000000000007</v>
      </c>
      <c r="EI295">
        <v>3.38</v>
      </c>
      <c r="EJ295">
        <v>3.65</v>
      </c>
    </row>
    <row r="296" spans="1:140" x14ac:dyDescent="0.35">
      <c r="A296" s="1">
        <v>294</v>
      </c>
      <c r="B296">
        <v>-84.338159769657281</v>
      </c>
      <c r="C296">
        <v>44.331919533390277</v>
      </c>
      <c r="D296" t="s">
        <v>1519</v>
      </c>
      <c r="E296">
        <v>0.02</v>
      </c>
      <c r="F296" t="s">
        <v>160</v>
      </c>
      <c r="G296">
        <v>0.1239</v>
      </c>
      <c r="H296" t="s">
        <v>161</v>
      </c>
      <c r="I296">
        <v>-9388481</v>
      </c>
      <c r="J296">
        <v>5516952</v>
      </c>
      <c r="K296" t="s">
        <v>1138</v>
      </c>
      <c r="L296" t="s">
        <v>1520</v>
      </c>
      <c r="M296">
        <v>65</v>
      </c>
      <c r="N296">
        <v>3.95</v>
      </c>
      <c r="O296">
        <v>2</v>
      </c>
      <c r="P296">
        <v>3</v>
      </c>
      <c r="Q296">
        <v>26</v>
      </c>
      <c r="R296">
        <v>129</v>
      </c>
      <c r="S296">
        <v>20769</v>
      </c>
      <c r="T296" t="s">
        <v>1136</v>
      </c>
      <c r="U296">
        <v>7.3304777992277996</v>
      </c>
      <c r="V296" t="s">
        <v>1138</v>
      </c>
      <c r="W296">
        <v>0.1416</v>
      </c>
      <c r="X296">
        <v>10</v>
      </c>
      <c r="Y296">
        <v>8.9</v>
      </c>
      <c r="Z296">
        <v>8.9</v>
      </c>
      <c r="AA296">
        <v>20</v>
      </c>
      <c r="AB296">
        <v>26</v>
      </c>
      <c r="AC296">
        <v>0.95699999999999996</v>
      </c>
      <c r="AD296">
        <v>67</v>
      </c>
      <c r="AE296">
        <v>0.15209790209790211</v>
      </c>
      <c r="AF296">
        <v>2.86</v>
      </c>
      <c r="AG296" t="s">
        <v>1136</v>
      </c>
      <c r="AH296" t="s">
        <v>1138</v>
      </c>
      <c r="AI296">
        <v>29</v>
      </c>
      <c r="AJ296">
        <v>9.6666666666666672E-3</v>
      </c>
      <c r="AK296">
        <v>9.6666666666666679</v>
      </c>
      <c r="AL296" t="s">
        <v>1521</v>
      </c>
      <c r="AM296">
        <v>55394.730277061994</v>
      </c>
      <c r="AN296">
        <v>1.51</v>
      </c>
      <c r="AO296">
        <v>0.09</v>
      </c>
      <c r="AP296">
        <v>0.19</v>
      </c>
      <c r="AQ296">
        <v>1.22</v>
      </c>
      <c r="AR296">
        <v>1.1599999999999999</v>
      </c>
      <c r="AS296">
        <v>0.04</v>
      </c>
      <c r="AT296">
        <v>0.02</v>
      </c>
      <c r="AU296">
        <v>0.02</v>
      </c>
      <c r="AV296">
        <v>2.52</v>
      </c>
      <c r="AW296">
        <v>1.52</v>
      </c>
      <c r="AX296">
        <v>0.21</v>
      </c>
      <c r="AY296">
        <v>0.53</v>
      </c>
      <c r="AZ296">
        <v>0</v>
      </c>
      <c r="BA296">
        <v>1.23</v>
      </c>
      <c r="BB296">
        <v>0.08</v>
      </c>
      <c r="BC296">
        <v>0.21</v>
      </c>
      <c r="BD296">
        <v>0.27</v>
      </c>
      <c r="BE296">
        <v>8.5</v>
      </c>
      <c r="BF296">
        <v>7.81</v>
      </c>
      <c r="BG296">
        <v>0.24</v>
      </c>
      <c r="BH296">
        <v>0.45</v>
      </c>
      <c r="BI296">
        <v>0</v>
      </c>
      <c r="BJ296">
        <v>0.04</v>
      </c>
      <c r="BK296">
        <v>7.77</v>
      </c>
      <c r="BL296">
        <v>0</v>
      </c>
      <c r="BM296">
        <v>2.0299999999999998</v>
      </c>
      <c r="BN296">
        <v>0.21</v>
      </c>
      <c r="BO296">
        <v>0.46</v>
      </c>
      <c r="BP296">
        <v>1.36</v>
      </c>
      <c r="BQ296">
        <v>1.1399999999999999</v>
      </c>
      <c r="BR296">
        <v>0.06</v>
      </c>
      <c r="BS296">
        <v>0.16</v>
      </c>
      <c r="BT296">
        <v>0</v>
      </c>
      <c r="BU296">
        <v>8.91</v>
      </c>
      <c r="BV296">
        <v>7.85</v>
      </c>
      <c r="BW296">
        <v>0.34</v>
      </c>
      <c r="BX296">
        <v>0.72</v>
      </c>
      <c r="BY296">
        <v>0</v>
      </c>
      <c r="BZ296">
        <v>0.04</v>
      </c>
      <c r="CA296">
        <v>7.81</v>
      </c>
      <c r="CB296">
        <v>0</v>
      </c>
      <c r="CC296">
        <f t="shared" si="8"/>
        <v>2.75</v>
      </c>
      <c r="CD296">
        <v>3.96</v>
      </c>
      <c r="CE296">
        <v>0.34230769230769231</v>
      </c>
      <c r="CF296">
        <v>0.44500000000000001</v>
      </c>
      <c r="CG296">
        <v>0.1492537313432836</v>
      </c>
      <c r="CH296">
        <v>0.33461538461538459</v>
      </c>
      <c r="CI296">
        <v>0</v>
      </c>
      <c r="CJ296">
        <v>14037</v>
      </c>
      <c r="CK296" t="s">
        <v>169</v>
      </c>
      <c r="CL296" t="s">
        <v>1410</v>
      </c>
      <c r="CM296" t="s">
        <v>143</v>
      </c>
      <c r="CN296">
        <v>0.13676103679000001</v>
      </c>
      <c r="CO296">
        <v>8.6095729827759726</v>
      </c>
      <c r="CP296">
        <v>295</v>
      </c>
      <c r="CQ296" t="s">
        <v>1411</v>
      </c>
      <c r="CR296">
        <v>201</v>
      </c>
      <c r="CS296" t="s">
        <v>1412</v>
      </c>
      <c r="CT296" t="s">
        <v>1413</v>
      </c>
      <c r="CU296" t="s">
        <v>1136</v>
      </c>
      <c r="CV296" t="s">
        <v>1414</v>
      </c>
      <c r="CW296" t="s">
        <v>1138</v>
      </c>
      <c r="CX296" t="s">
        <v>1139</v>
      </c>
      <c r="CY296" t="s">
        <v>1140</v>
      </c>
      <c r="CZ296" t="s">
        <v>686</v>
      </c>
      <c r="DA296" t="s">
        <v>152</v>
      </c>
      <c r="DB296" t="s">
        <v>178</v>
      </c>
      <c r="DC296" t="s">
        <v>459</v>
      </c>
      <c r="DD296" t="s">
        <v>492</v>
      </c>
      <c r="DE296">
        <v>9198</v>
      </c>
      <c r="DF296">
        <v>-84.445599999999999</v>
      </c>
      <c r="DG296">
        <v>43.7074</v>
      </c>
      <c r="DH296">
        <v>7310</v>
      </c>
      <c r="DI296">
        <v>450</v>
      </c>
      <c r="DL296">
        <v>7</v>
      </c>
      <c r="DM296">
        <v>5.5</v>
      </c>
      <c r="DN296">
        <v>8.4</v>
      </c>
      <c r="DO296">
        <v>75</v>
      </c>
      <c r="DP296">
        <v>10</v>
      </c>
      <c r="DQ296">
        <v>300</v>
      </c>
      <c r="DS296" t="s">
        <v>1415</v>
      </c>
      <c r="DT296">
        <v>1.2500000000000001E-2</v>
      </c>
      <c r="DU296">
        <v>1.2500000000000001E-2</v>
      </c>
      <c r="DV296">
        <v>0.32500000000000001</v>
      </c>
      <c r="DW296">
        <v>0.32500000000000001</v>
      </c>
      <c r="DX296">
        <v>0.32500000000000001</v>
      </c>
      <c r="DY296">
        <v>0</v>
      </c>
      <c r="DZ296" s="4">
        <v>3.9670000000000001</v>
      </c>
      <c r="EA296" s="4" t="s">
        <v>1405</v>
      </c>
      <c r="EB296" s="4" t="s">
        <v>1406</v>
      </c>
      <c r="EC296">
        <v>4.9119999999999999</v>
      </c>
      <c r="ED296">
        <v>545</v>
      </c>
      <c r="EE296" t="s">
        <v>1521</v>
      </c>
      <c r="EF296">
        <v>0.37649267943228798</v>
      </c>
      <c r="EH296">
        <f t="shared" si="9"/>
        <v>0.58000000000000007</v>
      </c>
      <c r="EI296">
        <v>3.38</v>
      </c>
      <c r="EJ296">
        <v>3.65</v>
      </c>
    </row>
    <row r="297" spans="1:140" x14ac:dyDescent="0.35">
      <c r="A297" s="1">
        <v>295</v>
      </c>
      <c r="B297">
        <v>-82.541529201418243</v>
      </c>
      <c r="C297">
        <v>44.331919533390277</v>
      </c>
      <c r="D297" t="s">
        <v>1522</v>
      </c>
      <c r="E297">
        <v>0.1</v>
      </c>
      <c r="F297" t="s">
        <v>135</v>
      </c>
      <c r="G297">
        <v>3.7100000000000001E-2</v>
      </c>
      <c r="H297" t="s">
        <v>161</v>
      </c>
      <c r="I297">
        <v>-9188481</v>
      </c>
      <c r="J297">
        <v>5516952</v>
      </c>
      <c r="K297" t="s">
        <v>1138</v>
      </c>
      <c r="L297" t="s">
        <v>1523</v>
      </c>
      <c r="T297" t="s">
        <v>1136</v>
      </c>
      <c r="U297">
        <v>7.3304777992277996</v>
      </c>
      <c r="V297" t="s">
        <v>1138</v>
      </c>
      <c r="W297">
        <v>0.1416</v>
      </c>
      <c r="X297">
        <v>10</v>
      </c>
      <c r="Y297">
        <v>8.9</v>
      </c>
      <c r="Z297">
        <v>8.9</v>
      </c>
      <c r="AA297">
        <v>20</v>
      </c>
      <c r="AB297">
        <v>26</v>
      </c>
      <c r="AC297">
        <v>0.95699999999999996</v>
      </c>
      <c r="AD297">
        <v>67</v>
      </c>
      <c r="AE297">
        <v>0.15209790209790211</v>
      </c>
      <c r="AF297">
        <v>2.86</v>
      </c>
      <c r="AG297" t="s">
        <v>1136</v>
      </c>
      <c r="AH297" t="s">
        <v>1138</v>
      </c>
      <c r="AI297">
        <v>29</v>
      </c>
      <c r="AJ297">
        <v>9.6666666666666672E-3</v>
      </c>
      <c r="AK297">
        <v>9.6666666666666679</v>
      </c>
      <c r="AL297" t="s">
        <v>1524</v>
      </c>
      <c r="AM297">
        <v>119642.08640686789</v>
      </c>
      <c r="AN297">
        <v>1.51</v>
      </c>
      <c r="AO297">
        <v>0.09</v>
      </c>
      <c r="AP297">
        <v>0.19</v>
      </c>
      <c r="AQ297">
        <v>1.22</v>
      </c>
      <c r="AR297">
        <v>1.1599999999999999</v>
      </c>
      <c r="AS297">
        <v>0.04</v>
      </c>
      <c r="AT297">
        <v>0.02</v>
      </c>
      <c r="AU297">
        <v>0.02</v>
      </c>
      <c r="AV297">
        <v>2.52</v>
      </c>
      <c r="AW297">
        <v>1.52</v>
      </c>
      <c r="AX297">
        <v>0.21</v>
      </c>
      <c r="AY297">
        <v>0.53</v>
      </c>
      <c r="AZ297">
        <v>0</v>
      </c>
      <c r="BA297">
        <v>1.23</v>
      </c>
      <c r="BB297">
        <v>0.08</v>
      </c>
      <c r="BC297">
        <v>0.21</v>
      </c>
      <c r="BD297">
        <v>0.27</v>
      </c>
      <c r="BE297">
        <v>8.5</v>
      </c>
      <c r="BF297">
        <v>7.81</v>
      </c>
      <c r="BG297">
        <v>0.24</v>
      </c>
      <c r="BH297">
        <v>0.45</v>
      </c>
      <c r="BI297">
        <v>0</v>
      </c>
      <c r="BJ297">
        <v>0.04</v>
      </c>
      <c r="BK297">
        <v>7.77</v>
      </c>
      <c r="BL297">
        <v>0</v>
      </c>
      <c r="BM297">
        <v>2.0299999999999998</v>
      </c>
      <c r="BN297">
        <v>0.21</v>
      </c>
      <c r="BO297">
        <v>0.46</v>
      </c>
      <c r="BP297">
        <v>1.36</v>
      </c>
      <c r="BQ297">
        <v>1.1399999999999999</v>
      </c>
      <c r="BR297">
        <v>0.06</v>
      </c>
      <c r="BS297">
        <v>0.16</v>
      </c>
      <c r="BT297">
        <v>0</v>
      </c>
      <c r="BU297">
        <v>8.91</v>
      </c>
      <c r="BV297">
        <v>7.85</v>
      </c>
      <c r="BW297">
        <v>0.34</v>
      </c>
      <c r="BX297">
        <v>0.72</v>
      </c>
      <c r="BY297">
        <v>0</v>
      </c>
      <c r="BZ297">
        <v>0.04</v>
      </c>
      <c r="CA297">
        <v>7.81</v>
      </c>
      <c r="CB297">
        <v>0</v>
      </c>
      <c r="CC297">
        <f t="shared" si="8"/>
        <v>2.75</v>
      </c>
      <c r="CD297">
        <v>3.96</v>
      </c>
      <c r="CE297">
        <v>0.34230769230769231</v>
      </c>
      <c r="CF297">
        <v>0.44500000000000001</v>
      </c>
      <c r="CG297">
        <v>0.1492537313432836</v>
      </c>
      <c r="CH297">
        <v>0.33461538461538459</v>
      </c>
      <c r="CI297">
        <v>0</v>
      </c>
      <c r="CJ297">
        <v>14028</v>
      </c>
      <c r="CK297" t="s">
        <v>169</v>
      </c>
      <c r="CL297" t="s">
        <v>1410</v>
      </c>
      <c r="CM297" t="s">
        <v>143</v>
      </c>
      <c r="CN297">
        <v>5.7599999999999998E-2</v>
      </c>
      <c r="CO297">
        <v>57.207111332199332</v>
      </c>
      <c r="CP297">
        <v>296</v>
      </c>
      <c r="CQ297" t="s">
        <v>1525</v>
      </c>
      <c r="CR297">
        <v>141</v>
      </c>
      <c r="CS297" t="s">
        <v>1135</v>
      </c>
      <c r="CT297" t="s">
        <v>651</v>
      </c>
      <c r="CU297" t="s">
        <v>1136</v>
      </c>
      <c r="CV297" t="s">
        <v>1137</v>
      </c>
      <c r="CW297" t="s">
        <v>1138</v>
      </c>
      <c r="CX297" t="s">
        <v>1139</v>
      </c>
      <c r="CY297" t="s">
        <v>1140</v>
      </c>
      <c r="CZ297" t="s">
        <v>686</v>
      </c>
      <c r="DA297" t="s">
        <v>152</v>
      </c>
      <c r="DB297" t="s">
        <v>178</v>
      </c>
      <c r="DC297" t="s">
        <v>656</v>
      </c>
      <c r="DD297" t="s">
        <v>657</v>
      </c>
      <c r="DE297">
        <v>4788</v>
      </c>
      <c r="DF297">
        <v>-83.666839999999993</v>
      </c>
      <c r="DG297">
        <v>42.225355</v>
      </c>
      <c r="DH297">
        <v>4000</v>
      </c>
      <c r="DI297">
        <v>250</v>
      </c>
      <c r="DL297">
        <v>12</v>
      </c>
      <c r="DM297">
        <v>10</v>
      </c>
      <c r="DN297">
        <v>14</v>
      </c>
      <c r="DO297">
        <v>125</v>
      </c>
      <c r="DP297">
        <v>60</v>
      </c>
      <c r="DQ297">
        <v>250</v>
      </c>
      <c r="DS297" t="s">
        <v>658</v>
      </c>
      <c r="DT297">
        <v>1.2500000000000001E-2</v>
      </c>
      <c r="DU297">
        <v>1.2500000000000001E-2</v>
      </c>
      <c r="DV297">
        <v>0.32500000000000001</v>
      </c>
      <c r="DW297">
        <v>0.32500000000000001</v>
      </c>
      <c r="DX297">
        <v>0.32500000000000001</v>
      </c>
      <c r="DY297">
        <v>30.779067552517319</v>
      </c>
      <c r="DZ297" s="4">
        <v>3.9670000000000001</v>
      </c>
      <c r="EA297" s="4" t="s">
        <v>1405</v>
      </c>
      <c r="EB297" s="4" t="s">
        <v>1406</v>
      </c>
      <c r="EC297">
        <v>4.9119999999999999</v>
      </c>
      <c r="ED297">
        <v>631</v>
      </c>
      <c r="EE297" t="s">
        <v>1524</v>
      </c>
      <c r="EF297">
        <v>0.94060235689756433</v>
      </c>
      <c r="EH297">
        <f t="shared" si="9"/>
        <v>0.58000000000000007</v>
      </c>
      <c r="EI297">
        <v>3.38</v>
      </c>
      <c r="EJ297">
        <v>3.65</v>
      </c>
    </row>
    <row r="298" spans="1:140" x14ac:dyDescent="0.35">
      <c r="A298" s="1">
        <v>296</v>
      </c>
      <c r="B298">
        <v>-77.151637496701113</v>
      </c>
      <c r="C298">
        <v>44.331919533390277</v>
      </c>
      <c r="D298" t="s">
        <v>1526</v>
      </c>
      <c r="E298">
        <v>0.1</v>
      </c>
      <c r="F298" t="s">
        <v>135</v>
      </c>
      <c r="G298">
        <v>3.7100000000000001E-2</v>
      </c>
      <c r="H298" t="s">
        <v>136</v>
      </c>
      <c r="I298">
        <v>-8588481</v>
      </c>
      <c r="J298">
        <v>5516952</v>
      </c>
      <c r="K298" t="s">
        <v>1159</v>
      </c>
      <c r="L298" t="s">
        <v>1527</v>
      </c>
      <c r="T298" t="s">
        <v>1161</v>
      </c>
      <c r="U298">
        <v>8.3286235013208714</v>
      </c>
      <c r="V298" t="s">
        <v>1159</v>
      </c>
      <c r="W298">
        <v>0.1966</v>
      </c>
      <c r="X298">
        <v>10</v>
      </c>
      <c r="Y298">
        <v>8.9</v>
      </c>
      <c r="Z298">
        <v>8.9</v>
      </c>
      <c r="AA298">
        <v>20</v>
      </c>
      <c r="AB298">
        <v>26</v>
      </c>
      <c r="AC298">
        <v>0.53700000000000003</v>
      </c>
      <c r="AD298">
        <v>67</v>
      </c>
      <c r="AE298">
        <v>8.5346471710108077E-2</v>
      </c>
      <c r="AF298">
        <v>2.86</v>
      </c>
      <c r="AG298" t="s">
        <v>1161</v>
      </c>
      <c r="AH298" t="s">
        <v>1159</v>
      </c>
      <c r="AI298">
        <v>30</v>
      </c>
      <c r="AJ298">
        <v>0.01</v>
      </c>
      <c r="AK298">
        <v>10</v>
      </c>
      <c r="AL298" t="s">
        <v>1528</v>
      </c>
      <c r="AM298">
        <v>93827.46947811039</v>
      </c>
      <c r="AN298">
        <v>1.67</v>
      </c>
      <c r="AO298">
        <v>0.09</v>
      </c>
      <c r="AP298">
        <v>0.19</v>
      </c>
      <c r="AQ298">
        <v>1.39</v>
      </c>
      <c r="AR298">
        <v>1.32</v>
      </c>
      <c r="AS298">
        <v>0.04</v>
      </c>
      <c r="AT298">
        <v>0.03</v>
      </c>
      <c r="AU298">
        <v>0.02</v>
      </c>
      <c r="AV298">
        <v>2.78</v>
      </c>
      <c r="AW298">
        <v>1.78</v>
      </c>
      <c r="AX298">
        <v>0.21</v>
      </c>
      <c r="AY298">
        <v>0.53</v>
      </c>
      <c r="AZ298">
        <v>0</v>
      </c>
      <c r="BA298">
        <v>1.4</v>
      </c>
      <c r="BB298">
        <v>0.08</v>
      </c>
      <c r="BC298">
        <v>0.3</v>
      </c>
      <c r="BD298">
        <v>0.27</v>
      </c>
      <c r="BE298">
        <v>11.83</v>
      </c>
      <c r="BF298">
        <v>11.14</v>
      </c>
      <c r="BG298">
        <v>0.24</v>
      </c>
      <c r="BH298">
        <v>0.45</v>
      </c>
      <c r="BI298">
        <v>0</v>
      </c>
      <c r="BJ298">
        <v>0.04</v>
      </c>
      <c r="BK298">
        <v>11.1</v>
      </c>
      <c r="BL298">
        <v>0</v>
      </c>
      <c r="BM298">
        <v>2.25</v>
      </c>
      <c r="BN298">
        <v>0.21</v>
      </c>
      <c r="BO298">
        <v>0.46</v>
      </c>
      <c r="BP298">
        <v>1.58</v>
      </c>
      <c r="BQ298">
        <v>1.3</v>
      </c>
      <c r="BR298">
        <v>0.06</v>
      </c>
      <c r="BS298">
        <v>0.22</v>
      </c>
      <c r="BT298">
        <v>0</v>
      </c>
      <c r="BU298">
        <v>12.26</v>
      </c>
      <c r="BV298">
        <v>11.2</v>
      </c>
      <c r="BW298">
        <v>0.34</v>
      </c>
      <c r="BX298">
        <v>0.72</v>
      </c>
      <c r="BY298">
        <v>0</v>
      </c>
      <c r="BZ298">
        <v>0.04</v>
      </c>
      <c r="CA298">
        <v>11.16</v>
      </c>
      <c r="CB298">
        <v>0</v>
      </c>
      <c r="CC298">
        <f t="shared" si="8"/>
        <v>2.75</v>
      </c>
      <c r="CD298">
        <v>3.96</v>
      </c>
      <c r="CE298">
        <v>0.34230769230769231</v>
      </c>
      <c r="CF298">
        <v>0.44500000000000001</v>
      </c>
      <c r="CG298">
        <v>0.1492537313432836</v>
      </c>
      <c r="CH298">
        <v>0.1877622377622378</v>
      </c>
      <c r="CI298">
        <v>0</v>
      </c>
      <c r="CJ298">
        <v>1250</v>
      </c>
      <c r="CK298" t="s">
        <v>141</v>
      </c>
      <c r="CL298" t="s">
        <v>1431</v>
      </c>
      <c r="CM298" t="s">
        <v>143</v>
      </c>
      <c r="CN298">
        <v>0.351696486182</v>
      </c>
      <c r="CO298">
        <v>113.0251839536222</v>
      </c>
      <c r="CP298">
        <v>297</v>
      </c>
      <c r="CQ298" t="s">
        <v>1424</v>
      </c>
      <c r="CR298">
        <v>144</v>
      </c>
      <c r="CS298" t="s">
        <v>650</v>
      </c>
      <c r="CT298" t="s">
        <v>651</v>
      </c>
      <c r="CU298" t="s">
        <v>640</v>
      </c>
      <c r="CV298" t="s">
        <v>652</v>
      </c>
      <c r="CW298" t="s">
        <v>653</v>
      </c>
      <c r="CX298" t="s">
        <v>654</v>
      </c>
      <c r="CY298" t="s">
        <v>655</v>
      </c>
      <c r="CZ298" t="s">
        <v>645</v>
      </c>
      <c r="DA298" t="s">
        <v>152</v>
      </c>
      <c r="DB298" t="s">
        <v>178</v>
      </c>
      <c r="DC298" t="s">
        <v>656</v>
      </c>
      <c r="DD298" t="s">
        <v>657</v>
      </c>
      <c r="DE298">
        <v>10350</v>
      </c>
      <c r="DF298">
        <v>-84.596498999999994</v>
      </c>
      <c r="DG298">
        <v>38.291331</v>
      </c>
      <c r="DH298">
        <v>4500</v>
      </c>
      <c r="DI298">
        <v>200</v>
      </c>
      <c r="DL298">
        <v>10</v>
      </c>
      <c r="DM298">
        <v>8</v>
      </c>
      <c r="DN298">
        <v>12</v>
      </c>
      <c r="DO298">
        <v>50</v>
      </c>
      <c r="DP298">
        <v>25</v>
      </c>
      <c r="DQ298">
        <v>100</v>
      </c>
      <c r="DS298" t="s">
        <v>658</v>
      </c>
      <c r="DT298">
        <v>1.2500000000000001E-2</v>
      </c>
      <c r="DU298">
        <v>1.2500000000000001E-2</v>
      </c>
      <c r="DV298">
        <v>0.32500000000000001</v>
      </c>
      <c r="DW298">
        <v>0.32500000000000001</v>
      </c>
      <c r="DX298">
        <v>0.32500000000000001</v>
      </c>
      <c r="DY298">
        <v>87.192781292667192</v>
      </c>
      <c r="DZ298" s="4">
        <v>4.0780000000000003</v>
      </c>
      <c r="EA298" s="4" t="s">
        <v>1163</v>
      </c>
      <c r="EB298" s="4" t="s">
        <v>1164</v>
      </c>
      <c r="EC298">
        <v>5.391</v>
      </c>
      <c r="ED298">
        <v>475</v>
      </c>
      <c r="EE298" t="s">
        <v>1528</v>
      </c>
      <c r="EF298">
        <v>0.81429092378047152</v>
      </c>
      <c r="EH298">
        <f t="shared" si="9"/>
        <v>0.58000000000000007</v>
      </c>
      <c r="EI298">
        <v>3.38</v>
      </c>
      <c r="EJ298">
        <v>3.65</v>
      </c>
    </row>
    <row r="299" spans="1:140" x14ac:dyDescent="0.35">
      <c r="A299" s="1">
        <v>297</v>
      </c>
      <c r="B299">
        <v>-75.355006928462075</v>
      </c>
      <c r="C299">
        <v>44.331919533390277</v>
      </c>
      <c r="D299" t="s">
        <v>1529</v>
      </c>
      <c r="E299">
        <v>0.1</v>
      </c>
      <c r="F299" t="s">
        <v>135</v>
      </c>
      <c r="G299">
        <v>3.7100000000000001E-2</v>
      </c>
      <c r="H299" t="s">
        <v>161</v>
      </c>
      <c r="I299">
        <v>-8388481</v>
      </c>
      <c r="J299">
        <v>5516952</v>
      </c>
      <c r="K299" t="s">
        <v>1159</v>
      </c>
      <c r="L299" t="s">
        <v>1530</v>
      </c>
      <c r="M299">
        <v>50</v>
      </c>
      <c r="N299">
        <v>4.1989999999999998</v>
      </c>
      <c r="T299" t="s">
        <v>1161</v>
      </c>
      <c r="U299">
        <v>8.3286235013208714</v>
      </c>
      <c r="V299" t="s">
        <v>1159</v>
      </c>
      <c r="W299">
        <v>0.1966</v>
      </c>
      <c r="X299">
        <v>10</v>
      </c>
      <c r="Y299">
        <v>8.9</v>
      </c>
      <c r="Z299">
        <v>8.9</v>
      </c>
      <c r="AA299">
        <v>20</v>
      </c>
      <c r="AB299">
        <v>26</v>
      </c>
      <c r="AC299">
        <v>0.53700000000000003</v>
      </c>
      <c r="AD299">
        <v>67</v>
      </c>
      <c r="AE299">
        <v>8.5346471710108077E-2</v>
      </c>
      <c r="AF299">
        <v>2.86</v>
      </c>
      <c r="AG299" t="s">
        <v>1161</v>
      </c>
      <c r="AH299" t="s">
        <v>1159</v>
      </c>
      <c r="AI299">
        <v>30</v>
      </c>
      <c r="AJ299">
        <v>0.01</v>
      </c>
      <c r="AK299">
        <v>10</v>
      </c>
      <c r="AL299" t="s">
        <v>1531</v>
      </c>
      <c r="AM299">
        <v>0</v>
      </c>
      <c r="AN299">
        <v>1.67</v>
      </c>
      <c r="AO299">
        <v>0.09</v>
      </c>
      <c r="AP299">
        <v>0.19</v>
      </c>
      <c r="AQ299">
        <v>1.39</v>
      </c>
      <c r="AR299">
        <v>1.32</v>
      </c>
      <c r="AS299">
        <v>0.04</v>
      </c>
      <c r="AT299">
        <v>0.03</v>
      </c>
      <c r="AU299">
        <v>0.02</v>
      </c>
      <c r="AV299">
        <v>2.78</v>
      </c>
      <c r="AW299">
        <v>1.78</v>
      </c>
      <c r="AX299">
        <v>0.21</v>
      </c>
      <c r="AY299">
        <v>0.53</v>
      </c>
      <c r="AZ299">
        <v>0</v>
      </c>
      <c r="BA299">
        <v>1.4</v>
      </c>
      <c r="BB299">
        <v>0.08</v>
      </c>
      <c r="BC299">
        <v>0.3</v>
      </c>
      <c r="BD299">
        <v>0.27</v>
      </c>
      <c r="BE299">
        <v>11.83</v>
      </c>
      <c r="BF299">
        <v>11.14</v>
      </c>
      <c r="BG299">
        <v>0.24</v>
      </c>
      <c r="BH299">
        <v>0.45</v>
      </c>
      <c r="BI299">
        <v>0</v>
      </c>
      <c r="BJ299">
        <v>0.04</v>
      </c>
      <c r="BK299">
        <v>11.1</v>
      </c>
      <c r="BL299">
        <v>0</v>
      </c>
      <c r="BM299">
        <v>2.25</v>
      </c>
      <c r="BN299">
        <v>0.21</v>
      </c>
      <c r="BO299">
        <v>0.46</v>
      </c>
      <c r="BP299">
        <v>1.58</v>
      </c>
      <c r="BQ299">
        <v>1.3</v>
      </c>
      <c r="BR299">
        <v>0.06</v>
      </c>
      <c r="BS299">
        <v>0.22</v>
      </c>
      <c r="BT299">
        <v>0</v>
      </c>
      <c r="BU299">
        <v>12.26</v>
      </c>
      <c r="BV299">
        <v>11.2</v>
      </c>
      <c r="BW299">
        <v>0.34</v>
      </c>
      <c r="BX299">
        <v>0.72</v>
      </c>
      <c r="BY299">
        <v>0</v>
      </c>
      <c r="BZ299">
        <v>0.04</v>
      </c>
      <c r="CA299">
        <v>11.16</v>
      </c>
      <c r="CB299">
        <v>0</v>
      </c>
      <c r="CC299">
        <f t="shared" si="8"/>
        <v>2.75</v>
      </c>
      <c r="CD299">
        <v>3.96</v>
      </c>
      <c r="CE299">
        <v>0.34230769230769231</v>
      </c>
      <c r="CF299">
        <v>0.44500000000000001</v>
      </c>
      <c r="CG299">
        <v>0.1492537313432836</v>
      </c>
      <c r="CH299">
        <v>0.1877622377622378</v>
      </c>
      <c r="CI299">
        <v>0</v>
      </c>
      <c r="CJ299">
        <v>7246</v>
      </c>
      <c r="CK299" t="s">
        <v>141</v>
      </c>
      <c r="CL299" t="s">
        <v>1269</v>
      </c>
      <c r="CM299" t="s">
        <v>143</v>
      </c>
      <c r="CN299">
        <v>2.3193973355700001E-3</v>
      </c>
      <c r="CO299">
        <v>3.8342369263870779</v>
      </c>
      <c r="CP299">
        <v>298</v>
      </c>
      <c r="CQ299" t="s">
        <v>1424</v>
      </c>
      <c r="CR299">
        <v>144</v>
      </c>
      <c r="CS299" t="s">
        <v>650</v>
      </c>
      <c r="CT299" t="s">
        <v>651</v>
      </c>
      <c r="CU299" t="s">
        <v>640</v>
      </c>
      <c r="CV299" t="s">
        <v>652</v>
      </c>
      <c r="CW299" t="s">
        <v>653</v>
      </c>
      <c r="CX299" t="s">
        <v>654</v>
      </c>
      <c r="CY299" t="s">
        <v>655</v>
      </c>
      <c r="CZ299" t="s">
        <v>645</v>
      </c>
      <c r="DA299" t="s">
        <v>152</v>
      </c>
      <c r="DB299" t="s">
        <v>178</v>
      </c>
      <c r="DC299" t="s">
        <v>656</v>
      </c>
      <c r="DD299" t="s">
        <v>657</v>
      </c>
      <c r="DE299">
        <v>10350</v>
      </c>
      <c r="DF299">
        <v>-84.596498999999994</v>
      </c>
      <c r="DG299">
        <v>38.291331</v>
      </c>
      <c r="DH299">
        <v>4500</v>
      </c>
      <c r="DI299">
        <v>200</v>
      </c>
      <c r="DL299">
        <v>10</v>
      </c>
      <c r="DM299">
        <v>8</v>
      </c>
      <c r="DN299">
        <v>12</v>
      </c>
      <c r="DO299">
        <v>50</v>
      </c>
      <c r="DP299">
        <v>25</v>
      </c>
      <c r="DQ299">
        <v>100</v>
      </c>
      <c r="DS299" t="s">
        <v>658</v>
      </c>
      <c r="DT299">
        <v>1.2500000000000001E-2</v>
      </c>
      <c r="DU299">
        <v>1.2500000000000001E-2</v>
      </c>
      <c r="DV299">
        <v>0.32500000000000001</v>
      </c>
      <c r="DW299">
        <v>0.32500000000000001</v>
      </c>
      <c r="DX299">
        <v>0.32500000000000001</v>
      </c>
      <c r="DY299">
        <v>95.441906240904373</v>
      </c>
      <c r="DZ299" s="4">
        <v>4.0780000000000003</v>
      </c>
      <c r="EA299" s="4" t="s">
        <v>1163</v>
      </c>
      <c r="EB299" s="4" t="s">
        <v>1164</v>
      </c>
      <c r="EC299">
        <v>5.391</v>
      </c>
      <c r="ED299">
        <v>533</v>
      </c>
      <c r="EE299" t="s">
        <v>1531</v>
      </c>
      <c r="EF299">
        <v>0</v>
      </c>
      <c r="EH299">
        <f t="shared" si="9"/>
        <v>0.58000000000000007</v>
      </c>
      <c r="EI299">
        <v>3.38</v>
      </c>
      <c r="EJ299">
        <v>3.65</v>
      </c>
    </row>
    <row r="300" spans="1:140" x14ac:dyDescent="0.35">
      <c r="A300" s="1">
        <v>298</v>
      </c>
      <c r="B300">
        <v>-73.558376360223022</v>
      </c>
      <c r="C300">
        <v>44.331919533390277</v>
      </c>
      <c r="D300" t="s">
        <v>1532</v>
      </c>
      <c r="E300">
        <v>0.1</v>
      </c>
      <c r="F300" t="s">
        <v>306</v>
      </c>
      <c r="G300">
        <v>3.7100000000000001E-2</v>
      </c>
      <c r="H300" t="s">
        <v>161</v>
      </c>
      <c r="I300">
        <v>-8188481</v>
      </c>
      <c r="J300">
        <v>5516952</v>
      </c>
      <c r="K300" t="s">
        <v>1159</v>
      </c>
      <c r="L300" t="s">
        <v>1533</v>
      </c>
      <c r="M300">
        <v>16</v>
      </c>
      <c r="N300">
        <v>4.1840000000000002</v>
      </c>
      <c r="O300">
        <v>1</v>
      </c>
      <c r="P300">
        <v>2</v>
      </c>
      <c r="Q300">
        <v>36</v>
      </c>
      <c r="R300">
        <v>31</v>
      </c>
      <c r="S300">
        <v>37362</v>
      </c>
      <c r="T300" t="s">
        <v>1161</v>
      </c>
      <c r="U300">
        <v>8.3286235013208714</v>
      </c>
      <c r="V300" t="s">
        <v>1159</v>
      </c>
      <c r="W300">
        <v>0.1966</v>
      </c>
      <c r="X300">
        <v>10</v>
      </c>
      <c r="Y300">
        <v>8.9</v>
      </c>
      <c r="Z300">
        <v>8.9</v>
      </c>
      <c r="AA300">
        <v>20</v>
      </c>
      <c r="AB300">
        <v>26</v>
      </c>
      <c r="AC300">
        <v>0.53700000000000003</v>
      </c>
      <c r="AD300">
        <v>67</v>
      </c>
      <c r="AE300">
        <v>8.5346471710108077E-2</v>
      </c>
      <c r="AF300">
        <v>2.86</v>
      </c>
      <c r="AG300" t="s">
        <v>1161</v>
      </c>
      <c r="AH300" t="s">
        <v>1159</v>
      </c>
      <c r="AI300">
        <v>30</v>
      </c>
      <c r="AJ300">
        <v>0.01</v>
      </c>
      <c r="AK300">
        <v>10</v>
      </c>
      <c r="AL300" t="s">
        <v>1534</v>
      </c>
      <c r="AM300">
        <v>20074.121723786851</v>
      </c>
      <c r="AN300">
        <v>1.67</v>
      </c>
      <c r="AO300">
        <v>0.09</v>
      </c>
      <c r="AP300">
        <v>0.19</v>
      </c>
      <c r="AQ300">
        <v>1.39</v>
      </c>
      <c r="AR300">
        <v>1.32</v>
      </c>
      <c r="AS300">
        <v>0.04</v>
      </c>
      <c r="AT300">
        <v>0.03</v>
      </c>
      <c r="AU300">
        <v>0.02</v>
      </c>
      <c r="AV300">
        <v>2.78</v>
      </c>
      <c r="AW300">
        <v>1.78</v>
      </c>
      <c r="AX300">
        <v>0.21</v>
      </c>
      <c r="AY300">
        <v>0.53</v>
      </c>
      <c r="AZ300">
        <v>0</v>
      </c>
      <c r="BA300">
        <v>1.4</v>
      </c>
      <c r="BB300">
        <v>0.08</v>
      </c>
      <c r="BC300">
        <v>0.3</v>
      </c>
      <c r="BD300">
        <v>0.27</v>
      </c>
      <c r="BE300">
        <v>11.83</v>
      </c>
      <c r="BF300">
        <v>11.14</v>
      </c>
      <c r="BG300">
        <v>0.24</v>
      </c>
      <c r="BH300">
        <v>0.45</v>
      </c>
      <c r="BI300">
        <v>0</v>
      </c>
      <c r="BJ300">
        <v>0.04</v>
      </c>
      <c r="BK300">
        <v>11.1</v>
      </c>
      <c r="BL300">
        <v>0</v>
      </c>
      <c r="BM300">
        <v>2.25</v>
      </c>
      <c r="BN300">
        <v>0.21</v>
      </c>
      <c r="BO300">
        <v>0.46</v>
      </c>
      <c r="BP300">
        <v>1.58</v>
      </c>
      <c r="BQ300">
        <v>1.3</v>
      </c>
      <c r="BR300">
        <v>0.06</v>
      </c>
      <c r="BS300">
        <v>0.22</v>
      </c>
      <c r="BT300">
        <v>0</v>
      </c>
      <c r="BU300">
        <v>12.26</v>
      </c>
      <c r="BV300">
        <v>11.2</v>
      </c>
      <c r="BW300">
        <v>0.34</v>
      </c>
      <c r="BX300">
        <v>0.72</v>
      </c>
      <c r="BY300">
        <v>0</v>
      </c>
      <c r="BZ300">
        <v>0.04</v>
      </c>
      <c r="CA300">
        <v>11.16</v>
      </c>
      <c r="CB300">
        <v>0</v>
      </c>
      <c r="CC300">
        <f t="shared" si="8"/>
        <v>2.75</v>
      </c>
      <c r="CD300">
        <v>3.96</v>
      </c>
      <c r="CE300">
        <v>0.34230769230769231</v>
      </c>
      <c r="CF300">
        <v>0.44500000000000001</v>
      </c>
      <c r="CG300">
        <v>0.1492537313432836</v>
      </c>
      <c r="CH300">
        <v>0.1877622377622378</v>
      </c>
      <c r="CI300">
        <v>0</v>
      </c>
      <c r="CJ300">
        <v>29847</v>
      </c>
      <c r="CK300" t="s">
        <v>141</v>
      </c>
      <c r="CL300" t="s">
        <v>1535</v>
      </c>
      <c r="CM300" t="s">
        <v>143</v>
      </c>
      <c r="CN300">
        <v>1.6331379323600001E-2</v>
      </c>
      <c r="CO300">
        <v>27.581565966476621</v>
      </c>
      <c r="CP300">
        <v>299</v>
      </c>
      <c r="CQ300" t="s">
        <v>1424</v>
      </c>
      <c r="CR300">
        <v>144</v>
      </c>
      <c r="CS300" t="s">
        <v>650</v>
      </c>
      <c r="CT300" t="s">
        <v>651</v>
      </c>
      <c r="CU300" t="s">
        <v>640</v>
      </c>
      <c r="CV300" t="s">
        <v>652</v>
      </c>
      <c r="CW300" t="s">
        <v>653</v>
      </c>
      <c r="CX300" t="s">
        <v>654</v>
      </c>
      <c r="CY300" t="s">
        <v>655</v>
      </c>
      <c r="CZ300" t="s">
        <v>645</v>
      </c>
      <c r="DA300" t="s">
        <v>152</v>
      </c>
      <c r="DB300" t="s">
        <v>178</v>
      </c>
      <c r="DC300" t="s">
        <v>656</v>
      </c>
      <c r="DD300" t="s">
        <v>657</v>
      </c>
      <c r="DE300">
        <v>10350</v>
      </c>
      <c r="DF300">
        <v>-84.596498999999994</v>
      </c>
      <c r="DG300">
        <v>38.291331</v>
      </c>
      <c r="DH300">
        <v>4500</v>
      </c>
      <c r="DI300">
        <v>200</v>
      </c>
      <c r="DL300">
        <v>10</v>
      </c>
      <c r="DM300">
        <v>8</v>
      </c>
      <c r="DN300">
        <v>12</v>
      </c>
      <c r="DO300">
        <v>50</v>
      </c>
      <c r="DP300">
        <v>25</v>
      </c>
      <c r="DQ300">
        <v>100</v>
      </c>
      <c r="DS300" t="s">
        <v>658</v>
      </c>
      <c r="DT300">
        <v>1.2500000000000001E-2</v>
      </c>
      <c r="DU300">
        <v>1.2500000000000001E-2</v>
      </c>
      <c r="DV300">
        <v>0.32500000000000001</v>
      </c>
      <c r="DW300">
        <v>0.32500000000000001</v>
      </c>
      <c r="DX300">
        <v>0.32500000000000001</v>
      </c>
      <c r="DY300">
        <v>169.65672440156791</v>
      </c>
      <c r="DZ300" s="4">
        <v>4.0780000000000003</v>
      </c>
      <c r="EA300" s="4" t="s">
        <v>1163</v>
      </c>
      <c r="EB300" s="4" t="s">
        <v>1164</v>
      </c>
      <c r="EC300">
        <v>5.391</v>
      </c>
      <c r="ED300">
        <v>450</v>
      </c>
      <c r="EE300" t="s">
        <v>1534</v>
      </c>
      <c r="EF300">
        <v>0.13315823414670269</v>
      </c>
      <c r="EH300">
        <f t="shared" si="9"/>
        <v>0.58000000000000007</v>
      </c>
      <c r="EI300">
        <v>3.38</v>
      </c>
      <c r="EJ300">
        <v>3.65</v>
      </c>
    </row>
    <row r="301" spans="1:140" x14ac:dyDescent="0.35">
      <c r="A301" s="1">
        <v>299</v>
      </c>
      <c r="B301">
        <v>-71.761745791983984</v>
      </c>
      <c r="C301">
        <v>44.331919533390277</v>
      </c>
      <c r="D301" t="s">
        <v>1536</v>
      </c>
      <c r="E301">
        <v>0.1</v>
      </c>
      <c r="F301" t="s">
        <v>326</v>
      </c>
      <c r="G301">
        <v>3.7100000000000001E-2</v>
      </c>
      <c r="H301" t="s">
        <v>161</v>
      </c>
      <c r="I301">
        <v>-7988481</v>
      </c>
      <c r="J301">
        <v>5516952</v>
      </c>
      <c r="K301" t="s">
        <v>1436</v>
      </c>
      <c r="L301" t="s">
        <v>1537</v>
      </c>
      <c r="M301">
        <v>5</v>
      </c>
      <c r="N301">
        <v>3.9</v>
      </c>
      <c r="O301">
        <v>1</v>
      </c>
      <c r="P301">
        <v>1</v>
      </c>
      <c r="Q301">
        <v>33</v>
      </c>
      <c r="R301">
        <v>9</v>
      </c>
      <c r="S301">
        <v>91112</v>
      </c>
      <c r="T301" t="s">
        <v>1438</v>
      </c>
      <c r="U301">
        <v>10.025909368014631</v>
      </c>
      <c r="V301" t="s">
        <v>1436</v>
      </c>
      <c r="W301">
        <v>0.20610000000000001</v>
      </c>
      <c r="X301">
        <v>10</v>
      </c>
      <c r="Y301">
        <v>8.9</v>
      </c>
      <c r="Z301">
        <v>8.9</v>
      </c>
      <c r="AA301">
        <v>20</v>
      </c>
      <c r="AB301">
        <v>26</v>
      </c>
      <c r="AC301">
        <v>0.28000000000000003</v>
      </c>
      <c r="AD301">
        <v>67</v>
      </c>
      <c r="AE301">
        <v>4.4500953591862687E-2</v>
      </c>
      <c r="AF301">
        <v>2.86</v>
      </c>
      <c r="AG301" t="s">
        <v>1438</v>
      </c>
      <c r="AH301" t="s">
        <v>1436</v>
      </c>
      <c r="AI301">
        <v>27</v>
      </c>
      <c r="AJ301">
        <v>8.9999999999999993E-3</v>
      </c>
      <c r="AK301">
        <v>9</v>
      </c>
      <c r="AL301" t="s">
        <v>1538</v>
      </c>
      <c r="AM301">
        <v>0</v>
      </c>
      <c r="AN301">
        <v>1.94</v>
      </c>
      <c r="AO301">
        <v>0.09</v>
      </c>
      <c r="AP301">
        <v>0.19</v>
      </c>
      <c r="AQ301">
        <v>1.66</v>
      </c>
      <c r="AR301">
        <v>1.58</v>
      </c>
      <c r="AS301">
        <v>0.04</v>
      </c>
      <c r="AT301">
        <v>0.03</v>
      </c>
      <c r="AU301">
        <v>0.02</v>
      </c>
      <c r="AV301">
        <v>3.08</v>
      </c>
      <c r="AW301">
        <v>2.08</v>
      </c>
      <c r="AX301">
        <v>0.21</v>
      </c>
      <c r="AY301">
        <v>0.53</v>
      </c>
      <c r="AZ301">
        <v>0</v>
      </c>
      <c r="BA301">
        <v>1.69</v>
      </c>
      <c r="BB301">
        <v>0.08</v>
      </c>
      <c r="BC301">
        <v>0.32</v>
      </c>
      <c r="BD301">
        <v>0.27</v>
      </c>
      <c r="BE301">
        <v>12.38</v>
      </c>
      <c r="BF301">
        <v>11.69</v>
      </c>
      <c r="BG301">
        <v>0.24</v>
      </c>
      <c r="BH301">
        <v>0.45</v>
      </c>
      <c r="BI301">
        <v>0</v>
      </c>
      <c r="BJ301">
        <v>0.04</v>
      </c>
      <c r="BK301">
        <v>11.65</v>
      </c>
      <c r="BL301">
        <v>0</v>
      </c>
      <c r="BM301">
        <v>2.5299999999999998</v>
      </c>
      <c r="BN301">
        <v>0.21</v>
      </c>
      <c r="BO301">
        <v>0.46</v>
      </c>
      <c r="BP301">
        <v>1.86</v>
      </c>
      <c r="BQ301">
        <v>1.56</v>
      </c>
      <c r="BR301">
        <v>0.06</v>
      </c>
      <c r="BS301">
        <v>0.23</v>
      </c>
      <c r="BT301">
        <v>0</v>
      </c>
      <c r="BU301">
        <v>12.82</v>
      </c>
      <c r="BV301">
        <v>11.76</v>
      </c>
      <c r="BW301">
        <v>0.34</v>
      </c>
      <c r="BX301">
        <v>0.72</v>
      </c>
      <c r="BY301">
        <v>0</v>
      </c>
      <c r="BZ301">
        <v>0.04</v>
      </c>
      <c r="CA301">
        <v>11.72</v>
      </c>
      <c r="CB301">
        <v>0</v>
      </c>
      <c r="CC301">
        <f t="shared" si="8"/>
        <v>2.75</v>
      </c>
      <c r="CD301">
        <v>3.96</v>
      </c>
      <c r="CE301">
        <v>0.34230769230769231</v>
      </c>
      <c r="CF301">
        <v>0.44500000000000001</v>
      </c>
      <c r="CG301">
        <v>0.1492537313432836</v>
      </c>
      <c r="CH301">
        <v>9.7902097902097918E-2</v>
      </c>
      <c r="CI301">
        <v>0</v>
      </c>
      <c r="CJ301">
        <v>21468</v>
      </c>
      <c r="CK301" t="s">
        <v>141</v>
      </c>
      <c r="CL301" t="s">
        <v>1539</v>
      </c>
      <c r="CM301" t="s">
        <v>143</v>
      </c>
      <c r="CN301">
        <v>1.3121933729199999</v>
      </c>
      <c r="CO301">
        <v>30.282588794717949</v>
      </c>
      <c r="CP301">
        <v>300</v>
      </c>
      <c r="CQ301" t="s">
        <v>1424</v>
      </c>
      <c r="CR301">
        <v>144</v>
      </c>
      <c r="CS301" t="s">
        <v>650</v>
      </c>
      <c r="CT301" t="s">
        <v>651</v>
      </c>
      <c r="CU301" t="s">
        <v>640</v>
      </c>
      <c r="CV301" t="s">
        <v>652</v>
      </c>
      <c r="CW301" t="s">
        <v>653</v>
      </c>
      <c r="CX301" t="s">
        <v>654</v>
      </c>
      <c r="CY301" t="s">
        <v>655</v>
      </c>
      <c r="CZ301" t="s">
        <v>645</v>
      </c>
      <c r="DA301" t="s">
        <v>152</v>
      </c>
      <c r="DB301" t="s">
        <v>178</v>
      </c>
      <c r="DC301" t="s">
        <v>656</v>
      </c>
      <c r="DD301" t="s">
        <v>657</v>
      </c>
      <c r="DE301">
        <v>10350</v>
      </c>
      <c r="DF301">
        <v>-84.596498999999994</v>
      </c>
      <c r="DG301">
        <v>38.291331</v>
      </c>
      <c r="DH301">
        <v>4500</v>
      </c>
      <c r="DI301">
        <v>200</v>
      </c>
      <c r="DL301">
        <v>10</v>
      </c>
      <c r="DM301">
        <v>8</v>
      </c>
      <c r="DN301">
        <v>12</v>
      </c>
      <c r="DO301">
        <v>50</v>
      </c>
      <c r="DP301">
        <v>25</v>
      </c>
      <c r="DQ301">
        <v>100</v>
      </c>
      <c r="DS301" t="s">
        <v>658</v>
      </c>
      <c r="DT301">
        <v>1.2500000000000001E-2</v>
      </c>
      <c r="DU301">
        <v>1.2500000000000001E-2</v>
      </c>
      <c r="DV301">
        <v>0.32500000000000001</v>
      </c>
      <c r="DW301">
        <v>0.32500000000000001</v>
      </c>
      <c r="DX301">
        <v>0.32500000000000001</v>
      </c>
      <c r="DY301">
        <v>270.94475546190421</v>
      </c>
      <c r="DZ301" s="4">
        <v>3.859</v>
      </c>
      <c r="EA301" s="4" t="s">
        <v>1441</v>
      </c>
      <c r="EB301" s="4" t="s">
        <v>1442</v>
      </c>
      <c r="EC301">
        <v>5.1139999999999999</v>
      </c>
      <c r="ED301">
        <v>733</v>
      </c>
      <c r="EE301" t="s">
        <v>1538</v>
      </c>
      <c r="EF301">
        <v>0</v>
      </c>
      <c r="EH301">
        <f t="shared" si="9"/>
        <v>0.58000000000000007</v>
      </c>
      <c r="EI301">
        <v>3.38</v>
      </c>
      <c r="EJ301">
        <v>3.65</v>
      </c>
    </row>
    <row r="302" spans="1:140" x14ac:dyDescent="0.35">
      <c r="A302" s="1">
        <v>300</v>
      </c>
      <c r="B302">
        <v>-69.965115223744945</v>
      </c>
      <c r="C302">
        <v>44.331919533390277</v>
      </c>
      <c r="D302" t="s">
        <v>1540</v>
      </c>
      <c r="E302">
        <v>0.1</v>
      </c>
      <c r="F302" t="s">
        <v>1277</v>
      </c>
      <c r="G302">
        <v>3.7100000000000001E-2</v>
      </c>
      <c r="H302" t="s">
        <v>161</v>
      </c>
      <c r="I302">
        <v>-7788481</v>
      </c>
      <c r="J302">
        <v>5516952</v>
      </c>
      <c r="K302" t="s">
        <v>1444</v>
      </c>
      <c r="L302" t="s">
        <v>1541</v>
      </c>
      <c r="M302">
        <v>6</v>
      </c>
      <c r="N302">
        <v>3.839</v>
      </c>
      <c r="O302">
        <v>1</v>
      </c>
      <c r="P302">
        <v>1</v>
      </c>
      <c r="Q302">
        <v>23</v>
      </c>
      <c r="R302">
        <v>11</v>
      </c>
      <c r="S302">
        <v>123636</v>
      </c>
      <c r="T302" t="s">
        <v>1446</v>
      </c>
      <c r="U302">
        <v>9.5443758898908388</v>
      </c>
      <c r="V302" t="s">
        <v>1444</v>
      </c>
      <c r="W302">
        <v>0.1966</v>
      </c>
      <c r="X302">
        <v>10</v>
      </c>
      <c r="Y302">
        <v>8.9</v>
      </c>
      <c r="Z302">
        <v>8.9</v>
      </c>
      <c r="AA302">
        <v>20</v>
      </c>
      <c r="AB302">
        <v>26</v>
      </c>
      <c r="AC302">
        <v>0.48699999999999999</v>
      </c>
      <c r="AD302">
        <v>67</v>
      </c>
      <c r="AE302">
        <v>7.7399872854418295E-2</v>
      </c>
      <c r="AF302">
        <v>2.86</v>
      </c>
      <c r="AG302" t="s">
        <v>1446</v>
      </c>
      <c r="AH302" t="s">
        <v>1444</v>
      </c>
      <c r="AI302">
        <v>24</v>
      </c>
      <c r="AJ302">
        <v>8.0000000000000002E-3</v>
      </c>
      <c r="AK302">
        <v>8</v>
      </c>
      <c r="AL302" t="s">
        <v>1542</v>
      </c>
      <c r="AM302">
        <v>0</v>
      </c>
      <c r="AN302">
        <v>1.86</v>
      </c>
      <c r="AO302">
        <v>0.09</v>
      </c>
      <c r="AP302">
        <v>0.19</v>
      </c>
      <c r="AQ302">
        <v>1.58</v>
      </c>
      <c r="AR302">
        <v>1.51</v>
      </c>
      <c r="AS302">
        <v>0.04</v>
      </c>
      <c r="AT302">
        <v>0.03</v>
      </c>
      <c r="AU302">
        <v>0.02</v>
      </c>
      <c r="AV302">
        <v>2.98</v>
      </c>
      <c r="AW302">
        <v>1.98</v>
      </c>
      <c r="AX302">
        <v>0.21</v>
      </c>
      <c r="AY302">
        <v>0.53</v>
      </c>
      <c r="AZ302">
        <v>0</v>
      </c>
      <c r="BA302">
        <v>1.6</v>
      </c>
      <c r="BB302">
        <v>0.08</v>
      </c>
      <c r="BC302">
        <v>0.3</v>
      </c>
      <c r="BD302">
        <v>0.27</v>
      </c>
      <c r="BE302">
        <v>11.83</v>
      </c>
      <c r="BF302">
        <v>11.14</v>
      </c>
      <c r="BG302">
        <v>0.24</v>
      </c>
      <c r="BH302">
        <v>0.45</v>
      </c>
      <c r="BI302">
        <v>0</v>
      </c>
      <c r="BJ302">
        <v>0.04</v>
      </c>
      <c r="BK302">
        <v>11.1</v>
      </c>
      <c r="BL302">
        <v>0</v>
      </c>
      <c r="BM302">
        <v>2.44</v>
      </c>
      <c r="BN302">
        <v>0.21</v>
      </c>
      <c r="BO302">
        <v>0.46</v>
      </c>
      <c r="BP302">
        <v>1.77</v>
      </c>
      <c r="BQ302">
        <v>1.49</v>
      </c>
      <c r="BR302">
        <v>0.06</v>
      </c>
      <c r="BS302">
        <v>0.22</v>
      </c>
      <c r="BT302">
        <v>0</v>
      </c>
      <c r="BU302">
        <v>12.26</v>
      </c>
      <c r="BV302">
        <v>11.2</v>
      </c>
      <c r="BW302">
        <v>0.34</v>
      </c>
      <c r="BX302">
        <v>0.72</v>
      </c>
      <c r="BY302">
        <v>0</v>
      </c>
      <c r="BZ302">
        <v>0.04</v>
      </c>
      <c r="CA302">
        <v>11.16</v>
      </c>
      <c r="CB302">
        <v>0</v>
      </c>
      <c r="CC302">
        <f t="shared" si="8"/>
        <v>2.75</v>
      </c>
      <c r="CD302">
        <v>3.96</v>
      </c>
      <c r="CE302">
        <v>0.34230769230769231</v>
      </c>
      <c r="CF302">
        <v>0.44500000000000001</v>
      </c>
      <c r="CG302">
        <v>0.1492537313432836</v>
      </c>
      <c r="CH302">
        <v>0.1702797202797203</v>
      </c>
      <c r="CI302">
        <v>0</v>
      </c>
      <c r="CJ302">
        <v>10778</v>
      </c>
      <c r="CK302" t="s">
        <v>141</v>
      </c>
      <c r="CL302" t="s">
        <v>1543</v>
      </c>
      <c r="CM302" t="s">
        <v>143</v>
      </c>
      <c r="CN302">
        <v>3.7188005066800001</v>
      </c>
      <c r="CO302">
        <v>23.32273808218201</v>
      </c>
      <c r="CP302">
        <v>301</v>
      </c>
      <c r="CQ302" t="s">
        <v>1424</v>
      </c>
      <c r="CR302">
        <v>144</v>
      </c>
      <c r="CS302" t="s">
        <v>650</v>
      </c>
      <c r="CT302" t="s">
        <v>651</v>
      </c>
      <c r="CU302" t="s">
        <v>640</v>
      </c>
      <c r="CV302" t="s">
        <v>652</v>
      </c>
      <c r="CW302" t="s">
        <v>653</v>
      </c>
      <c r="CX302" t="s">
        <v>654</v>
      </c>
      <c r="CY302" t="s">
        <v>655</v>
      </c>
      <c r="CZ302" t="s">
        <v>645</v>
      </c>
      <c r="DA302" t="s">
        <v>152</v>
      </c>
      <c r="DB302" t="s">
        <v>178</v>
      </c>
      <c r="DC302" t="s">
        <v>656</v>
      </c>
      <c r="DD302" t="s">
        <v>657</v>
      </c>
      <c r="DE302">
        <v>10350</v>
      </c>
      <c r="DF302">
        <v>-84.596498999999994</v>
      </c>
      <c r="DG302">
        <v>38.291331</v>
      </c>
      <c r="DH302">
        <v>4500</v>
      </c>
      <c r="DI302">
        <v>200</v>
      </c>
      <c r="DL302">
        <v>10</v>
      </c>
      <c r="DM302">
        <v>8</v>
      </c>
      <c r="DN302">
        <v>12</v>
      </c>
      <c r="DO302">
        <v>50</v>
      </c>
      <c r="DP302">
        <v>25</v>
      </c>
      <c r="DQ302">
        <v>100</v>
      </c>
      <c r="DS302" t="s">
        <v>658</v>
      </c>
      <c r="DT302">
        <v>1.2500000000000001E-2</v>
      </c>
      <c r="DU302">
        <v>1.2500000000000001E-2</v>
      </c>
      <c r="DV302">
        <v>0.32500000000000001</v>
      </c>
      <c r="DW302">
        <v>0.32500000000000001</v>
      </c>
      <c r="DX302">
        <v>0.32500000000000001</v>
      </c>
      <c r="DY302">
        <v>385.58052186047479</v>
      </c>
      <c r="DZ302" s="4">
        <v>3.8780000000000001</v>
      </c>
      <c r="EA302" s="4" t="s">
        <v>1449</v>
      </c>
      <c r="EB302" s="4" t="s">
        <v>1450</v>
      </c>
      <c r="EC302">
        <v>5.2030000000000003</v>
      </c>
      <c r="ED302">
        <v>508</v>
      </c>
      <c r="EE302" t="s">
        <v>1542</v>
      </c>
      <c r="EF302">
        <v>0</v>
      </c>
      <c r="EH302">
        <f t="shared" si="9"/>
        <v>0.58000000000000007</v>
      </c>
      <c r="EI302">
        <v>3.38</v>
      </c>
      <c r="EJ302">
        <v>3.65</v>
      </c>
    </row>
    <row r="303" spans="1:140" x14ac:dyDescent="0.35">
      <c r="A303" s="1">
        <v>301</v>
      </c>
      <c r="B303">
        <v>-68.168484655505907</v>
      </c>
      <c r="C303">
        <v>44.331919533390277</v>
      </c>
      <c r="D303" t="s">
        <v>1544</v>
      </c>
      <c r="E303">
        <v>0.1</v>
      </c>
      <c r="F303" t="s">
        <v>1545</v>
      </c>
      <c r="G303">
        <v>3.7100000000000001E-2</v>
      </c>
      <c r="H303" t="s">
        <v>161</v>
      </c>
      <c r="I303">
        <v>-7588481</v>
      </c>
      <c r="J303">
        <v>5516952</v>
      </c>
      <c r="K303" t="s">
        <v>1444</v>
      </c>
      <c r="L303" t="s">
        <v>1546</v>
      </c>
      <c r="M303">
        <v>5</v>
      </c>
      <c r="N303">
        <v>3.8980000000000001</v>
      </c>
      <c r="O303">
        <v>1</v>
      </c>
      <c r="P303">
        <v>1</v>
      </c>
      <c r="Q303">
        <v>23</v>
      </c>
      <c r="R303">
        <v>9</v>
      </c>
      <c r="S303">
        <v>55477</v>
      </c>
      <c r="T303" t="s">
        <v>1446</v>
      </c>
      <c r="U303">
        <v>9.5443758898908388</v>
      </c>
      <c r="V303" t="s">
        <v>1444</v>
      </c>
      <c r="W303">
        <v>0.1966</v>
      </c>
      <c r="X303">
        <v>10</v>
      </c>
      <c r="Y303">
        <v>8.9</v>
      </c>
      <c r="Z303">
        <v>8.9</v>
      </c>
      <c r="AA303">
        <v>20</v>
      </c>
      <c r="AB303">
        <v>26</v>
      </c>
      <c r="AC303">
        <v>0.48699999999999999</v>
      </c>
      <c r="AD303">
        <v>67</v>
      </c>
      <c r="AE303">
        <v>7.7399872854418295E-2</v>
      </c>
      <c r="AF303">
        <v>2.86</v>
      </c>
      <c r="AG303" t="s">
        <v>1446</v>
      </c>
      <c r="AH303" t="s">
        <v>1444</v>
      </c>
      <c r="AI303">
        <v>24</v>
      </c>
      <c r="AJ303">
        <v>8.0000000000000002E-3</v>
      </c>
      <c r="AK303">
        <v>8</v>
      </c>
      <c r="AL303" t="s">
        <v>1547</v>
      </c>
      <c r="AM303">
        <v>74049.814567954309</v>
      </c>
      <c r="AN303">
        <v>1.86</v>
      </c>
      <c r="AO303">
        <v>0.09</v>
      </c>
      <c r="AP303">
        <v>0.19</v>
      </c>
      <c r="AQ303">
        <v>1.58</v>
      </c>
      <c r="AR303">
        <v>1.51</v>
      </c>
      <c r="AS303">
        <v>0.04</v>
      </c>
      <c r="AT303">
        <v>0.03</v>
      </c>
      <c r="AU303">
        <v>0.02</v>
      </c>
      <c r="AV303">
        <v>2.98</v>
      </c>
      <c r="AW303">
        <v>1.98</v>
      </c>
      <c r="AX303">
        <v>0.21</v>
      </c>
      <c r="AY303">
        <v>0.53</v>
      </c>
      <c r="AZ303">
        <v>0</v>
      </c>
      <c r="BA303">
        <v>1.6</v>
      </c>
      <c r="BB303">
        <v>0.08</v>
      </c>
      <c r="BC303">
        <v>0.3</v>
      </c>
      <c r="BD303">
        <v>0.27</v>
      </c>
      <c r="BE303">
        <v>11.83</v>
      </c>
      <c r="BF303">
        <v>11.14</v>
      </c>
      <c r="BG303">
        <v>0.24</v>
      </c>
      <c r="BH303">
        <v>0.45</v>
      </c>
      <c r="BI303">
        <v>0</v>
      </c>
      <c r="BJ303">
        <v>0.04</v>
      </c>
      <c r="BK303">
        <v>11.1</v>
      </c>
      <c r="BL303">
        <v>0</v>
      </c>
      <c r="BM303">
        <v>2.44</v>
      </c>
      <c r="BN303">
        <v>0.21</v>
      </c>
      <c r="BO303">
        <v>0.46</v>
      </c>
      <c r="BP303">
        <v>1.77</v>
      </c>
      <c r="BQ303">
        <v>1.49</v>
      </c>
      <c r="BR303">
        <v>0.06</v>
      </c>
      <c r="BS303">
        <v>0.22</v>
      </c>
      <c r="BT303">
        <v>0</v>
      </c>
      <c r="BU303">
        <v>12.26</v>
      </c>
      <c r="BV303">
        <v>11.2</v>
      </c>
      <c r="BW303">
        <v>0.34</v>
      </c>
      <c r="BX303">
        <v>0.72</v>
      </c>
      <c r="BY303">
        <v>0</v>
      </c>
      <c r="BZ303">
        <v>0.04</v>
      </c>
      <c r="CA303">
        <v>11.16</v>
      </c>
      <c r="CB303">
        <v>0</v>
      </c>
      <c r="CC303">
        <f t="shared" si="8"/>
        <v>2.75</v>
      </c>
      <c r="CD303">
        <v>3.96</v>
      </c>
      <c r="CE303">
        <v>0.34230769230769231</v>
      </c>
      <c r="CF303">
        <v>0.44500000000000001</v>
      </c>
      <c r="CG303">
        <v>0.1492537313432836</v>
      </c>
      <c r="CH303">
        <v>0.1702797202797203</v>
      </c>
      <c r="CI303">
        <v>0</v>
      </c>
      <c r="CJ303">
        <v>10780</v>
      </c>
      <c r="CK303" t="s">
        <v>141</v>
      </c>
      <c r="CL303" t="s">
        <v>1543</v>
      </c>
      <c r="CM303" t="s">
        <v>143</v>
      </c>
      <c r="CN303">
        <v>0.12790975231900001</v>
      </c>
      <c r="CO303">
        <v>50.397965187238952</v>
      </c>
      <c r="CP303">
        <v>302</v>
      </c>
      <c r="CQ303" t="s">
        <v>1424</v>
      </c>
      <c r="CR303">
        <v>144</v>
      </c>
      <c r="CS303" t="s">
        <v>650</v>
      </c>
      <c r="CT303" t="s">
        <v>651</v>
      </c>
      <c r="CU303" t="s">
        <v>640</v>
      </c>
      <c r="CV303" t="s">
        <v>652</v>
      </c>
      <c r="CW303" t="s">
        <v>653</v>
      </c>
      <c r="CX303" t="s">
        <v>654</v>
      </c>
      <c r="CY303" t="s">
        <v>655</v>
      </c>
      <c r="CZ303" t="s">
        <v>645</v>
      </c>
      <c r="DA303" t="s">
        <v>152</v>
      </c>
      <c r="DB303" t="s">
        <v>178</v>
      </c>
      <c r="DC303" t="s">
        <v>656</v>
      </c>
      <c r="DD303" t="s">
        <v>657</v>
      </c>
      <c r="DE303">
        <v>10350</v>
      </c>
      <c r="DF303">
        <v>-84.596498999999994</v>
      </c>
      <c r="DG303">
        <v>38.291331</v>
      </c>
      <c r="DH303">
        <v>4500</v>
      </c>
      <c r="DI303">
        <v>200</v>
      </c>
      <c r="DL303">
        <v>10</v>
      </c>
      <c r="DM303">
        <v>8</v>
      </c>
      <c r="DN303">
        <v>12</v>
      </c>
      <c r="DO303">
        <v>50</v>
      </c>
      <c r="DP303">
        <v>25</v>
      </c>
      <c r="DQ303">
        <v>100</v>
      </c>
      <c r="DS303" t="s">
        <v>658</v>
      </c>
      <c r="DT303">
        <v>1.2500000000000001E-2</v>
      </c>
      <c r="DU303">
        <v>1.2500000000000001E-2</v>
      </c>
      <c r="DV303">
        <v>0.32500000000000001</v>
      </c>
      <c r="DW303">
        <v>0.32500000000000001</v>
      </c>
      <c r="DX303">
        <v>0.32500000000000001</v>
      </c>
      <c r="DY303">
        <v>504.78309909044128</v>
      </c>
      <c r="DZ303" s="4">
        <v>3.8780000000000001</v>
      </c>
      <c r="EA303" s="4" t="s">
        <v>1449</v>
      </c>
      <c r="EB303" s="4" t="s">
        <v>1450</v>
      </c>
      <c r="EC303">
        <v>5.2030000000000003</v>
      </c>
      <c r="ED303">
        <v>912</v>
      </c>
      <c r="EE303" t="s">
        <v>1547</v>
      </c>
      <c r="EF303">
        <v>0.51227369302364778</v>
      </c>
      <c r="EH303">
        <f t="shared" si="9"/>
        <v>0.58000000000000007</v>
      </c>
      <c r="EI303">
        <v>3.38</v>
      </c>
      <c r="EJ303">
        <v>3.65</v>
      </c>
    </row>
    <row r="304" spans="1:140" x14ac:dyDescent="0.35">
      <c r="A304" s="1">
        <v>302</v>
      </c>
      <c r="B304">
        <v>-66.371854087266854</v>
      </c>
      <c r="C304">
        <v>44.331919533390277</v>
      </c>
      <c r="D304" t="s">
        <v>1548</v>
      </c>
      <c r="E304">
        <v>0.1</v>
      </c>
      <c r="F304" t="s">
        <v>1545</v>
      </c>
      <c r="G304">
        <v>3.7100000000000001E-2</v>
      </c>
      <c r="H304" t="s">
        <v>136</v>
      </c>
      <c r="I304">
        <v>-7388481</v>
      </c>
      <c r="J304">
        <v>5516952</v>
      </c>
      <c r="K304" t="s">
        <v>1444</v>
      </c>
      <c r="L304" t="s">
        <v>1433</v>
      </c>
      <c r="M304">
        <v>15</v>
      </c>
      <c r="N304">
        <v>3.9849999999999999</v>
      </c>
      <c r="O304">
        <v>1</v>
      </c>
      <c r="P304">
        <v>1</v>
      </c>
      <c r="Q304">
        <v>23</v>
      </c>
      <c r="R304">
        <v>29</v>
      </c>
      <c r="S304">
        <v>31088</v>
      </c>
      <c r="T304" t="s">
        <v>1446</v>
      </c>
      <c r="U304">
        <v>9.5443758898908388</v>
      </c>
      <c r="V304" t="s">
        <v>1444</v>
      </c>
      <c r="W304">
        <v>0.1966</v>
      </c>
      <c r="X304">
        <v>10</v>
      </c>
      <c r="Y304">
        <v>8.9</v>
      </c>
      <c r="Z304">
        <v>8.9</v>
      </c>
      <c r="AA304">
        <v>20</v>
      </c>
      <c r="AB304">
        <v>26</v>
      </c>
      <c r="AC304">
        <v>0.48699999999999999</v>
      </c>
      <c r="AD304">
        <v>67</v>
      </c>
      <c r="AE304">
        <v>7.7399872854418295E-2</v>
      </c>
      <c r="AF304">
        <v>2.86</v>
      </c>
      <c r="AG304" t="s">
        <v>1446</v>
      </c>
      <c r="AH304" t="s">
        <v>1444</v>
      </c>
      <c r="AI304">
        <v>24</v>
      </c>
      <c r="AJ304">
        <v>8.0000000000000002E-3</v>
      </c>
      <c r="AK304">
        <v>8</v>
      </c>
      <c r="AL304" t="s">
        <v>1547</v>
      </c>
      <c r="AM304">
        <v>228088.2860931725</v>
      </c>
      <c r="AN304">
        <v>1.86</v>
      </c>
      <c r="AO304">
        <v>0.09</v>
      </c>
      <c r="AP304">
        <v>0.19</v>
      </c>
      <c r="AQ304">
        <v>1.58</v>
      </c>
      <c r="AR304">
        <v>1.51</v>
      </c>
      <c r="AS304">
        <v>0.04</v>
      </c>
      <c r="AT304">
        <v>0.03</v>
      </c>
      <c r="AU304">
        <v>0.02</v>
      </c>
      <c r="AV304">
        <v>2.98</v>
      </c>
      <c r="AW304">
        <v>1.98</v>
      </c>
      <c r="AX304">
        <v>0.21</v>
      </c>
      <c r="AY304">
        <v>0.53</v>
      </c>
      <c r="AZ304">
        <v>0</v>
      </c>
      <c r="BA304">
        <v>1.6</v>
      </c>
      <c r="BB304">
        <v>0.08</v>
      </c>
      <c r="BC304">
        <v>0.3</v>
      </c>
      <c r="BD304">
        <v>0.27</v>
      </c>
      <c r="BE304">
        <v>11.83</v>
      </c>
      <c r="BF304">
        <v>11.14</v>
      </c>
      <c r="BG304">
        <v>0.24</v>
      </c>
      <c r="BH304">
        <v>0.45</v>
      </c>
      <c r="BI304">
        <v>0</v>
      </c>
      <c r="BJ304">
        <v>0.04</v>
      </c>
      <c r="BK304">
        <v>11.1</v>
      </c>
      <c r="BL304">
        <v>0</v>
      </c>
      <c r="BM304">
        <v>2.44</v>
      </c>
      <c r="BN304">
        <v>0.21</v>
      </c>
      <c r="BO304">
        <v>0.46</v>
      </c>
      <c r="BP304">
        <v>1.77</v>
      </c>
      <c r="BQ304">
        <v>1.49</v>
      </c>
      <c r="BR304">
        <v>0.06</v>
      </c>
      <c r="BS304">
        <v>0.22</v>
      </c>
      <c r="BT304">
        <v>0</v>
      </c>
      <c r="BU304">
        <v>12.26</v>
      </c>
      <c r="BV304">
        <v>11.2</v>
      </c>
      <c r="BW304">
        <v>0.34</v>
      </c>
      <c r="BX304">
        <v>0.72</v>
      </c>
      <c r="BY304">
        <v>0</v>
      </c>
      <c r="BZ304">
        <v>0.04</v>
      </c>
      <c r="CA304">
        <v>11.16</v>
      </c>
      <c r="CB304">
        <v>0</v>
      </c>
      <c r="CC304">
        <f t="shared" si="8"/>
        <v>2.75</v>
      </c>
      <c r="CD304">
        <v>3.96</v>
      </c>
      <c r="CE304">
        <v>0.34230769230769231</v>
      </c>
      <c r="CF304">
        <v>0.44500000000000001</v>
      </c>
      <c r="CG304">
        <v>0.1492537313432836</v>
      </c>
      <c r="CH304">
        <v>0.1702797202797203</v>
      </c>
      <c r="CI304">
        <v>0</v>
      </c>
      <c r="CJ304">
        <v>10778</v>
      </c>
      <c r="CK304" t="s">
        <v>141</v>
      </c>
      <c r="CL304" t="s">
        <v>1543</v>
      </c>
      <c r="CM304" t="s">
        <v>143</v>
      </c>
      <c r="CN304">
        <v>3.7188005066800001</v>
      </c>
      <c r="CO304">
        <v>113.4601587798554</v>
      </c>
      <c r="CP304">
        <v>303</v>
      </c>
      <c r="CQ304" t="s">
        <v>1424</v>
      </c>
      <c r="CR304">
        <v>144</v>
      </c>
      <c r="CS304" t="s">
        <v>650</v>
      </c>
      <c r="CT304" t="s">
        <v>651</v>
      </c>
      <c r="CU304" t="s">
        <v>640</v>
      </c>
      <c r="CV304" t="s">
        <v>652</v>
      </c>
      <c r="CW304" t="s">
        <v>653</v>
      </c>
      <c r="CX304" t="s">
        <v>654</v>
      </c>
      <c r="CY304" t="s">
        <v>655</v>
      </c>
      <c r="CZ304" t="s">
        <v>645</v>
      </c>
      <c r="DA304" t="s">
        <v>152</v>
      </c>
      <c r="DB304" t="s">
        <v>178</v>
      </c>
      <c r="DC304" t="s">
        <v>656</v>
      </c>
      <c r="DD304" t="s">
        <v>657</v>
      </c>
      <c r="DE304">
        <v>10350</v>
      </c>
      <c r="DF304">
        <v>-84.596498999999994</v>
      </c>
      <c r="DG304">
        <v>38.291331</v>
      </c>
      <c r="DH304">
        <v>4500</v>
      </c>
      <c r="DI304">
        <v>200</v>
      </c>
      <c r="DL304">
        <v>10</v>
      </c>
      <c r="DM304">
        <v>8</v>
      </c>
      <c r="DN304">
        <v>12</v>
      </c>
      <c r="DO304">
        <v>50</v>
      </c>
      <c r="DP304">
        <v>25</v>
      </c>
      <c r="DQ304">
        <v>100</v>
      </c>
      <c r="DS304" t="s">
        <v>658</v>
      </c>
      <c r="DT304">
        <v>1.2500000000000001E-2</v>
      </c>
      <c r="DU304">
        <v>1.2500000000000001E-2</v>
      </c>
      <c r="DV304">
        <v>0.32500000000000001</v>
      </c>
      <c r="DW304">
        <v>0.32500000000000001</v>
      </c>
      <c r="DX304">
        <v>0.32500000000000001</v>
      </c>
      <c r="DY304">
        <v>625.94886003552517</v>
      </c>
      <c r="DZ304" s="4">
        <v>3.8780000000000001</v>
      </c>
      <c r="EA304" s="4" t="s">
        <v>1449</v>
      </c>
      <c r="EB304" s="4" t="s">
        <v>1450</v>
      </c>
      <c r="EC304">
        <v>5.2030000000000003</v>
      </c>
      <c r="ED304">
        <v>912</v>
      </c>
      <c r="EE304" t="s">
        <v>1547</v>
      </c>
      <c r="EF304">
        <v>1.826002582208516</v>
      </c>
      <c r="EH304">
        <f t="shared" si="9"/>
        <v>0.58000000000000007</v>
      </c>
      <c r="EI304">
        <v>3.38</v>
      </c>
      <c r="EJ304">
        <v>3.65</v>
      </c>
    </row>
    <row r="305" spans="1:140" x14ac:dyDescent="0.35">
      <c r="A305" s="1">
        <v>303</v>
      </c>
      <c r="B305">
        <v>-123.8640322709162</v>
      </c>
      <c r="C305">
        <v>45.602972716342947</v>
      </c>
      <c r="D305" t="s">
        <v>1549</v>
      </c>
      <c r="E305">
        <v>0.1</v>
      </c>
      <c r="F305" t="s">
        <v>135</v>
      </c>
      <c r="G305">
        <v>7.3200000000000001E-2</v>
      </c>
      <c r="H305" t="s">
        <v>161</v>
      </c>
      <c r="I305">
        <v>-13788481</v>
      </c>
      <c r="J305">
        <v>5716952</v>
      </c>
      <c r="K305" t="s">
        <v>1285</v>
      </c>
      <c r="L305" t="s">
        <v>1550</v>
      </c>
      <c r="M305">
        <v>29</v>
      </c>
      <c r="N305">
        <v>4.7889999999999997</v>
      </c>
      <c r="O305">
        <v>4</v>
      </c>
      <c r="P305">
        <v>9</v>
      </c>
      <c r="Q305">
        <v>41</v>
      </c>
      <c r="R305">
        <v>57</v>
      </c>
      <c r="S305">
        <v>27393</v>
      </c>
      <c r="T305" t="s">
        <v>1287</v>
      </c>
      <c r="U305">
        <v>6.447431924405608</v>
      </c>
      <c r="V305" t="s">
        <v>1285</v>
      </c>
      <c r="W305">
        <v>0.1111</v>
      </c>
      <c r="X305">
        <v>10</v>
      </c>
      <c r="Y305">
        <v>8.9</v>
      </c>
      <c r="Z305">
        <v>8.9</v>
      </c>
      <c r="AA305">
        <v>20</v>
      </c>
      <c r="AB305">
        <v>26</v>
      </c>
      <c r="AC305">
        <v>0.35199999999999998</v>
      </c>
      <c r="AD305">
        <v>67</v>
      </c>
      <c r="AE305">
        <v>5.5944055944055937E-2</v>
      </c>
      <c r="AF305">
        <v>2.86</v>
      </c>
      <c r="AG305" t="s">
        <v>1287</v>
      </c>
      <c r="AH305" t="s">
        <v>1285</v>
      </c>
      <c r="AI305">
        <v>76</v>
      </c>
      <c r="AJ305">
        <v>2.5333333333333329E-2</v>
      </c>
      <c r="AK305">
        <v>25.333333333333329</v>
      </c>
      <c r="AL305" t="s">
        <v>1551</v>
      </c>
      <c r="AM305">
        <v>28651.59258360993</v>
      </c>
      <c r="AN305">
        <v>1.45</v>
      </c>
      <c r="AO305">
        <v>0.09</v>
      </c>
      <c r="AP305">
        <v>0.19</v>
      </c>
      <c r="AQ305">
        <v>1.1599999999999999</v>
      </c>
      <c r="AR305">
        <v>1.02</v>
      </c>
      <c r="AS305">
        <v>0.13</v>
      </c>
      <c r="AT305">
        <v>0.01</v>
      </c>
      <c r="AU305">
        <v>0.02</v>
      </c>
      <c r="AV305">
        <v>2.4900000000000002</v>
      </c>
      <c r="AW305">
        <v>1.49</v>
      </c>
      <c r="AX305">
        <v>0.21</v>
      </c>
      <c r="AY305">
        <v>0.53</v>
      </c>
      <c r="AZ305">
        <v>0</v>
      </c>
      <c r="BA305">
        <v>1.08</v>
      </c>
      <c r="BB305">
        <v>0.24</v>
      </c>
      <c r="BC305">
        <v>0.17</v>
      </c>
      <c r="BD305">
        <v>0.27</v>
      </c>
      <c r="BE305">
        <v>6.91</v>
      </c>
      <c r="BF305">
        <v>6.22</v>
      </c>
      <c r="BG305">
        <v>0.24</v>
      </c>
      <c r="BH305">
        <v>0.45</v>
      </c>
      <c r="BI305">
        <v>0</v>
      </c>
      <c r="BJ305">
        <v>0.11</v>
      </c>
      <c r="BK305">
        <v>6.1</v>
      </c>
      <c r="BL305">
        <v>0</v>
      </c>
      <c r="BM305">
        <v>1.97</v>
      </c>
      <c r="BN305">
        <v>0.21</v>
      </c>
      <c r="BO305">
        <v>0.46</v>
      </c>
      <c r="BP305">
        <v>1.3</v>
      </c>
      <c r="BQ305">
        <v>1.01</v>
      </c>
      <c r="BR305">
        <v>0.17</v>
      </c>
      <c r="BS305">
        <v>0.12</v>
      </c>
      <c r="BT305">
        <v>0</v>
      </c>
      <c r="BU305">
        <v>7.31</v>
      </c>
      <c r="BV305">
        <v>6.25</v>
      </c>
      <c r="BW305">
        <v>0.34</v>
      </c>
      <c r="BX305">
        <v>0.72</v>
      </c>
      <c r="BY305">
        <v>0</v>
      </c>
      <c r="BZ305">
        <v>0.11</v>
      </c>
      <c r="CA305">
        <v>6.14</v>
      </c>
      <c r="CB305">
        <v>0</v>
      </c>
      <c r="CC305">
        <f t="shared" si="8"/>
        <v>2.75</v>
      </c>
      <c r="CD305">
        <v>3.96</v>
      </c>
      <c r="CE305">
        <v>0.34230769230769231</v>
      </c>
      <c r="CF305">
        <v>0.44500000000000001</v>
      </c>
      <c r="CG305">
        <v>0.1492537313432836</v>
      </c>
      <c r="CH305">
        <v>0.1230769230769231</v>
      </c>
      <c r="CI305">
        <v>0</v>
      </c>
      <c r="CJ305">
        <v>32636</v>
      </c>
      <c r="CK305" t="s">
        <v>141</v>
      </c>
      <c r="CL305" t="s">
        <v>1552</v>
      </c>
      <c r="CM305" t="s">
        <v>143</v>
      </c>
      <c r="CN305">
        <v>1.8524431999500001E-2</v>
      </c>
      <c r="CO305">
        <v>72.712438382725324</v>
      </c>
      <c r="CP305">
        <v>304</v>
      </c>
      <c r="CQ305" t="s">
        <v>1553</v>
      </c>
      <c r="CR305">
        <v>223</v>
      </c>
      <c r="CS305" t="s">
        <v>717</v>
      </c>
      <c r="CT305" t="s">
        <v>718</v>
      </c>
      <c r="CU305" t="s">
        <v>315</v>
      </c>
      <c r="CV305" t="s">
        <v>719</v>
      </c>
      <c r="CW305" t="s">
        <v>720</v>
      </c>
      <c r="CX305" t="s">
        <v>721</v>
      </c>
      <c r="CY305" t="s">
        <v>551</v>
      </c>
      <c r="CZ305" t="s">
        <v>319</v>
      </c>
      <c r="DA305" t="s">
        <v>152</v>
      </c>
      <c r="DB305" t="s">
        <v>178</v>
      </c>
      <c r="DC305" t="s">
        <v>207</v>
      </c>
      <c r="DD305" t="s">
        <v>155</v>
      </c>
      <c r="DE305">
        <v>2069</v>
      </c>
      <c r="DF305">
        <v>-121.36967300000001</v>
      </c>
      <c r="DG305">
        <v>38.049534000000001</v>
      </c>
      <c r="DH305">
        <v>7600</v>
      </c>
      <c r="DI305">
        <v>1000</v>
      </c>
      <c r="DL305">
        <v>18</v>
      </c>
      <c r="DM305">
        <v>15</v>
      </c>
      <c r="DN305">
        <v>30</v>
      </c>
      <c r="DO305">
        <v>5</v>
      </c>
      <c r="DP305">
        <v>10</v>
      </c>
      <c r="DQ305">
        <v>1700</v>
      </c>
      <c r="DS305" t="s">
        <v>322</v>
      </c>
      <c r="DT305">
        <v>1.2500000000000001E-2</v>
      </c>
      <c r="DU305">
        <v>1.2500000000000001E-2</v>
      </c>
      <c r="DV305">
        <v>0.32500000000000001</v>
      </c>
      <c r="DW305">
        <v>0.32500000000000001</v>
      </c>
      <c r="DX305">
        <v>0.32500000000000001</v>
      </c>
      <c r="DY305">
        <v>1.1769888349668141</v>
      </c>
      <c r="DZ305" s="4">
        <v>4.5339999999999998</v>
      </c>
      <c r="EA305" s="4" t="s">
        <v>1291</v>
      </c>
      <c r="EB305" s="4" t="s">
        <v>1292</v>
      </c>
      <c r="EC305">
        <v>5.33</v>
      </c>
      <c r="ED305">
        <v>280</v>
      </c>
      <c r="EE305" t="s">
        <v>1551</v>
      </c>
      <c r="EF305">
        <v>0.17978271632282081</v>
      </c>
      <c r="EH305">
        <f t="shared" si="9"/>
        <v>0.58000000000000007</v>
      </c>
      <c r="EI305">
        <v>3.38</v>
      </c>
      <c r="EJ305">
        <v>3.65</v>
      </c>
    </row>
    <row r="306" spans="1:140" x14ac:dyDescent="0.35">
      <c r="A306" s="1">
        <v>304</v>
      </c>
      <c r="B306">
        <v>-122.0674017026772</v>
      </c>
      <c r="C306">
        <v>45.602972716342947</v>
      </c>
      <c r="D306" t="s">
        <v>1554</v>
      </c>
      <c r="E306">
        <v>0.1</v>
      </c>
      <c r="F306" t="s">
        <v>135</v>
      </c>
      <c r="G306">
        <v>0.1956</v>
      </c>
      <c r="H306" t="s">
        <v>161</v>
      </c>
      <c r="I306">
        <v>-13588481</v>
      </c>
      <c r="J306">
        <v>5716952</v>
      </c>
      <c r="K306" t="s">
        <v>1285</v>
      </c>
      <c r="L306" t="s">
        <v>1555</v>
      </c>
      <c r="M306">
        <v>26</v>
      </c>
      <c r="N306">
        <v>4.7329999999999997</v>
      </c>
      <c r="O306">
        <v>4</v>
      </c>
      <c r="P306">
        <v>9</v>
      </c>
      <c r="Q306">
        <v>41</v>
      </c>
      <c r="R306">
        <v>51</v>
      </c>
      <c r="S306">
        <v>815429</v>
      </c>
      <c r="T306" t="s">
        <v>1287</v>
      </c>
      <c r="U306">
        <v>6.447431924405608</v>
      </c>
      <c r="V306" t="s">
        <v>1285</v>
      </c>
      <c r="W306">
        <v>0.1111</v>
      </c>
      <c r="X306">
        <v>10</v>
      </c>
      <c r="Y306">
        <v>8.9</v>
      </c>
      <c r="Z306">
        <v>8.9</v>
      </c>
      <c r="AA306">
        <v>20</v>
      </c>
      <c r="AB306">
        <v>26</v>
      </c>
      <c r="AC306">
        <v>0.35199999999999998</v>
      </c>
      <c r="AD306">
        <v>67</v>
      </c>
      <c r="AE306">
        <v>5.5944055944055937E-2</v>
      </c>
      <c r="AF306">
        <v>2.86</v>
      </c>
      <c r="AG306" t="s">
        <v>1287</v>
      </c>
      <c r="AH306" t="s">
        <v>1285</v>
      </c>
      <c r="AI306">
        <v>76</v>
      </c>
      <c r="AJ306">
        <v>2.5333333333333329E-2</v>
      </c>
      <c r="AK306">
        <v>25.333333333333329</v>
      </c>
      <c r="AL306" t="s">
        <v>1556</v>
      </c>
      <c r="AM306">
        <v>0</v>
      </c>
      <c r="AN306">
        <v>1.45</v>
      </c>
      <c r="AO306">
        <v>0.09</v>
      </c>
      <c r="AP306">
        <v>0.19</v>
      </c>
      <c r="AQ306">
        <v>1.1599999999999999</v>
      </c>
      <c r="AR306">
        <v>1.02</v>
      </c>
      <c r="AS306">
        <v>0.13</v>
      </c>
      <c r="AT306">
        <v>0.01</v>
      </c>
      <c r="AU306">
        <v>0.02</v>
      </c>
      <c r="AV306">
        <v>2.4900000000000002</v>
      </c>
      <c r="AW306">
        <v>1.49</v>
      </c>
      <c r="AX306">
        <v>0.21</v>
      </c>
      <c r="AY306">
        <v>0.53</v>
      </c>
      <c r="AZ306">
        <v>0</v>
      </c>
      <c r="BA306">
        <v>1.08</v>
      </c>
      <c r="BB306">
        <v>0.24</v>
      </c>
      <c r="BC306">
        <v>0.17</v>
      </c>
      <c r="BD306">
        <v>0.27</v>
      </c>
      <c r="BE306">
        <v>6.91</v>
      </c>
      <c r="BF306">
        <v>6.22</v>
      </c>
      <c r="BG306">
        <v>0.24</v>
      </c>
      <c r="BH306">
        <v>0.45</v>
      </c>
      <c r="BI306">
        <v>0</v>
      </c>
      <c r="BJ306">
        <v>0.11</v>
      </c>
      <c r="BK306">
        <v>6.1</v>
      </c>
      <c r="BL306">
        <v>0</v>
      </c>
      <c r="BM306">
        <v>1.97</v>
      </c>
      <c r="BN306">
        <v>0.21</v>
      </c>
      <c r="BO306">
        <v>0.46</v>
      </c>
      <c r="BP306">
        <v>1.3</v>
      </c>
      <c r="BQ306">
        <v>1.01</v>
      </c>
      <c r="BR306">
        <v>0.17</v>
      </c>
      <c r="BS306">
        <v>0.12</v>
      </c>
      <c r="BT306">
        <v>0</v>
      </c>
      <c r="BU306">
        <v>7.31</v>
      </c>
      <c r="BV306">
        <v>6.25</v>
      </c>
      <c r="BW306">
        <v>0.34</v>
      </c>
      <c r="BX306">
        <v>0.72</v>
      </c>
      <c r="BY306">
        <v>0</v>
      </c>
      <c r="BZ306">
        <v>0.11</v>
      </c>
      <c r="CA306">
        <v>6.14</v>
      </c>
      <c r="CB306">
        <v>0</v>
      </c>
      <c r="CC306">
        <f t="shared" si="8"/>
        <v>2.75</v>
      </c>
      <c r="CD306">
        <v>3.96</v>
      </c>
      <c r="CE306">
        <v>0.34230769230769231</v>
      </c>
      <c r="CF306">
        <v>0.44500000000000001</v>
      </c>
      <c r="CG306">
        <v>0.1492537313432836</v>
      </c>
      <c r="CH306">
        <v>0.1230769230769231</v>
      </c>
      <c r="CI306">
        <v>0</v>
      </c>
      <c r="CJ306">
        <v>16250</v>
      </c>
      <c r="CK306" t="s">
        <v>141</v>
      </c>
      <c r="CL306" t="s">
        <v>845</v>
      </c>
      <c r="CM306" t="s">
        <v>143</v>
      </c>
      <c r="CN306">
        <v>0.96446303865500005</v>
      </c>
      <c r="CO306">
        <v>1.59422652554424</v>
      </c>
      <c r="CP306">
        <v>305</v>
      </c>
      <c r="CQ306" t="s">
        <v>1557</v>
      </c>
      <c r="CR306">
        <v>49</v>
      </c>
      <c r="CS306" t="s">
        <v>1558</v>
      </c>
      <c r="CT306" t="s">
        <v>1559</v>
      </c>
      <c r="CU306" t="s">
        <v>1560</v>
      </c>
      <c r="CV306" t="s">
        <v>1561</v>
      </c>
      <c r="CW306" t="s">
        <v>1562</v>
      </c>
      <c r="CX306" t="s">
        <v>1563</v>
      </c>
      <c r="CY306" t="s">
        <v>1564</v>
      </c>
      <c r="CZ306" t="s">
        <v>1339</v>
      </c>
      <c r="DA306" t="s">
        <v>152</v>
      </c>
      <c r="DB306" t="s">
        <v>153</v>
      </c>
      <c r="DC306" t="s">
        <v>459</v>
      </c>
      <c r="DD306" t="s">
        <v>1565</v>
      </c>
      <c r="DE306">
        <v>4809</v>
      </c>
      <c r="DF306">
        <v>-111.57566799999999</v>
      </c>
      <c r="DG306">
        <v>48.433261000000002</v>
      </c>
      <c r="DH306">
        <v>3400</v>
      </c>
      <c r="DI306">
        <v>400</v>
      </c>
      <c r="DL306">
        <v>7</v>
      </c>
      <c r="DM306">
        <v>5</v>
      </c>
      <c r="DN306">
        <v>10</v>
      </c>
      <c r="DO306">
        <v>10</v>
      </c>
      <c r="DP306">
        <v>1</v>
      </c>
      <c r="DQ306">
        <v>50</v>
      </c>
      <c r="DR306" t="s">
        <v>866</v>
      </c>
      <c r="DS306" t="s">
        <v>1566</v>
      </c>
      <c r="DT306">
        <v>1.2500000000000001E-2</v>
      </c>
      <c r="DU306">
        <v>1.2500000000000001E-2</v>
      </c>
      <c r="DV306">
        <v>0.32500000000000001</v>
      </c>
      <c r="DW306">
        <v>0.32500000000000001</v>
      </c>
      <c r="DX306">
        <v>0.32500000000000001</v>
      </c>
      <c r="DY306">
        <v>2.2943004144585109</v>
      </c>
      <c r="DZ306" s="4">
        <v>4.5339999999999998</v>
      </c>
      <c r="EA306" s="4" t="s">
        <v>1291</v>
      </c>
      <c r="EB306" s="4" t="s">
        <v>1292</v>
      </c>
      <c r="EC306">
        <v>5.33</v>
      </c>
      <c r="ED306">
        <v>172</v>
      </c>
      <c r="EE306" t="s">
        <v>1556</v>
      </c>
      <c r="EF306">
        <v>0</v>
      </c>
      <c r="EH306">
        <f t="shared" si="9"/>
        <v>0.58000000000000007</v>
      </c>
      <c r="EI306">
        <v>3.38</v>
      </c>
      <c r="EJ306">
        <v>3.65</v>
      </c>
    </row>
    <row r="307" spans="1:140" x14ac:dyDescent="0.35">
      <c r="A307" s="1">
        <v>305</v>
      </c>
      <c r="B307">
        <v>-120.27077113443811</v>
      </c>
      <c r="C307">
        <v>45.602972716342947</v>
      </c>
      <c r="D307" t="s">
        <v>1567</v>
      </c>
      <c r="E307">
        <v>0.1</v>
      </c>
      <c r="F307" t="s">
        <v>135</v>
      </c>
      <c r="G307">
        <v>7.3200000000000001E-2</v>
      </c>
      <c r="H307" t="s">
        <v>161</v>
      </c>
      <c r="I307">
        <v>-13388481</v>
      </c>
      <c r="J307">
        <v>5716952</v>
      </c>
      <c r="K307" t="s">
        <v>1285</v>
      </c>
      <c r="L307" t="s">
        <v>1568</v>
      </c>
      <c r="M307">
        <v>11</v>
      </c>
      <c r="N307">
        <v>4.399</v>
      </c>
      <c r="O307">
        <v>4</v>
      </c>
      <c r="P307">
        <v>9</v>
      </c>
      <c r="Q307">
        <v>41</v>
      </c>
      <c r="R307">
        <v>21</v>
      </c>
      <c r="S307">
        <v>1997</v>
      </c>
      <c r="T307" t="s">
        <v>1287</v>
      </c>
      <c r="U307">
        <v>6.447431924405608</v>
      </c>
      <c r="V307" t="s">
        <v>1285</v>
      </c>
      <c r="W307">
        <v>0.1111</v>
      </c>
      <c r="X307">
        <v>10</v>
      </c>
      <c r="Y307">
        <v>8.9</v>
      </c>
      <c r="Z307">
        <v>8.9</v>
      </c>
      <c r="AA307">
        <v>20</v>
      </c>
      <c r="AB307">
        <v>26</v>
      </c>
      <c r="AC307">
        <v>0.35199999999999998</v>
      </c>
      <c r="AD307">
        <v>67</v>
      </c>
      <c r="AE307">
        <v>5.5944055944055937E-2</v>
      </c>
      <c r="AF307">
        <v>2.86</v>
      </c>
      <c r="AG307" t="s">
        <v>1287</v>
      </c>
      <c r="AH307" t="s">
        <v>1285</v>
      </c>
      <c r="AI307">
        <v>76</v>
      </c>
      <c r="AJ307">
        <v>2.5333333333333329E-2</v>
      </c>
      <c r="AK307">
        <v>25.333333333333329</v>
      </c>
      <c r="AL307" t="s">
        <v>1569</v>
      </c>
      <c r="AM307">
        <v>30287.125425656959</v>
      </c>
      <c r="AN307">
        <v>1.45</v>
      </c>
      <c r="AO307">
        <v>0.09</v>
      </c>
      <c r="AP307">
        <v>0.19</v>
      </c>
      <c r="AQ307">
        <v>1.1599999999999999</v>
      </c>
      <c r="AR307">
        <v>1.02</v>
      </c>
      <c r="AS307">
        <v>0.13</v>
      </c>
      <c r="AT307">
        <v>0.01</v>
      </c>
      <c r="AU307">
        <v>0.02</v>
      </c>
      <c r="AV307">
        <v>2.4900000000000002</v>
      </c>
      <c r="AW307">
        <v>1.49</v>
      </c>
      <c r="AX307">
        <v>0.21</v>
      </c>
      <c r="AY307">
        <v>0.53</v>
      </c>
      <c r="AZ307">
        <v>0</v>
      </c>
      <c r="BA307">
        <v>1.08</v>
      </c>
      <c r="BB307">
        <v>0.24</v>
      </c>
      <c r="BC307">
        <v>0.17</v>
      </c>
      <c r="BD307">
        <v>0.27</v>
      </c>
      <c r="BE307">
        <v>6.91</v>
      </c>
      <c r="BF307">
        <v>6.22</v>
      </c>
      <c r="BG307">
        <v>0.24</v>
      </c>
      <c r="BH307">
        <v>0.45</v>
      </c>
      <c r="BI307">
        <v>0</v>
      </c>
      <c r="BJ307">
        <v>0.11</v>
      </c>
      <c r="BK307">
        <v>6.1</v>
      </c>
      <c r="BL307">
        <v>0</v>
      </c>
      <c r="BM307">
        <v>1.97</v>
      </c>
      <c r="BN307">
        <v>0.21</v>
      </c>
      <c r="BO307">
        <v>0.46</v>
      </c>
      <c r="BP307">
        <v>1.3</v>
      </c>
      <c r="BQ307">
        <v>1.01</v>
      </c>
      <c r="BR307">
        <v>0.17</v>
      </c>
      <c r="BS307">
        <v>0.12</v>
      </c>
      <c r="BT307">
        <v>0</v>
      </c>
      <c r="BU307">
        <v>7.31</v>
      </c>
      <c r="BV307">
        <v>6.25</v>
      </c>
      <c r="BW307">
        <v>0.34</v>
      </c>
      <c r="BX307">
        <v>0.72</v>
      </c>
      <c r="BY307">
        <v>0</v>
      </c>
      <c r="BZ307">
        <v>0.11</v>
      </c>
      <c r="CA307">
        <v>6.14</v>
      </c>
      <c r="CB307">
        <v>0</v>
      </c>
      <c r="CC307">
        <f t="shared" si="8"/>
        <v>2.75</v>
      </c>
      <c r="CD307">
        <v>3.96</v>
      </c>
      <c r="CE307">
        <v>0.34230769230769231</v>
      </c>
      <c r="CF307">
        <v>0.44500000000000001</v>
      </c>
      <c r="CG307">
        <v>0.1492537313432836</v>
      </c>
      <c r="CH307">
        <v>0.1230769230769231</v>
      </c>
      <c r="CI307">
        <v>0</v>
      </c>
      <c r="CJ307">
        <v>16247</v>
      </c>
      <c r="CK307" t="s">
        <v>141</v>
      </c>
      <c r="CL307" t="s">
        <v>845</v>
      </c>
      <c r="CM307" t="s">
        <v>143</v>
      </c>
      <c r="CN307">
        <v>1.20384333232</v>
      </c>
      <c r="CO307">
        <v>19.988890070837119</v>
      </c>
      <c r="CP307">
        <v>306</v>
      </c>
      <c r="CQ307" t="s">
        <v>1296</v>
      </c>
      <c r="CR307">
        <v>223</v>
      </c>
      <c r="CS307" t="s">
        <v>717</v>
      </c>
      <c r="CT307" t="s">
        <v>718</v>
      </c>
      <c r="CU307" t="s">
        <v>315</v>
      </c>
      <c r="CV307" t="s">
        <v>719</v>
      </c>
      <c r="CW307" t="s">
        <v>720</v>
      </c>
      <c r="CX307" t="s">
        <v>721</v>
      </c>
      <c r="CY307" t="s">
        <v>551</v>
      </c>
      <c r="CZ307" t="s">
        <v>319</v>
      </c>
      <c r="DA307" t="s">
        <v>152</v>
      </c>
      <c r="DB307" t="s">
        <v>178</v>
      </c>
      <c r="DC307" t="s">
        <v>207</v>
      </c>
      <c r="DD307" t="s">
        <v>155</v>
      </c>
      <c r="DE307">
        <v>2069</v>
      </c>
      <c r="DF307">
        <v>-121.36967300000001</v>
      </c>
      <c r="DG307">
        <v>38.049534000000001</v>
      </c>
      <c r="DH307">
        <v>7600</v>
      </c>
      <c r="DI307">
        <v>1000</v>
      </c>
      <c r="DL307">
        <v>18</v>
      </c>
      <c r="DM307">
        <v>15</v>
      </c>
      <c r="DN307">
        <v>30</v>
      </c>
      <c r="DO307">
        <v>5</v>
      </c>
      <c r="DP307">
        <v>10</v>
      </c>
      <c r="DQ307">
        <v>1700</v>
      </c>
      <c r="DS307" t="s">
        <v>322</v>
      </c>
      <c r="DT307">
        <v>1.2500000000000001E-2</v>
      </c>
      <c r="DU307">
        <v>1.2500000000000001E-2</v>
      </c>
      <c r="DV307">
        <v>0.32500000000000001</v>
      </c>
      <c r="DW307">
        <v>0.32500000000000001</v>
      </c>
      <c r="DX307">
        <v>0.32500000000000001</v>
      </c>
      <c r="DY307">
        <v>54.108551052992432</v>
      </c>
      <c r="DZ307" s="4">
        <v>4.5339999999999998</v>
      </c>
      <c r="EA307" s="4" t="s">
        <v>1291</v>
      </c>
      <c r="EB307" s="4" t="s">
        <v>1292</v>
      </c>
      <c r="EC307">
        <v>5.33</v>
      </c>
      <c r="ED307">
        <v>815</v>
      </c>
      <c r="EE307" t="s">
        <v>1569</v>
      </c>
      <c r="EF307">
        <v>0.27207141848070349</v>
      </c>
      <c r="EH307">
        <f t="shared" si="9"/>
        <v>0.58000000000000007</v>
      </c>
      <c r="EI307">
        <v>3.38</v>
      </c>
      <c r="EJ307">
        <v>3.65</v>
      </c>
    </row>
    <row r="308" spans="1:140" x14ac:dyDescent="0.35">
      <c r="A308" s="1">
        <v>306</v>
      </c>
      <c r="B308">
        <v>-118.4741405661991</v>
      </c>
      <c r="C308">
        <v>45.602972716342947</v>
      </c>
      <c r="D308" t="s">
        <v>1570</v>
      </c>
      <c r="E308">
        <v>0.1</v>
      </c>
      <c r="F308" t="s">
        <v>135</v>
      </c>
      <c r="G308">
        <v>7.3200000000000001E-2</v>
      </c>
      <c r="H308" t="s">
        <v>161</v>
      </c>
      <c r="I308">
        <v>-13188481</v>
      </c>
      <c r="J308">
        <v>5716952</v>
      </c>
      <c r="K308" t="s">
        <v>1285</v>
      </c>
      <c r="L308" t="s">
        <v>1571</v>
      </c>
      <c r="M308">
        <v>30</v>
      </c>
      <c r="N308">
        <v>4.4809999999999999</v>
      </c>
      <c r="O308">
        <v>4</v>
      </c>
      <c r="P308">
        <v>9</v>
      </c>
      <c r="Q308">
        <v>41</v>
      </c>
      <c r="R308">
        <v>59</v>
      </c>
      <c r="S308">
        <v>80068</v>
      </c>
      <c r="T308" t="s">
        <v>1287</v>
      </c>
      <c r="U308">
        <v>6.447431924405608</v>
      </c>
      <c r="V308" t="s">
        <v>1285</v>
      </c>
      <c r="W308">
        <v>0.1111</v>
      </c>
      <c r="X308">
        <v>10</v>
      </c>
      <c r="Y308">
        <v>8.9</v>
      </c>
      <c r="Z308">
        <v>8.9</v>
      </c>
      <c r="AA308">
        <v>20</v>
      </c>
      <c r="AB308">
        <v>26</v>
      </c>
      <c r="AC308">
        <v>0.35199999999999998</v>
      </c>
      <c r="AD308">
        <v>67</v>
      </c>
      <c r="AE308">
        <v>5.5944055944055937E-2</v>
      </c>
      <c r="AF308">
        <v>2.86</v>
      </c>
      <c r="AG308" t="s">
        <v>1287</v>
      </c>
      <c r="AH308" t="s">
        <v>1285</v>
      </c>
      <c r="AI308">
        <v>76</v>
      </c>
      <c r="AJ308">
        <v>2.5333333333333329E-2</v>
      </c>
      <c r="AK308">
        <v>25.333333333333329</v>
      </c>
      <c r="AL308" t="s">
        <v>1569</v>
      </c>
      <c r="AM308">
        <v>0</v>
      </c>
      <c r="AN308">
        <v>1.45</v>
      </c>
      <c r="AO308">
        <v>0.09</v>
      </c>
      <c r="AP308">
        <v>0.19</v>
      </c>
      <c r="AQ308">
        <v>1.1599999999999999</v>
      </c>
      <c r="AR308">
        <v>1.02</v>
      </c>
      <c r="AS308">
        <v>0.13</v>
      </c>
      <c r="AT308">
        <v>0.01</v>
      </c>
      <c r="AU308">
        <v>0.02</v>
      </c>
      <c r="AV308">
        <v>2.4900000000000002</v>
      </c>
      <c r="AW308">
        <v>1.49</v>
      </c>
      <c r="AX308">
        <v>0.21</v>
      </c>
      <c r="AY308">
        <v>0.53</v>
      </c>
      <c r="AZ308">
        <v>0</v>
      </c>
      <c r="BA308">
        <v>1.08</v>
      </c>
      <c r="BB308">
        <v>0.24</v>
      </c>
      <c r="BC308">
        <v>0.17</v>
      </c>
      <c r="BD308">
        <v>0.27</v>
      </c>
      <c r="BE308">
        <v>6.91</v>
      </c>
      <c r="BF308">
        <v>6.22</v>
      </c>
      <c r="BG308">
        <v>0.24</v>
      </c>
      <c r="BH308">
        <v>0.45</v>
      </c>
      <c r="BI308">
        <v>0</v>
      </c>
      <c r="BJ308">
        <v>0.11</v>
      </c>
      <c r="BK308">
        <v>6.1</v>
      </c>
      <c r="BL308">
        <v>0</v>
      </c>
      <c r="BM308">
        <v>1.97</v>
      </c>
      <c r="BN308">
        <v>0.21</v>
      </c>
      <c r="BO308">
        <v>0.46</v>
      </c>
      <c r="BP308">
        <v>1.3</v>
      </c>
      <c r="BQ308">
        <v>1.01</v>
      </c>
      <c r="BR308">
        <v>0.17</v>
      </c>
      <c r="BS308">
        <v>0.12</v>
      </c>
      <c r="BT308">
        <v>0</v>
      </c>
      <c r="BU308">
        <v>7.31</v>
      </c>
      <c r="BV308">
        <v>6.25</v>
      </c>
      <c r="BW308">
        <v>0.34</v>
      </c>
      <c r="BX308">
        <v>0.72</v>
      </c>
      <c r="BY308">
        <v>0</v>
      </c>
      <c r="BZ308">
        <v>0.11</v>
      </c>
      <c r="CA308">
        <v>6.14</v>
      </c>
      <c r="CB308">
        <v>0</v>
      </c>
      <c r="CC308">
        <f t="shared" si="8"/>
        <v>2.75</v>
      </c>
      <c r="CD308">
        <v>3.96</v>
      </c>
      <c r="CE308">
        <v>0.34230769230769231</v>
      </c>
      <c r="CF308">
        <v>0.44500000000000001</v>
      </c>
      <c r="CG308">
        <v>0.1492537313432836</v>
      </c>
      <c r="CH308">
        <v>0.1230769230769231</v>
      </c>
      <c r="CI308">
        <v>0</v>
      </c>
      <c r="CJ308">
        <v>16187</v>
      </c>
      <c r="CK308" t="s">
        <v>141</v>
      </c>
      <c r="CL308" t="s">
        <v>845</v>
      </c>
      <c r="CM308" t="s">
        <v>143</v>
      </c>
      <c r="CN308">
        <v>0.18930945157599999</v>
      </c>
      <c r="CO308">
        <v>1.0554557796134141</v>
      </c>
      <c r="CP308">
        <v>307</v>
      </c>
      <c r="CQ308" t="s">
        <v>1296</v>
      </c>
      <c r="CR308">
        <v>223</v>
      </c>
      <c r="CS308" t="s">
        <v>717</v>
      </c>
      <c r="CT308" t="s">
        <v>718</v>
      </c>
      <c r="CU308" t="s">
        <v>315</v>
      </c>
      <c r="CV308" t="s">
        <v>719</v>
      </c>
      <c r="CW308" t="s">
        <v>720</v>
      </c>
      <c r="CX308" t="s">
        <v>721</v>
      </c>
      <c r="CY308" t="s">
        <v>551</v>
      </c>
      <c r="CZ308" t="s">
        <v>319</v>
      </c>
      <c r="DA308" t="s">
        <v>152</v>
      </c>
      <c r="DB308" t="s">
        <v>178</v>
      </c>
      <c r="DC308" t="s">
        <v>207</v>
      </c>
      <c r="DD308" t="s">
        <v>155</v>
      </c>
      <c r="DE308">
        <v>2069</v>
      </c>
      <c r="DF308">
        <v>-121.36967300000001</v>
      </c>
      <c r="DG308">
        <v>38.049534000000001</v>
      </c>
      <c r="DH308">
        <v>7600</v>
      </c>
      <c r="DI308">
        <v>1000</v>
      </c>
      <c r="DL308">
        <v>18</v>
      </c>
      <c r="DM308">
        <v>15</v>
      </c>
      <c r="DN308">
        <v>30</v>
      </c>
      <c r="DO308">
        <v>5</v>
      </c>
      <c r="DP308">
        <v>10</v>
      </c>
      <c r="DQ308">
        <v>1700</v>
      </c>
      <c r="DS308" t="s">
        <v>322</v>
      </c>
      <c r="DT308">
        <v>1.2500000000000001E-2</v>
      </c>
      <c r="DU308">
        <v>1.2500000000000001E-2</v>
      </c>
      <c r="DV308">
        <v>0.32500000000000001</v>
      </c>
      <c r="DW308">
        <v>0.32500000000000001</v>
      </c>
      <c r="DX308">
        <v>0.32500000000000001</v>
      </c>
      <c r="DY308">
        <v>90.715862295885913</v>
      </c>
      <c r="DZ308" s="4">
        <v>4.5339999999999998</v>
      </c>
      <c r="EA308" s="4" t="s">
        <v>1291</v>
      </c>
      <c r="EB308" s="4" t="s">
        <v>1292</v>
      </c>
      <c r="EC308">
        <v>5.33</v>
      </c>
      <c r="ED308">
        <v>815</v>
      </c>
      <c r="EE308" t="s">
        <v>1569</v>
      </c>
      <c r="EF308">
        <v>0</v>
      </c>
      <c r="EH308">
        <f t="shared" si="9"/>
        <v>0.58000000000000007</v>
      </c>
      <c r="EI308">
        <v>3.38</v>
      </c>
      <c r="EJ308">
        <v>3.65</v>
      </c>
    </row>
    <row r="309" spans="1:140" x14ac:dyDescent="0.35">
      <c r="A309" s="1">
        <v>307</v>
      </c>
      <c r="B309">
        <v>-116.6775099979601</v>
      </c>
      <c r="C309">
        <v>45.602972716342947</v>
      </c>
      <c r="D309" t="s">
        <v>1572</v>
      </c>
      <c r="E309">
        <v>0.1</v>
      </c>
      <c r="F309" t="s">
        <v>306</v>
      </c>
      <c r="G309">
        <v>4.7399999999999998E-2</v>
      </c>
      <c r="H309" t="s">
        <v>161</v>
      </c>
      <c r="I309">
        <v>-12988481</v>
      </c>
      <c r="J309">
        <v>5716952</v>
      </c>
      <c r="K309" t="s">
        <v>1285</v>
      </c>
      <c r="L309" t="s">
        <v>1573</v>
      </c>
      <c r="M309">
        <v>32</v>
      </c>
      <c r="N309">
        <v>5.0510000000000002</v>
      </c>
      <c r="O309">
        <v>4</v>
      </c>
      <c r="P309">
        <v>9</v>
      </c>
      <c r="Q309">
        <v>41</v>
      </c>
      <c r="R309">
        <v>63</v>
      </c>
      <c r="S309">
        <v>7387</v>
      </c>
      <c r="T309" t="s">
        <v>1287</v>
      </c>
      <c r="U309">
        <v>6.447431924405608</v>
      </c>
      <c r="V309" t="s">
        <v>1285</v>
      </c>
      <c r="W309">
        <v>0.1111</v>
      </c>
      <c r="X309">
        <v>10</v>
      </c>
      <c r="Y309">
        <v>8.9</v>
      </c>
      <c r="Z309">
        <v>8.9</v>
      </c>
      <c r="AA309">
        <v>20</v>
      </c>
      <c r="AB309">
        <v>26</v>
      </c>
      <c r="AC309">
        <v>0.35199999999999998</v>
      </c>
      <c r="AD309">
        <v>67</v>
      </c>
      <c r="AE309">
        <v>5.5944055944055937E-2</v>
      </c>
      <c r="AF309">
        <v>2.86</v>
      </c>
      <c r="AG309" t="s">
        <v>1287</v>
      </c>
      <c r="AH309" t="s">
        <v>1285</v>
      </c>
      <c r="AI309">
        <v>76</v>
      </c>
      <c r="AJ309">
        <v>2.5333333333333329E-2</v>
      </c>
      <c r="AK309">
        <v>25.333333333333329</v>
      </c>
      <c r="AL309" t="s">
        <v>1574</v>
      </c>
      <c r="AM309">
        <v>42136.628933991196</v>
      </c>
      <c r="AN309">
        <v>1.45</v>
      </c>
      <c r="AO309">
        <v>0.09</v>
      </c>
      <c r="AP309">
        <v>0.19</v>
      </c>
      <c r="AQ309">
        <v>1.1599999999999999</v>
      </c>
      <c r="AR309">
        <v>1.02</v>
      </c>
      <c r="AS309">
        <v>0.13</v>
      </c>
      <c r="AT309">
        <v>0.01</v>
      </c>
      <c r="AU309">
        <v>0.02</v>
      </c>
      <c r="AV309">
        <v>2.4900000000000002</v>
      </c>
      <c r="AW309">
        <v>1.49</v>
      </c>
      <c r="AX309">
        <v>0.21</v>
      </c>
      <c r="AY309">
        <v>0.53</v>
      </c>
      <c r="AZ309">
        <v>0</v>
      </c>
      <c r="BA309">
        <v>1.08</v>
      </c>
      <c r="BB309">
        <v>0.24</v>
      </c>
      <c r="BC309">
        <v>0.17</v>
      </c>
      <c r="BD309">
        <v>0.27</v>
      </c>
      <c r="BE309">
        <v>6.91</v>
      </c>
      <c r="BF309">
        <v>6.22</v>
      </c>
      <c r="BG309">
        <v>0.24</v>
      </c>
      <c r="BH309">
        <v>0.45</v>
      </c>
      <c r="BI309">
        <v>0</v>
      </c>
      <c r="BJ309">
        <v>0.11</v>
      </c>
      <c r="BK309">
        <v>6.1</v>
      </c>
      <c r="BL309">
        <v>0</v>
      </c>
      <c r="BM309">
        <v>1.97</v>
      </c>
      <c r="BN309">
        <v>0.21</v>
      </c>
      <c r="BO309">
        <v>0.46</v>
      </c>
      <c r="BP309">
        <v>1.3</v>
      </c>
      <c r="BQ309">
        <v>1.01</v>
      </c>
      <c r="BR309">
        <v>0.17</v>
      </c>
      <c r="BS309">
        <v>0.12</v>
      </c>
      <c r="BT309">
        <v>0</v>
      </c>
      <c r="BU309">
        <v>7.31</v>
      </c>
      <c r="BV309">
        <v>6.25</v>
      </c>
      <c r="BW309">
        <v>0.34</v>
      </c>
      <c r="BX309">
        <v>0.72</v>
      </c>
      <c r="BY309">
        <v>0</v>
      </c>
      <c r="BZ309">
        <v>0.11</v>
      </c>
      <c r="CA309">
        <v>6.14</v>
      </c>
      <c r="CB309">
        <v>0</v>
      </c>
      <c r="CC309">
        <f t="shared" si="8"/>
        <v>2.75</v>
      </c>
      <c r="CD309">
        <v>3.96</v>
      </c>
      <c r="CE309">
        <v>0.34230769230769231</v>
      </c>
      <c r="CF309">
        <v>0.44500000000000001</v>
      </c>
      <c r="CG309">
        <v>0.1492537313432836</v>
      </c>
      <c r="CH309">
        <v>0.1230769230769231</v>
      </c>
      <c r="CI309">
        <v>0</v>
      </c>
      <c r="CJ309">
        <v>16258</v>
      </c>
      <c r="CK309" t="s">
        <v>141</v>
      </c>
      <c r="CL309" t="s">
        <v>845</v>
      </c>
      <c r="CM309" t="s">
        <v>143</v>
      </c>
      <c r="CN309">
        <v>4.0085643627100001E-2</v>
      </c>
      <c r="CO309">
        <v>88.162530394537498</v>
      </c>
      <c r="CP309">
        <v>308</v>
      </c>
      <c r="CQ309" t="s">
        <v>1308</v>
      </c>
      <c r="CR309">
        <v>213</v>
      </c>
      <c r="CS309" t="s">
        <v>1064</v>
      </c>
      <c r="CT309" t="s">
        <v>1063</v>
      </c>
      <c r="CU309" t="s">
        <v>837</v>
      </c>
      <c r="CV309" t="s">
        <v>1065</v>
      </c>
      <c r="CW309" t="s">
        <v>1066</v>
      </c>
      <c r="CX309" t="s">
        <v>1067</v>
      </c>
      <c r="CY309" t="s">
        <v>1068</v>
      </c>
      <c r="CZ309" t="s">
        <v>206</v>
      </c>
      <c r="DA309" t="s">
        <v>152</v>
      </c>
      <c r="DB309" t="s">
        <v>178</v>
      </c>
      <c r="DC309" t="s">
        <v>961</v>
      </c>
      <c r="DD309" t="s">
        <v>208</v>
      </c>
      <c r="DE309">
        <v>4436</v>
      </c>
      <c r="DF309">
        <v>-111.185568</v>
      </c>
      <c r="DG309">
        <v>41.139183000000003</v>
      </c>
      <c r="DH309">
        <v>6780</v>
      </c>
      <c r="DI309">
        <v>420</v>
      </c>
      <c r="DJ309">
        <v>2937</v>
      </c>
      <c r="DK309">
        <v>144</v>
      </c>
      <c r="DL309">
        <v>22</v>
      </c>
      <c r="DO309">
        <v>145</v>
      </c>
      <c r="DP309">
        <v>10</v>
      </c>
      <c r="DQ309">
        <v>200</v>
      </c>
      <c r="DS309" t="s">
        <v>1069</v>
      </c>
      <c r="DT309">
        <v>1.2500000000000001E-2</v>
      </c>
      <c r="DU309">
        <v>1.2500000000000001E-2</v>
      </c>
      <c r="DV309">
        <v>0.32500000000000001</v>
      </c>
      <c r="DW309">
        <v>0.32500000000000001</v>
      </c>
      <c r="DX309">
        <v>0.32500000000000001</v>
      </c>
      <c r="DY309">
        <v>128.30030809768419</v>
      </c>
      <c r="DZ309" s="4">
        <v>4.5339999999999998</v>
      </c>
      <c r="EA309" s="4" t="s">
        <v>1291</v>
      </c>
      <c r="EB309" s="4" t="s">
        <v>1292</v>
      </c>
      <c r="EC309">
        <v>5.33</v>
      </c>
      <c r="ED309">
        <v>72</v>
      </c>
      <c r="EE309" t="s">
        <v>1574</v>
      </c>
      <c r="EF309">
        <v>0.27476281633648508</v>
      </c>
      <c r="EH309">
        <f t="shared" si="9"/>
        <v>0.58000000000000007</v>
      </c>
      <c r="EI309">
        <v>3.38</v>
      </c>
      <c r="EJ309">
        <v>3.65</v>
      </c>
    </row>
    <row r="310" spans="1:140" x14ac:dyDescent="0.35">
      <c r="A310" s="1">
        <v>308</v>
      </c>
      <c r="B310">
        <v>-114.88087942972101</v>
      </c>
      <c r="C310">
        <v>45.602972716342947</v>
      </c>
      <c r="D310" t="s">
        <v>1575</v>
      </c>
      <c r="E310">
        <v>0.1</v>
      </c>
      <c r="F310" t="s">
        <v>306</v>
      </c>
      <c r="G310">
        <v>0.1956</v>
      </c>
      <c r="H310" t="s">
        <v>161</v>
      </c>
      <c r="I310">
        <v>-12788481</v>
      </c>
      <c r="J310">
        <v>5716952</v>
      </c>
      <c r="K310" t="s">
        <v>1304</v>
      </c>
      <c r="L310" t="s">
        <v>1304</v>
      </c>
      <c r="M310">
        <v>25</v>
      </c>
      <c r="N310">
        <v>4.09</v>
      </c>
      <c r="O310">
        <v>4</v>
      </c>
      <c r="P310">
        <v>8</v>
      </c>
      <c r="Q310">
        <v>16</v>
      </c>
      <c r="R310">
        <v>49</v>
      </c>
      <c r="S310">
        <v>16542</v>
      </c>
      <c r="T310" t="s">
        <v>1306</v>
      </c>
      <c r="U310">
        <v>5.8816805527331848</v>
      </c>
      <c r="V310" t="s">
        <v>1304</v>
      </c>
      <c r="W310">
        <v>9.5100000000000004E-2</v>
      </c>
      <c r="X310">
        <v>10</v>
      </c>
      <c r="Y310">
        <v>8.9</v>
      </c>
      <c r="Z310">
        <v>8.9</v>
      </c>
      <c r="AA310">
        <v>20</v>
      </c>
      <c r="AB310">
        <v>26</v>
      </c>
      <c r="AC310">
        <v>0.38200000000000001</v>
      </c>
      <c r="AD310">
        <v>67</v>
      </c>
      <c r="AE310">
        <v>6.0712015257469797E-2</v>
      </c>
      <c r="AF310">
        <v>2.86</v>
      </c>
      <c r="AG310" t="s">
        <v>1306</v>
      </c>
      <c r="AH310" t="s">
        <v>1304</v>
      </c>
      <c r="AI310">
        <v>38</v>
      </c>
      <c r="AJ310">
        <v>1.266666666666667E-2</v>
      </c>
      <c r="AK310">
        <v>12.66666666666667</v>
      </c>
      <c r="AL310" t="s">
        <v>1576</v>
      </c>
      <c r="AM310">
        <v>168486.23965452911</v>
      </c>
      <c r="AN310">
        <v>1.27</v>
      </c>
      <c r="AO310">
        <v>0.09</v>
      </c>
      <c r="AP310">
        <v>0.19</v>
      </c>
      <c r="AQ310">
        <v>0.99</v>
      </c>
      <c r="AR310">
        <v>0.93</v>
      </c>
      <c r="AS310">
        <v>0.04</v>
      </c>
      <c r="AT310">
        <v>0.01</v>
      </c>
      <c r="AU310">
        <v>0.02</v>
      </c>
      <c r="AV310">
        <v>2.2200000000000002</v>
      </c>
      <c r="AW310">
        <v>1.22</v>
      </c>
      <c r="AX310">
        <v>0.21</v>
      </c>
      <c r="AY310">
        <v>0.53</v>
      </c>
      <c r="AZ310">
        <v>0</v>
      </c>
      <c r="BA310">
        <v>0.99</v>
      </c>
      <c r="BB310">
        <v>0.08</v>
      </c>
      <c r="BC310">
        <v>0.15</v>
      </c>
      <c r="BD310">
        <v>0.27</v>
      </c>
      <c r="BE310">
        <v>6.28</v>
      </c>
      <c r="BF310">
        <v>5.59</v>
      </c>
      <c r="BG310">
        <v>0.24</v>
      </c>
      <c r="BH310">
        <v>0.45</v>
      </c>
      <c r="BI310">
        <v>0</v>
      </c>
      <c r="BJ310">
        <v>0.04</v>
      </c>
      <c r="BK310">
        <v>5.55</v>
      </c>
      <c r="BL310">
        <v>0</v>
      </c>
      <c r="BM310">
        <v>1.76</v>
      </c>
      <c r="BN310">
        <v>0.21</v>
      </c>
      <c r="BO310">
        <v>0.46</v>
      </c>
      <c r="BP310">
        <v>1.0900000000000001</v>
      </c>
      <c r="BQ310">
        <v>0.92</v>
      </c>
      <c r="BR310">
        <v>0.06</v>
      </c>
      <c r="BS310">
        <v>0.11</v>
      </c>
      <c r="BT310">
        <v>0</v>
      </c>
      <c r="BU310">
        <v>6.68</v>
      </c>
      <c r="BV310">
        <v>5.62</v>
      </c>
      <c r="BW310">
        <v>0.34</v>
      </c>
      <c r="BX310">
        <v>0.72</v>
      </c>
      <c r="BY310">
        <v>0</v>
      </c>
      <c r="BZ310">
        <v>0.04</v>
      </c>
      <c r="CA310">
        <v>5.58</v>
      </c>
      <c r="CB310">
        <v>0</v>
      </c>
      <c r="CC310">
        <f t="shared" si="8"/>
        <v>2.75</v>
      </c>
      <c r="CD310">
        <v>3.96</v>
      </c>
      <c r="CE310">
        <v>0.34230769230769231</v>
      </c>
      <c r="CF310">
        <v>0.44500000000000001</v>
      </c>
      <c r="CG310">
        <v>0.1492537313432836</v>
      </c>
      <c r="CH310">
        <v>0.13356643356643361</v>
      </c>
      <c r="CI310">
        <v>0</v>
      </c>
      <c r="CJ310">
        <v>16078</v>
      </c>
      <c r="CK310" t="s">
        <v>169</v>
      </c>
      <c r="CL310" t="s">
        <v>1467</v>
      </c>
      <c r="CM310" t="s">
        <v>143</v>
      </c>
      <c r="CN310">
        <v>0.20658591211499999</v>
      </c>
      <c r="CO310">
        <v>81.870865826792738</v>
      </c>
      <c r="CP310">
        <v>309</v>
      </c>
      <c r="CQ310" t="s">
        <v>908</v>
      </c>
      <c r="CR310">
        <v>49</v>
      </c>
      <c r="CS310" t="s">
        <v>1558</v>
      </c>
      <c r="CT310" t="s">
        <v>1559</v>
      </c>
      <c r="CU310" t="s">
        <v>1560</v>
      </c>
      <c r="CV310" t="s">
        <v>1561</v>
      </c>
      <c r="CW310" t="s">
        <v>1562</v>
      </c>
      <c r="CX310" t="s">
        <v>1563</v>
      </c>
      <c r="CY310" t="s">
        <v>1564</v>
      </c>
      <c r="CZ310" t="s">
        <v>1339</v>
      </c>
      <c r="DA310" t="s">
        <v>152</v>
      </c>
      <c r="DB310" t="s">
        <v>153</v>
      </c>
      <c r="DC310" t="s">
        <v>459</v>
      </c>
      <c r="DD310" t="s">
        <v>1565</v>
      </c>
      <c r="DE310">
        <v>4809</v>
      </c>
      <c r="DF310">
        <v>-111.57566799999999</v>
      </c>
      <c r="DG310">
        <v>48.433261000000002</v>
      </c>
      <c r="DH310">
        <v>3400</v>
      </c>
      <c r="DI310">
        <v>400</v>
      </c>
      <c r="DL310">
        <v>7</v>
      </c>
      <c r="DM310">
        <v>5</v>
      </c>
      <c r="DN310">
        <v>10</v>
      </c>
      <c r="DO310">
        <v>10</v>
      </c>
      <c r="DP310">
        <v>1</v>
      </c>
      <c r="DQ310">
        <v>50</v>
      </c>
      <c r="DR310" t="s">
        <v>866</v>
      </c>
      <c r="DS310" t="s">
        <v>1566</v>
      </c>
      <c r="DT310">
        <v>1.2500000000000001E-2</v>
      </c>
      <c r="DU310">
        <v>1.2500000000000001E-2</v>
      </c>
      <c r="DV310">
        <v>0.32500000000000001</v>
      </c>
      <c r="DW310">
        <v>0.32500000000000001</v>
      </c>
      <c r="DX310">
        <v>0.32500000000000001</v>
      </c>
      <c r="DY310">
        <v>172.04951491081789</v>
      </c>
      <c r="DZ310" s="4">
        <v>4.016</v>
      </c>
      <c r="EA310" s="4" t="s">
        <v>1309</v>
      </c>
      <c r="EB310" s="4" t="s">
        <v>1310</v>
      </c>
      <c r="EC310">
        <v>4.6689999999999996</v>
      </c>
      <c r="ED310">
        <v>416</v>
      </c>
      <c r="EE310" t="s">
        <v>1576</v>
      </c>
      <c r="EF310">
        <v>1.0689895938323679</v>
      </c>
      <c r="EH310">
        <f t="shared" si="9"/>
        <v>0.58000000000000007</v>
      </c>
      <c r="EI310">
        <v>3.38</v>
      </c>
      <c r="EJ310">
        <v>3.65</v>
      </c>
    </row>
    <row r="311" spans="1:140" x14ac:dyDescent="0.35">
      <c r="A311" s="1">
        <v>309</v>
      </c>
      <c r="B311">
        <v>-113.084248861482</v>
      </c>
      <c r="C311">
        <v>45.602972716342947</v>
      </c>
      <c r="D311" t="s">
        <v>1577</v>
      </c>
      <c r="E311">
        <v>0.1</v>
      </c>
      <c r="F311" t="s">
        <v>306</v>
      </c>
      <c r="G311">
        <v>0.1956</v>
      </c>
      <c r="H311" t="s">
        <v>161</v>
      </c>
      <c r="I311">
        <v>-12588481</v>
      </c>
      <c r="J311">
        <v>5716952</v>
      </c>
      <c r="K311" t="s">
        <v>1578</v>
      </c>
      <c r="L311" t="s">
        <v>1579</v>
      </c>
      <c r="M311">
        <v>1</v>
      </c>
      <c r="N311">
        <v>4.0510000000000002</v>
      </c>
      <c r="O311">
        <v>4</v>
      </c>
      <c r="P311">
        <v>8</v>
      </c>
      <c r="Q311">
        <v>30</v>
      </c>
      <c r="R311">
        <v>1</v>
      </c>
      <c r="S311">
        <v>9374</v>
      </c>
      <c r="T311" t="s">
        <v>1560</v>
      </c>
      <c r="U311">
        <v>7.1869284698232052</v>
      </c>
      <c r="V311" t="s">
        <v>1578</v>
      </c>
      <c r="W311">
        <v>0.10829999999999999</v>
      </c>
      <c r="X311">
        <v>10</v>
      </c>
      <c r="Y311">
        <v>8.9</v>
      </c>
      <c r="Z311">
        <v>8.9</v>
      </c>
      <c r="AA311">
        <v>20</v>
      </c>
      <c r="AB311">
        <v>26</v>
      </c>
      <c r="AC311">
        <v>0.96899999999999997</v>
      </c>
      <c r="AD311">
        <v>67</v>
      </c>
      <c r="AE311">
        <v>0.15400508582326761</v>
      </c>
      <c r="AF311">
        <v>2.86</v>
      </c>
      <c r="AG311" t="s">
        <v>1560</v>
      </c>
      <c r="AH311" t="s">
        <v>1578</v>
      </c>
      <c r="AI311">
        <v>38</v>
      </c>
      <c r="AJ311">
        <v>1.266666666666667E-2</v>
      </c>
      <c r="AK311">
        <v>12.66666666666667</v>
      </c>
      <c r="AL311" t="s">
        <v>1580</v>
      </c>
      <c r="AM311">
        <v>33913.707313748433</v>
      </c>
      <c r="AN311">
        <v>1.48</v>
      </c>
      <c r="AO311">
        <v>0.09</v>
      </c>
      <c r="AP311">
        <v>0.19</v>
      </c>
      <c r="AQ311">
        <v>1.19</v>
      </c>
      <c r="AR311">
        <v>1.1399999999999999</v>
      </c>
      <c r="AS311">
        <v>0.04</v>
      </c>
      <c r="AT311">
        <v>0.01</v>
      </c>
      <c r="AU311">
        <v>0.02</v>
      </c>
      <c r="AV311">
        <v>2.4500000000000002</v>
      </c>
      <c r="AW311">
        <v>1.45</v>
      </c>
      <c r="AX311">
        <v>0.21</v>
      </c>
      <c r="AY311">
        <v>0.53</v>
      </c>
      <c r="AZ311">
        <v>0</v>
      </c>
      <c r="BA311">
        <v>1.21</v>
      </c>
      <c r="BB311">
        <v>0.08</v>
      </c>
      <c r="BC311">
        <v>0.17</v>
      </c>
      <c r="BD311">
        <v>0.27</v>
      </c>
      <c r="BE311">
        <v>6.83</v>
      </c>
      <c r="BF311">
        <v>6.14</v>
      </c>
      <c r="BG311">
        <v>0.24</v>
      </c>
      <c r="BH311">
        <v>0.45</v>
      </c>
      <c r="BI311">
        <v>0</v>
      </c>
      <c r="BJ311">
        <v>0.04</v>
      </c>
      <c r="BK311">
        <v>6.1</v>
      </c>
      <c r="BL311">
        <v>0</v>
      </c>
      <c r="BM311">
        <v>1.97</v>
      </c>
      <c r="BN311">
        <v>0.21</v>
      </c>
      <c r="BO311">
        <v>0.46</v>
      </c>
      <c r="BP311">
        <v>1.3</v>
      </c>
      <c r="BQ311">
        <v>1.1200000000000001</v>
      </c>
      <c r="BR311">
        <v>0.06</v>
      </c>
      <c r="BS311">
        <v>0.12</v>
      </c>
      <c r="BT311">
        <v>0</v>
      </c>
      <c r="BU311">
        <v>7.24</v>
      </c>
      <c r="BV311">
        <v>6.18</v>
      </c>
      <c r="BW311">
        <v>0.34</v>
      </c>
      <c r="BX311">
        <v>0.72</v>
      </c>
      <c r="BY311">
        <v>0</v>
      </c>
      <c r="BZ311">
        <v>0.04</v>
      </c>
      <c r="CA311">
        <v>6.14</v>
      </c>
      <c r="CB311">
        <v>0</v>
      </c>
      <c r="CC311">
        <f t="shared" si="8"/>
        <v>2.75</v>
      </c>
      <c r="CD311">
        <v>3.96</v>
      </c>
      <c r="CE311">
        <v>0.34230769230769231</v>
      </c>
      <c r="CF311">
        <v>0.44500000000000001</v>
      </c>
      <c r="CG311">
        <v>0.1492537313432836</v>
      </c>
      <c r="CH311">
        <v>0.33881118881118882</v>
      </c>
      <c r="CI311">
        <v>0</v>
      </c>
      <c r="CJ311">
        <v>16094</v>
      </c>
      <c r="CK311" t="s">
        <v>169</v>
      </c>
      <c r="CL311" t="s">
        <v>1467</v>
      </c>
      <c r="CM311" t="s">
        <v>143</v>
      </c>
      <c r="CN311">
        <v>7.8369469469900005E-2</v>
      </c>
      <c r="CO311">
        <v>48.148158255554733</v>
      </c>
      <c r="CP311">
        <v>310</v>
      </c>
      <c r="CQ311" t="s">
        <v>908</v>
      </c>
      <c r="CR311">
        <v>49</v>
      </c>
      <c r="CS311" t="s">
        <v>1558</v>
      </c>
      <c r="CT311" t="s">
        <v>1559</v>
      </c>
      <c r="CU311" t="s">
        <v>1560</v>
      </c>
      <c r="CV311" t="s">
        <v>1561</v>
      </c>
      <c r="CW311" t="s">
        <v>1562</v>
      </c>
      <c r="CX311" t="s">
        <v>1563</v>
      </c>
      <c r="CY311" t="s">
        <v>1564</v>
      </c>
      <c r="CZ311" t="s">
        <v>1339</v>
      </c>
      <c r="DA311" t="s">
        <v>152</v>
      </c>
      <c r="DB311" t="s">
        <v>153</v>
      </c>
      <c r="DC311" t="s">
        <v>459</v>
      </c>
      <c r="DD311" t="s">
        <v>1565</v>
      </c>
      <c r="DE311">
        <v>4809</v>
      </c>
      <c r="DF311">
        <v>-111.57566799999999</v>
      </c>
      <c r="DG311">
        <v>48.433261000000002</v>
      </c>
      <c r="DH311">
        <v>3400</v>
      </c>
      <c r="DI311">
        <v>400</v>
      </c>
      <c r="DL311">
        <v>7</v>
      </c>
      <c r="DM311">
        <v>5</v>
      </c>
      <c r="DN311">
        <v>10</v>
      </c>
      <c r="DO311">
        <v>10</v>
      </c>
      <c r="DP311">
        <v>1</v>
      </c>
      <c r="DQ311">
        <v>50</v>
      </c>
      <c r="DR311" t="s">
        <v>866</v>
      </c>
      <c r="DS311" t="s">
        <v>1566</v>
      </c>
      <c r="DT311">
        <v>1.2500000000000001E-2</v>
      </c>
      <c r="DU311">
        <v>1.2500000000000001E-2</v>
      </c>
      <c r="DV311">
        <v>0.32500000000000001</v>
      </c>
      <c r="DW311">
        <v>0.32500000000000001</v>
      </c>
      <c r="DX311">
        <v>0.32500000000000001</v>
      </c>
      <c r="DY311">
        <v>116.6129605254511</v>
      </c>
      <c r="DZ311" s="4">
        <v>3.9159999999999999</v>
      </c>
      <c r="EA311" s="4" t="s">
        <v>1581</v>
      </c>
      <c r="EB311" s="4" t="s">
        <v>1582</v>
      </c>
      <c r="EC311">
        <v>4.3879999999999999</v>
      </c>
      <c r="ED311">
        <v>366</v>
      </c>
      <c r="EE311" t="s">
        <v>1580</v>
      </c>
      <c r="EF311">
        <v>0.2213358870680838</v>
      </c>
      <c r="EH311">
        <f t="shared" si="9"/>
        <v>0.58000000000000007</v>
      </c>
      <c r="EI311">
        <v>3.38</v>
      </c>
      <c r="EJ311">
        <v>3.65</v>
      </c>
    </row>
    <row r="312" spans="1:140" x14ac:dyDescent="0.35">
      <c r="A312" s="1">
        <v>310</v>
      </c>
      <c r="B312">
        <v>-111.2876182932429</v>
      </c>
      <c r="C312">
        <v>45.602972716342947</v>
      </c>
      <c r="D312" t="s">
        <v>1583</v>
      </c>
      <c r="E312">
        <v>0.1</v>
      </c>
      <c r="F312" t="s">
        <v>135</v>
      </c>
      <c r="G312">
        <v>8.6800000000000002E-2</v>
      </c>
      <c r="H312" t="s">
        <v>161</v>
      </c>
      <c r="I312">
        <v>-12388481</v>
      </c>
      <c r="J312">
        <v>5716952</v>
      </c>
      <c r="K312" t="s">
        <v>1578</v>
      </c>
      <c r="L312" t="s">
        <v>1584</v>
      </c>
      <c r="M312">
        <v>16</v>
      </c>
      <c r="N312">
        <v>3.9489999999999998</v>
      </c>
      <c r="O312">
        <v>4</v>
      </c>
      <c r="P312">
        <v>8</v>
      </c>
      <c r="Q312">
        <v>30</v>
      </c>
      <c r="R312">
        <v>31</v>
      </c>
      <c r="S312">
        <v>118957</v>
      </c>
      <c r="T312" t="s">
        <v>1560</v>
      </c>
      <c r="U312">
        <v>7.1869284698232052</v>
      </c>
      <c r="V312" t="s">
        <v>1578</v>
      </c>
      <c r="W312">
        <v>0.10829999999999999</v>
      </c>
      <c r="X312">
        <v>10</v>
      </c>
      <c r="Y312">
        <v>8.9</v>
      </c>
      <c r="Z312">
        <v>8.9</v>
      </c>
      <c r="AA312">
        <v>20</v>
      </c>
      <c r="AB312">
        <v>26</v>
      </c>
      <c r="AC312">
        <v>0.96899999999999997</v>
      </c>
      <c r="AD312">
        <v>67</v>
      </c>
      <c r="AE312">
        <v>0.15400508582326761</v>
      </c>
      <c r="AF312">
        <v>2.86</v>
      </c>
      <c r="AG312" t="s">
        <v>1560</v>
      </c>
      <c r="AH312" t="s">
        <v>1578</v>
      </c>
      <c r="AI312">
        <v>38</v>
      </c>
      <c r="AJ312">
        <v>1.266666666666667E-2</v>
      </c>
      <c r="AK312">
        <v>12.66666666666667</v>
      </c>
      <c r="AL312" t="s">
        <v>1585</v>
      </c>
      <c r="AM312">
        <v>0</v>
      </c>
      <c r="AN312">
        <v>1.48</v>
      </c>
      <c r="AO312">
        <v>0.09</v>
      </c>
      <c r="AP312">
        <v>0.19</v>
      </c>
      <c r="AQ312">
        <v>1.19</v>
      </c>
      <c r="AR312">
        <v>1.1399999999999999</v>
      </c>
      <c r="AS312">
        <v>0.04</v>
      </c>
      <c r="AT312">
        <v>0.01</v>
      </c>
      <c r="AU312">
        <v>0.02</v>
      </c>
      <c r="AV312">
        <v>2.4500000000000002</v>
      </c>
      <c r="AW312">
        <v>1.45</v>
      </c>
      <c r="AX312">
        <v>0.21</v>
      </c>
      <c r="AY312">
        <v>0.53</v>
      </c>
      <c r="AZ312">
        <v>0</v>
      </c>
      <c r="BA312">
        <v>1.21</v>
      </c>
      <c r="BB312">
        <v>0.08</v>
      </c>
      <c r="BC312">
        <v>0.17</v>
      </c>
      <c r="BD312">
        <v>0.27</v>
      </c>
      <c r="BE312">
        <v>6.83</v>
      </c>
      <c r="BF312">
        <v>6.14</v>
      </c>
      <c r="BG312">
        <v>0.24</v>
      </c>
      <c r="BH312">
        <v>0.45</v>
      </c>
      <c r="BI312">
        <v>0</v>
      </c>
      <c r="BJ312">
        <v>0.04</v>
      </c>
      <c r="BK312">
        <v>6.1</v>
      </c>
      <c r="BL312">
        <v>0</v>
      </c>
      <c r="BM312">
        <v>1.97</v>
      </c>
      <c r="BN312">
        <v>0.21</v>
      </c>
      <c r="BO312">
        <v>0.46</v>
      </c>
      <c r="BP312">
        <v>1.3</v>
      </c>
      <c r="BQ312">
        <v>1.1200000000000001</v>
      </c>
      <c r="BR312">
        <v>0.06</v>
      </c>
      <c r="BS312">
        <v>0.12</v>
      </c>
      <c r="BT312">
        <v>0</v>
      </c>
      <c r="BU312">
        <v>7.24</v>
      </c>
      <c r="BV312">
        <v>6.18</v>
      </c>
      <c r="BW312">
        <v>0.34</v>
      </c>
      <c r="BX312">
        <v>0.72</v>
      </c>
      <c r="BY312">
        <v>0</v>
      </c>
      <c r="BZ312">
        <v>0.04</v>
      </c>
      <c r="CA312">
        <v>6.14</v>
      </c>
      <c r="CB312">
        <v>0</v>
      </c>
      <c r="CC312">
        <f t="shared" si="8"/>
        <v>2.75</v>
      </c>
      <c r="CD312">
        <v>3.96</v>
      </c>
      <c r="CE312">
        <v>0.34230769230769231</v>
      </c>
      <c r="CF312">
        <v>0.44500000000000001</v>
      </c>
      <c r="CG312">
        <v>0.1492537313432836</v>
      </c>
      <c r="CH312">
        <v>0.33881118881118882</v>
      </c>
      <c r="CI312">
        <v>0</v>
      </c>
      <c r="CJ312">
        <v>16104</v>
      </c>
      <c r="CK312" t="s">
        <v>169</v>
      </c>
      <c r="CL312" t="s">
        <v>1467</v>
      </c>
      <c r="CM312" t="s">
        <v>143</v>
      </c>
      <c r="CN312">
        <v>7.37658069222E-2</v>
      </c>
      <c r="CO312">
        <v>15.468348156344859</v>
      </c>
      <c r="CP312">
        <v>311</v>
      </c>
      <c r="CQ312" t="s">
        <v>1586</v>
      </c>
      <c r="CR312">
        <v>123</v>
      </c>
      <c r="CS312" t="s">
        <v>1587</v>
      </c>
      <c r="CT312" t="s">
        <v>1359</v>
      </c>
      <c r="CU312" t="s">
        <v>1560</v>
      </c>
      <c r="CV312" t="s">
        <v>1588</v>
      </c>
      <c r="CW312" t="s">
        <v>1349</v>
      </c>
      <c r="CX312" t="s">
        <v>1589</v>
      </c>
      <c r="CY312" t="s">
        <v>1590</v>
      </c>
      <c r="CZ312" t="s">
        <v>1352</v>
      </c>
      <c r="DA312" t="s">
        <v>152</v>
      </c>
      <c r="DB312" t="s">
        <v>178</v>
      </c>
      <c r="DC312" t="s">
        <v>961</v>
      </c>
      <c r="DD312" t="s">
        <v>203</v>
      </c>
      <c r="DE312">
        <v>3611</v>
      </c>
      <c r="DF312">
        <v>-106.22800100000001</v>
      </c>
      <c r="DG312">
        <v>45.384304999999998</v>
      </c>
      <c r="DH312">
        <v>8000</v>
      </c>
      <c r="DI312">
        <v>295</v>
      </c>
      <c r="DL312">
        <v>19</v>
      </c>
      <c r="DM312">
        <v>12</v>
      </c>
      <c r="DN312">
        <v>24</v>
      </c>
      <c r="DO312">
        <v>200</v>
      </c>
      <c r="DP312">
        <v>38</v>
      </c>
      <c r="DQ312">
        <v>623</v>
      </c>
      <c r="DS312" t="s">
        <v>1473</v>
      </c>
      <c r="DT312">
        <v>1.2500000000000001E-2</v>
      </c>
      <c r="DU312">
        <v>1.2500000000000001E-2</v>
      </c>
      <c r="DV312">
        <v>0.32500000000000001</v>
      </c>
      <c r="DW312">
        <v>0.32500000000000001</v>
      </c>
      <c r="DX312">
        <v>0.32500000000000001</v>
      </c>
      <c r="DY312">
        <v>26.38812285207992</v>
      </c>
      <c r="DZ312" s="4">
        <v>3.9159999999999999</v>
      </c>
      <c r="EA312" s="4" t="s">
        <v>1581</v>
      </c>
      <c r="EB312" s="4" t="s">
        <v>1582</v>
      </c>
      <c r="EC312">
        <v>4.3879999999999999</v>
      </c>
      <c r="ED312">
        <v>352</v>
      </c>
      <c r="EE312" t="s">
        <v>1585</v>
      </c>
      <c r="EF312">
        <v>0</v>
      </c>
      <c r="EH312">
        <f t="shared" si="9"/>
        <v>0.58000000000000007</v>
      </c>
      <c r="EI312">
        <v>3.38</v>
      </c>
      <c r="EJ312">
        <v>3.65</v>
      </c>
    </row>
    <row r="313" spans="1:140" x14ac:dyDescent="0.35">
      <c r="A313" s="1">
        <v>311</v>
      </c>
      <c r="B313">
        <v>-109.4909877250039</v>
      </c>
      <c r="C313">
        <v>45.602972716342947</v>
      </c>
      <c r="D313" t="s">
        <v>1591</v>
      </c>
      <c r="E313">
        <v>0.02</v>
      </c>
      <c r="F313" t="s">
        <v>160</v>
      </c>
      <c r="G313">
        <v>8.6800000000000002E-2</v>
      </c>
      <c r="H313" t="s">
        <v>161</v>
      </c>
      <c r="I313">
        <v>-12188481</v>
      </c>
      <c r="J313">
        <v>5716952</v>
      </c>
      <c r="K313" t="s">
        <v>1578</v>
      </c>
      <c r="L313" t="s">
        <v>1592</v>
      </c>
      <c r="M313">
        <v>48</v>
      </c>
      <c r="N313">
        <v>3.8919999999999999</v>
      </c>
      <c r="O313">
        <v>4</v>
      </c>
      <c r="P313">
        <v>8</v>
      </c>
      <c r="Q313">
        <v>30</v>
      </c>
      <c r="R313">
        <v>95</v>
      </c>
      <c r="S313">
        <v>8959</v>
      </c>
      <c r="T313" t="s">
        <v>1560</v>
      </c>
      <c r="U313">
        <v>7.1869284698232052</v>
      </c>
      <c r="V313" t="s">
        <v>1578</v>
      </c>
      <c r="W313">
        <v>0.10829999999999999</v>
      </c>
      <c r="X313">
        <v>10</v>
      </c>
      <c r="Y313">
        <v>8.9</v>
      </c>
      <c r="Z313">
        <v>8.9</v>
      </c>
      <c r="AA313">
        <v>20</v>
      </c>
      <c r="AB313">
        <v>26</v>
      </c>
      <c r="AC313">
        <v>0.96899999999999997</v>
      </c>
      <c r="AD313">
        <v>67</v>
      </c>
      <c r="AE313">
        <v>0.15400508582326761</v>
      </c>
      <c r="AF313">
        <v>2.86</v>
      </c>
      <c r="AG313" t="s">
        <v>1560</v>
      </c>
      <c r="AH313" t="s">
        <v>1578</v>
      </c>
      <c r="AI313">
        <v>38</v>
      </c>
      <c r="AJ313">
        <v>1.266666666666667E-2</v>
      </c>
      <c r="AK313">
        <v>12.66666666666667</v>
      </c>
      <c r="AL313" t="s">
        <v>1593</v>
      </c>
      <c r="AM313">
        <v>25652.264281585511</v>
      </c>
      <c r="AN313">
        <v>1.48</v>
      </c>
      <c r="AO313">
        <v>0.09</v>
      </c>
      <c r="AP313">
        <v>0.19</v>
      </c>
      <c r="AQ313">
        <v>1.19</v>
      </c>
      <c r="AR313">
        <v>1.1399999999999999</v>
      </c>
      <c r="AS313">
        <v>0.04</v>
      </c>
      <c r="AT313">
        <v>0.01</v>
      </c>
      <c r="AU313">
        <v>0.02</v>
      </c>
      <c r="AV313">
        <v>2.4500000000000002</v>
      </c>
      <c r="AW313">
        <v>1.45</v>
      </c>
      <c r="AX313">
        <v>0.21</v>
      </c>
      <c r="AY313">
        <v>0.53</v>
      </c>
      <c r="AZ313">
        <v>0</v>
      </c>
      <c r="BA313">
        <v>1.21</v>
      </c>
      <c r="BB313">
        <v>0.08</v>
      </c>
      <c r="BC313">
        <v>0.17</v>
      </c>
      <c r="BD313">
        <v>0.27</v>
      </c>
      <c r="BE313">
        <v>6.83</v>
      </c>
      <c r="BF313">
        <v>6.14</v>
      </c>
      <c r="BG313">
        <v>0.24</v>
      </c>
      <c r="BH313">
        <v>0.45</v>
      </c>
      <c r="BI313">
        <v>0</v>
      </c>
      <c r="BJ313">
        <v>0.04</v>
      </c>
      <c r="BK313">
        <v>6.1</v>
      </c>
      <c r="BL313">
        <v>0</v>
      </c>
      <c r="BM313">
        <v>1.97</v>
      </c>
      <c r="BN313">
        <v>0.21</v>
      </c>
      <c r="BO313">
        <v>0.46</v>
      </c>
      <c r="BP313">
        <v>1.3</v>
      </c>
      <c r="BQ313">
        <v>1.1200000000000001</v>
      </c>
      <c r="BR313">
        <v>0.06</v>
      </c>
      <c r="BS313">
        <v>0.12</v>
      </c>
      <c r="BT313">
        <v>0</v>
      </c>
      <c r="BU313">
        <v>7.24</v>
      </c>
      <c r="BV313">
        <v>6.18</v>
      </c>
      <c r="BW313">
        <v>0.34</v>
      </c>
      <c r="BX313">
        <v>0.72</v>
      </c>
      <c r="BY313">
        <v>0</v>
      </c>
      <c r="BZ313">
        <v>0.04</v>
      </c>
      <c r="CA313">
        <v>6.14</v>
      </c>
      <c r="CB313">
        <v>0</v>
      </c>
      <c r="CC313">
        <f t="shared" si="8"/>
        <v>2.75</v>
      </c>
      <c r="CD313">
        <v>3.96</v>
      </c>
      <c r="CE313">
        <v>0.34230769230769231</v>
      </c>
      <c r="CF313">
        <v>0.44500000000000001</v>
      </c>
      <c r="CG313">
        <v>0.1492537313432836</v>
      </c>
      <c r="CH313">
        <v>0.33881118881118882</v>
      </c>
      <c r="CI313">
        <v>0</v>
      </c>
      <c r="CJ313">
        <v>19871</v>
      </c>
      <c r="CK313" t="s">
        <v>169</v>
      </c>
      <c r="CL313" t="s">
        <v>1467</v>
      </c>
      <c r="CM313" t="s">
        <v>143</v>
      </c>
      <c r="CN313">
        <v>0.29173906274</v>
      </c>
      <c r="CO313">
        <v>2.8744664919916501</v>
      </c>
      <c r="CP313">
        <v>312</v>
      </c>
      <c r="CQ313" t="s">
        <v>1594</v>
      </c>
      <c r="CR313">
        <v>123</v>
      </c>
      <c r="CS313" t="s">
        <v>1587</v>
      </c>
      <c r="CT313" t="s">
        <v>1359</v>
      </c>
      <c r="CU313" t="s">
        <v>1560</v>
      </c>
      <c r="CV313" t="s">
        <v>1588</v>
      </c>
      <c r="CW313" t="s">
        <v>1349</v>
      </c>
      <c r="CX313" t="s">
        <v>1589</v>
      </c>
      <c r="CY313" t="s">
        <v>1590</v>
      </c>
      <c r="CZ313" t="s">
        <v>1352</v>
      </c>
      <c r="DA313" t="s">
        <v>152</v>
      </c>
      <c r="DB313" t="s">
        <v>178</v>
      </c>
      <c r="DC313" t="s">
        <v>961</v>
      </c>
      <c r="DD313" t="s">
        <v>203</v>
      </c>
      <c r="DE313">
        <v>3611</v>
      </c>
      <c r="DF313">
        <v>-106.22800100000001</v>
      </c>
      <c r="DG313">
        <v>45.384304999999998</v>
      </c>
      <c r="DH313">
        <v>8000</v>
      </c>
      <c r="DI313">
        <v>295</v>
      </c>
      <c r="DL313">
        <v>19</v>
      </c>
      <c r="DM313">
        <v>12</v>
      </c>
      <c r="DN313">
        <v>24</v>
      </c>
      <c r="DO313">
        <v>200</v>
      </c>
      <c r="DP313">
        <v>38</v>
      </c>
      <c r="DQ313">
        <v>623</v>
      </c>
      <c r="DS313" t="s">
        <v>1473</v>
      </c>
      <c r="DT313">
        <v>1.2500000000000001E-2</v>
      </c>
      <c r="DU313">
        <v>1.2500000000000001E-2</v>
      </c>
      <c r="DV313">
        <v>0.32500000000000001</v>
      </c>
      <c r="DW313">
        <v>0.32500000000000001</v>
      </c>
      <c r="DX313">
        <v>0.32500000000000001</v>
      </c>
      <c r="DY313">
        <v>0</v>
      </c>
      <c r="DZ313" s="4">
        <v>3.9159999999999999</v>
      </c>
      <c r="EA313" s="4" t="s">
        <v>1581</v>
      </c>
      <c r="EB313" s="4" t="s">
        <v>1582</v>
      </c>
      <c r="EC313">
        <v>4.3879999999999999</v>
      </c>
      <c r="ED313">
        <v>263</v>
      </c>
      <c r="EE313" t="s">
        <v>1593</v>
      </c>
      <c r="EF313">
        <v>0.16955669302377899</v>
      </c>
      <c r="EH313">
        <f t="shared" si="9"/>
        <v>0.58000000000000007</v>
      </c>
      <c r="EI313">
        <v>3.38</v>
      </c>
      <c r="EJ313">
        <v>3.65</v>
      </c>
    </row>
    <row r="314" spans="1:140" x14ac:dyDescent="0.35">
      <c r="A314" s="1">
        <v>312</v>
      </c>
      <c r="B314">
        <v>-107.6943571567648</v>
      </c>
      <c r="C314">
        <v>45.602972716342947</v>
      </c>
      <c r="D314" t="s">
        <v>1595</v>
      </c>
      <c r="E314">
        <v>0.02</v>
      </c>
      <c r="F314" t="s">
        <v>160</v>
      </c>
      <c r="G314">
        <v>8.6800000000000002E-2</v>
      </c>
      <c r="H314" t="s">
        <v>161</v>
      </c>
      <c r="I314">
        <v>-11988481</v>
      </c>
      <c r="J314">
        <v>5716952</v>
      </c>
      <c r="K314" t="s">
        <v>1578</v>
      </c>
      <c r="L314" t="s">
        <v>1475</v>
      </c>
      <c r="M314">
        <v>2</v>
      </c>
      <c r="N314">
        <v>3.9119999999999999</v>
      </c>
      <c r="O314">
        <v>4</v>
      </c>
      <c r="P314">
        <v>8</v>
      </c>
      <c r="Q314">
        <v>30</v>
      </c>
      <c r="R314">
        <v>3</v>
      </c>
      <c r="S314">
        <v>13127</v>
      </c>
      <c r="T314" t="s">
        <v>1560</v>
      </c>
      <c r="U314">
        <v>7.1869284698232052</v>
      </c>
      <c r="V314" t="s">
        <v>1578</v>
      </c>
      <c r="W314">
        <v>0.10829999999999999</v>
      </c>
      <c r="X314">
        <v>10</v>
      </c>
      <c r="Y314">
        <v>8.9</v>
      </c>
      <c r="Z314">
        <v>8.9</v>
      </c>
      <c r="AA314">
        <v>20</v>
      </c>
      <c r="AB314">
        <v>26</v>
      </c>
      <c r="AC314">
        <v>0.96899999999999997</v>
      </c>
      <c r="AD314">
        <v>67</v>
      </c>
      <c r="AE314">
        <v>0.15400508582326761</v>
      </c>
      <c r="AF314">
        <v>2.86</v>
      </c>
      <c r="AG314" t="s">
        <v>1560</v>
      </c>
      <c r="AH314" t="s">
        <v>1578</v>
      </c>
      <c r="AI314">
        <v>38</v>
      </c>
      <c r="AJ314">
        <v>1.266666666666667E-2</v>
      </c>
      <c r="AK314">
        <v>12.66666666666667</v>
      </c>
      <c r="AL314" t="s">
        <v>1593</v>
      </c>
      <c r="AM314">
        <v>41785.760256098052</v>
      </c>
      <c r="AN314">
        <v>1.48</v>
      </c>
      <c r="AO314">
        <v>0.09</v>
      </c>
      <c r="AP314">
        <v>0.19</v>
      </c>
      <c r="AQ314">
        <v>1.19</v>
      </c>
      <c r="AR314">
        <v>1.1399999999999999</v>
      </c>
      <c r="AS314">
        <v>0.04</v>
      </c>
      <c r="AT314">
        <v>0.01</v>
      </c>
      <c r="AU314">
        <v>0.02</v>
      </c>
      <c r="AV314">
        <v>2.4500000000000002</v>
      </c>
      <c r="AW314">
        <v>1.45</v>
      </c>
      <c r="AX314">
        <v>0.21</v>
      </c>
      <c r="AY314">
        <v>0.53</v>
      </c>
      <c r="AZ314">
        <v>0</v>
      </c>
      <c r="BA314">
        <v>1.21</v>
      </c>
      <c r="BB314">
        <v>0.08</v>
      </c>
      <c r="BC314">
        <v>0.17</v>
      </c>
      <c r="BD314">
        <v>0.27</v>
      </c>
      <c r="BE314">
        <v>6.83</v>
      </c>
      <c r="BF314">
        <v>6.14</v>
      </c>
      <c r="BG314">
        <v>0.24</v>
      </c>
      <c r="BH314">
        <v>0.45</v>
      </c>
      <c r="BI314">
        <v>0</v>
      </c>
      <c r="BJ314">
        <v>0.04</v>
      </c>
      <c r="BK314">
        <v>6.1</v>
      </c>
      <c r="BL314">
        <v>0</v>
      </c>
      <c r="BM314">
        <v>1.97</v>
      </c>
      <c r="BN314">
        <v>0.21</v>
      </c>
      <c r="BO314">
        <v>0.46</v>
      </c>
      <c r="BP314">
        <v>1.3</v>
      </c>
      <c r="BQ314">
        <v>1.1200000000000001</v>
      </c>
      <c r="BR314">
        <v>0.06</v>
      </c>
      <c r="BS314">
        <v>0.12</v>
      </c>
      <c r="BT314">
        <v>0</v>
      </c>
      <c r="BU314">
        <v>7.24</v>
      </c>
      <c r="BV314">
        <v>6.18</v>
      </c>
      <c r="BW314">
        <v>0.34</v>
      </c>
      <c r="BX314">
        <v>0.72</v>
      </c>
      <c r="BY314">
        <v>0</v>
      </c>
      <c r="BZ314">
        <v>0.04</v>
      </c>
      <c r="CA314">
        <v>6.14</v>
      </c>
      <c r="CB314">
        <v>0</v>
      </c>
      <c r="CC314">
        <f t="shared" si="8"/>
        <v>2.75</v>
      </c>
      <c r="CD314">
        <v>3.96</v>
      </c>
      <c r="CE314">
        <v>0.34230769230769231</v>
      </c>
      <c r="CF314">
        <v>0.44500000000000001</v>
      </c>
      <c r="CG314">
        <v>0.1492537313432836</v>
      </c>
      <c r="CH314">
        <v>0.33881118881118882</v>
      </c>
      <c r="CI314">
        <v>0</v>
      </c>
      <c r="CJ314">
        <v>27021</v>
      </c>
      <c r="CK314" t="s">
        <v>141</v>
      </c>
      <c r="CL314" t="s">
        <v>1365</v>
      </c>
      <c r="CM314" t="s">
        <v>143</v>
      </c>
      <c r="CN314">
        <v>0.50626789438999997</v>
      </c>
      <c r="CO314">
        <v>8.3721546952321138</v>
      </c>
      <c r="CP314">
        <v>313</v>
      </c>
      <c r="CQ314" t="s">
        <v>1063</v>
      </c>
      <c r="CR314">
        <v>123</v>
      </c>
      <c r="CS314" t="s">
        <v>1587</v>
      </c>
      <c r="CT314" t="s">
        <v>1359</v>
      </c>
      <c r="CU314" t="s">
        <v>1560</v>
      </c>
      <c r="CV314" t="s">
        <v>1588</v>
      </c>
      <c r="CW314" t="s">
        <v>1349</v>
      </c>
      <c r="CX314" t="s">
        <v>1589</v>
      </c>
      <c r="CY314" t="s">
        <v>1590</v>
      </c>
      <c r="CZ314" t="s">
        <v>1352</v>
      </c>
      <c r="DA314" t="s">
        <v>152</v>
      </c>
      <c r="DB314" t="s">
        <v>178</v>
      </c>
      <c r="DC314" t="s">
        <v>961</v>
      </c>
      <c r="DD314" t="s">
        <v>203</v>
      </c>
      <c r="DE314">
        <v>3611</v>
      </c>
      <c r="DF314">
        <v>-106.22800100000001</v>
      </c>
      <c r="DG314">
        <v>45.384304999999998</v>
      </c>
      <c r="DH314">
        <v>8000</v>
      </c>
      <c r="DI314">
        <v>295</v>
      </c>
      <c r="DL314">
        <v>19</v>
      </c>
      <c r="DM314">
        <v>12</v>
      </c>
      <c r="DN314">
        <v>24</v>
      </c>
      <c r="DO314">
        <v>200</v>
      </c>
      <c r="DP314">
        <v>38</v>
      </c>
      <c r="DQ314">
        <v>623</v>
      </c>
      <c r="DS314" t="s">
        <v>1473</v>
      </c>
      <c r="DT314">
        <v>1.2500000000000001E-2</v>
      </c>
      <c r="DU314">
        <v>1.2500000000000001E-2</v>
      </c>
      <c r="DV314">
        <v>0.32500000000000001</v>
      </c>
      <c r="DW314">
        <v>0.32500000000000001</v>
      </c>
      <c r="DX314">
        <v>0.32500000000000001</v>
      </c>
      <c r="DY314">
        <v>0</v>
      </c>
      <c r="DZ314" s="4">
        <v>3.9159999999999999</v>
      </c>
      <c r="EA314" s="4" t="s">
        <v>1581</v>
      </c>
      <c r="EB314" s="4" t="s">
        <v>1582</v>
      </c>
      <c r="EC314">
        <v>4.3879999999999999</v>
      </c>
      <c r="ED314">
        <v>263</v>
      </c>
      <c r="EE314" t="s">
        <v>1593</v>
      </c>
      <c r="EF314">
        <v>0.35060265545231939</v>
      </c>
      <c r="EH314">
        <f t="shared" si="9"/>
        <v>0.58000000000000007</v>
      </c>
      <c r="EI314">
        <v>3.38</v>
      </c>
      <c r="EJ314">
        <v>3.65</v>
      </c>
    </row>
    <row r="315" spans="1:140" x14ac:dyDescent="0.35">
      <c r="A315" s="1">
        <v>313</v>
      </c>
      <c r="B315">
        <v>-105.8977265885258</v>
      </c>
      <c r="C315">
        <v>45.602972716342947</v>
      </c>
      <c r="D315" t="s">
        <v>1596</v>
      </c>
      <c r="E315">
        <v>0.02</v>
      </c>
      <c r="F315" t="s">
        <v>160</v>
      </c>
      <c r="G315">
        <v>7.9399999999999998E-2</v>
      </c>
      <c r="H315" t="s">
        <v>161</v>
      </c>
      <c r="I315">
        <v>-11788481</v>
      </c>
      <c r="J315">
        <v>5716952</v>
      </c>
      <c r="K315" t="s">
        <v>1578</v>
      </c>
      <c r="L315" t="s">
        <v>1349</v>
      </c>
      <c r="M315">
        <v>38</v>
      </c>
      <c r="N315">
        <v>4.1040000000000001</v>
      </c>
      <c r="O315">
        <v>4</v>
      </c>
      <c r="P315">
        <v>8</v>
      </c>
      <c r="Q315">
        <v>30</v>
      </c>
      <c r="R315">
        <v>75</v>
      </c>
      <c r="S315">
        <v>1694</v>
      </c>
      <c r="T315" t="s">
        <v>1560</v>
      </c>
      <c r="U315">
        <v>7.1869284698232052</v>
      </c>
      <c r="V315" t="s">
        <v>1578</v>
      </c>
      <c r="W315">
        <v>0.10829999999999999</v>
      </c>
      <c r="X315">
        <v>10</v>
      </c>
      <c r="Y315">
        <v>8.9</v>
      </c>
      <c r="Z315">
        <v>8.9</v>
      </c>
      <c r="AA315">
        <v>20</v>
      </c>
      <c r="AB315">
        <v>26</v>
      </c>
      <c r="AC315">
        <v>0.96899999999999997</v>
      </c>
      <c r="AD315">
        <v>67</v>
      </c>
      <c r="AE315">
        <v>0.15400508582326761</v>
      </c>
      <c r="AF315">
        <v>2.86</v>
      </c>
      <c r="AG315" t="s">
        <v>1560</v>
      </c>
      <c r="AH315" t="s">
        <v>1578</v>
      </c>
      <c r="AI315">
        <v>38</v>
      </c>
      <c r="AJ315">
        <v>1.266666666666667E-2</v>
      </c>
      <c r="AK315">
        <v>12.66666666666667</v>
      </c>
      <c r="AL315" t="s">
        <v>1478</v>
      </c>
      <c r="AM315">
        <v>95391.58962312041</v>
      </c>
      <c r="AN315">
        <v>1.48</v>
      </c>
      <c r="AO315">
        <v>0.09</v>
      </c>
      <c r="AP315">
        <v>0.19</v>
      </c>
      <c r="AQ315">
        <v>1.19</v>
      </c>
      <c r="AR315">
        <v>1.1399999999999999</v>
      </c>
      <c r="AS315">
        <v>0.04</v>
      </c>
      <c r="AT315">
        <v>0.01</v>
      </c>
      <c r="AU315">
        <v>0.02</v>
      </c>
      <c r="AV315">
        <v>2.4500000000000002</v>
      </c>
      <c r="AW315">
        <v>1.45</v>
      </c>
      <c r="AX315">
        <v>0.21</v>
      </c>
      <c r="AY315">
        <v>0.53</v>
      </c>
      <c r="AZ315">
        <v>0</v>
      </c>
      <c r="BA315">
        <v>1.21</v>
      </c>
      <c r="BB315">
        <v>0.08</v>
      </c>
      <c r="BC315">
        <v>0.17</v>
      </c>
      <c r="BD315">
        <v>0.27</v>
      </c>
      <c r="BE315">
        <v>6.83</v>
      </c>
      <c r="BF315">
        <v>6.14</v>
      </c>
      <c r="BG315">
        <v>0.24</v>
      </c>
      <c r="BH315">
        <v>0.45</v>
      </c>
      <c r="BI315">
        <v>0</v>
      </c>
      <c r="BJ315">
        <v>0.04</v>
      </c>
      <c r="BK315">
        <v>6.1</v>
      </c>
      <c r="BL315">
        <v>0</v>
      </c>
      <c r="BM315">
        <v>1.97</v>
      </c>
      <c r="BN315">
        <v>0.21</v>
      </c>
      <c r="BO315">
        <v>0.46</v>
      </c>
      <c r="BP315">
        <v>1.3</v>
      </c>
      <c r="BQ315">
        <v>1.1200000000000001</v>
      </c>
      <c r="BR315">
        <v>0.06</v>
      </c>
      <c r="BS315">
        <v>0.12</v>
      </c>
      <c r="BT315">
        <v>0</v>
      </c>
      <c r="BU315">
        <v>7.24</v>
      </c>
      <c r="BV315">
        <v>6.18</v>
      </c>
      <c r="BW315">
        <v>0.34</v>
      </c>
      <c r="BX315">
        <v>0.72</v>
      </c>
      <c r="BY315">
        <v>0</v>
      </c>
      <c r="BZ315">
        <v>0.04</v>
      </c>
      <c r="CA315">
        <v>6.14</v>
      </c>
      <c r="CB315">
        <v>0</v>
      </c>
      <c r="CC315">
        <f t="shared" si="8"/>
        <v>2.75</v>
      </c>
      <c r="CD315">
        <v>3.96</v>
      </c>
      <c r="CE315">
        <v>0.34230769230769231</v>
      </c>
      <c r="CF315">
        <v>0.44500000000000001</v>
      </c>
      <c r="CG315">
        <v>0.1492537313432836</v>
      </c>
      <c r="CH315">
        <v>0.33881118881118882</v>
      </c>
      <c r="CI315">
        <v>0</v>
      </c>
      <c r="CJ315">
        <v>26920</v>
      </c>
      <c r="CK315" t="s">
        <v>141</v>
      </c>
      <c r="CL315" t="s">
        <v>1365</v>
      </c>
      <c r="CM315" t="s">
        <v>143</v>
      </c>
      <c r="CN315">
        <v>0.58745836713800004</v>
      </c>
      <c r="CO315">
        <v>24.674512814320419</v>
      </c>
      <c r="CP315">
        <v>314</v>
      </c>
      <c r="CQ315" t="s">
        <v>1366</v>
      </c>
      <c r="CR315">
        <v>13</v>
      </c>
      <c r="CS315" t="s">
        <v>1367</v>
      </c>
      <c r="CT315" t="s">
        <v>1366</v>
      </c>
      <c r="CU315" t="s">
        <v>1368</v>
      </c>
      <c r="CV315" t="s">
        <v>1369</v>
      </c>
      <c r="CW315" t="s">
        <v>1370</v>
      </c>
      <c r="CX315" t="s">
        <v>1371</v>
      </c>
      <c r="CY315" t="s">
        <v>1372</v>
      </c>
      <c r="CZ315" t="s">
        <v>1352</v>
      </c>
      <c r="DA315" t="s">
        <v>152</v>
      </c>
      <c r="DB315" t="s">
        <v>178</v>
      </c>
      <c r="DC315" t="s">
        <v>1373</v>
      </c>
      <c r="DD315" t="s">
        <v>657</v>
      </c>
      <c r="DE315">
        <v>10823</v>
      </c>
      <c r="DF315">
        <v>-100.88397000000001</v>
      </c>
      <c r="DG315">
        <v>47.47186</v>
      </c>
      <c r="DH315">
        <v>7525</v>
      </c>
      <c r="DI315">
        <v>260</v>
      </c>
      <c r="DL315">
        <v>8.6</v>
      </c>
      <c r="DM315">
        <v>0.8</v>
      </c>
      <c r="DN315">
        <v>16.2</v>
      </c>
      <c r="DO315">
        <v>190</v>
      </c>
      <c r="DP315">
        <v>104</v>
      </c>
      <c r="DQ315">
        <v>223</v>
      </c>
      <c r="DR315">
        <v>100000</v>
      </c>
      <c r="DS315" t="s">
        <v>1374</v>
      </c>
      <c r="DT315">
        <v>1.2500000000000001E-2</v>
      </c>
      <c r="DU315">
        <v>1.2500000000000001E-2</v>
      </c>
      <c r="DV315">
        <v>0.32500000000000001</v>
      </c>
      <c r="DW315">
        <v>0.32500000000000001</v>
      </c>
      <c r="DX315">
        <v>0.32500000000000001</v>
      </c>
      <c r="DY315">
        <v>0</v>
      </c>
      <c r="DZ315" s="4">
        <v>3.9159999999999999</v>
      </c>
      <c r="EA315" s="4" t="s">
        <v>1581</v>
      </c>
      <c r="EB315" s="4" t="s">
        <v>1582</v>
      </c>
      <c r="EC315">
        <v>4.3879999999999999</v>
      </c>
      <c r="ED315">
        <v>665</v>
      </c>
      <c r="EE315" t="s">
        <v>1478</v>
      </c>
      <c r="EF315">
        <v>0.60272557321612652</v>
      </c>
      <c r="EH315">
        <f t="shared" si="9"/>
        <v>0.58000000000000007</v>
      </c>
      <c r="EI315">
        <v>3.38</v>
      </c>
      <c r="EJ315">
        <v>3.65</v>
      </c>
    </row>
    <row r="316" spans="1:140" x14ac:dyDescent="0.35">
      <c r="A316" s="1">
        <v>314</v>
      </c>
      <c r="B316">
        <v>-104.1010960202868</v>
      </c>
      <c r="C316">
        <v>45.602972716342947</v>
      </c>
      <c r="D316" t="s">
        <v>1597</v>
      </c>
      <c r="E316">
        <v>0.02</v>
      </c>
      <c r="F316" t="s">
        <v>160</v>
      </c>
      <c r="G316">
        <v>7.9399999999999998E-2</v>
      </c>
      <c r="H316" t="s">
        <v>161</v>
      </c>
      <c r="I316">
        <v>-11588481</v>
      </c>
      <c r="J316">
        <v>5716952</v>
      </c>
      <c r="K316" t="s">
        <v>1578</v>
      </c>
      <c r="L316" t="s">
        <v>1598</v>
      </c>
      <c r="M316">
        <v>6</v>
      </c>
      <c r="N316">
        <v>3.8740000000000001</v>
      </c>
      <c r="O316">
        <v>4</v>
      </c>
      <c r="P316">
        <v>8</v>
      </c>
      <c r="Q316">
        <v>30</v>
      </c>
      <c r="R316">
        <v>11</v>
      </c>
      <c r="S316">
        <v>1415</v>
      </c>
      <c r="T316" t="s">
        <v>1560</v>
      </c>
      <c r="U316">
        <v>7.1869284698232052</v>
      </c>
      <c r="V316" t="s">
        <v>1578</v>
      </c>
      <c r="W316">
        <v>0.10829999999999999</v>
      </c>
      <c r="X316">
        <v>10</v>
      </c>
      <c r="Y316">
        <v>8.9</v>
      </c>
      <c r="Z316">
        <v>8.9</v>
      </c>
      <c r="AA316">
        <v>20</v>
      </c>
      <c r="AB316">
        <v>26</v>
      </c>
      <c r="AC316">
        <v>0.96899999999999997</v>
      </c>
      <c r="AD316">
        <v>67</v>
      </c>
      <c r="AE316">
        <v>0.15400508582326761</v>
      </c>
      <c r="AF316">
        <v>2.86</v>
      </c>
      <c r="AG316" t="s">
        <v>1560</v>
      </c>
      <c r="AH316" t="s">
        <v>1578</v>
      </c>
      <c r="AI316">
        <v>38</v>
      </c>
      <c r="AJ316">
        <v>1.266666666666667E-2</v>
      </c>
      <c r="AK316">
        <v>12.66666666666667</v>
      </c>
      <c r="AL316" t="s">
        <v>1478</v>
      </c>
      <c r="AM316">
        <v>144554.44316582111</v>
      </c>
      <c r="AN316">
        <v>1.48</v>
      </c>
      <c r="AO316">
        <v>0.09</v>
      </c>
      <c r="AP316">
        <v>0.19</v>
      </c>
      <c r="AQ316">
        <v>1.19</v>
      </c>
      <c r="AR316">
        <v>1.1399999999999999</v>
      </c>
      <c r="AS316">
        <v>0.04</v>
      </c>
      <c r="AT316">
        <v>0.01</v>
      </c>
      <c r="AU316">
        <v>0.02</v>
      </c>
      <c r="AV316">
        <v>2.4500000000000002</v>
      </c>
      <c r="AW316">
        <v>1.45</v>
      </c>
      <c r="AX316">
        <v>0.21</v>
      </c>
      <c r="AY316">
        <v>0.53</v>
      </c>
      <c r="AZ316">
        <v>0</v>
      </c>
      <c r="BA316">
        <v>1.21</v>
      </c>
      <c r="BB316">
        <v>0.08</v>
      </c>
      <c r="BC316">
        <v>0.17</v>
      </c>
      <c r="BD316">
        <v>0.27</v>
      </c>
      <c r="BE316">
        <v>6.83</v>
      </c>
      <c r="BF316">
        <v>6.14</v>
      </c>
      <c r="BG316">
        <v>0.24</v>
      </c>
      <c r="BH316">
        <v>0.45</v>
      </c>
      <c r="BI316">
        <v>0</v>
      </c>
      <c r="BJ316">
        <v>0.04</v>
      </c>
      <c r="BK316">
        <v>6.1</v>
      </c>
      <c r="BL316">
        <v>0</v>
      </c>
      <c r="BM316">
        <v>1.97</v>
      </c>
      <c r="BN316">
        <v>0.21</v>
      </c>
      <c r="BO316">
        <v>0.46</v>
      </c>
      <c r="BP316">
        <v>1.3</v>
      </c>
      <c r="BQ316">
        <v>1.1200000000000001</v>
      </c>
      <c r="BR316">
        <v>0.06</v>
      </c>
      <c r="BS316">
        <v>0.12</v>
      </c>
      <c r="BT316">
        <v>0</v>
      </c>
      <c r="BU316">
        <v>7.24</v>
      </c>
      <c r="BV316">
        <v>6.18</v>
      </c>
      <c r="BW316">
        <v>0.34</v>
      </c>
      <c r="BX316">
        <v>0.72</v>
      </c>
      <c r="BY316">
        <v>0</v>
      </c>
      <c r="BZ316">
        <v>0.04</v>
      </c>
      <c r="CA316">
        <v>6.14</v>
      </c>
      <c r="CB316">
        <v>0</v>
      </c>
      <c r="CC316">
        <f t="shared" si="8"/>
        <v>2.75</v>
      </c>
      <c r="CD316">
        <v>3.96</v>
      </c>
      <c r="CE316">
        <v>0.34230769230769231</v>
      </c>
      <c r="CF316">
        <v>0.44500000000000001</v>
      </c>
      <c r="CG316">
        <v>0.1492537313432836</v>
      </c>
      <c r="CH316">
        <v>0.33881118881118882</v>
      </c>
      <c r="CI316">
        <v>0</v>
      </c>
      <c r="CJ316">
        <v>28059</v>
      </c>
      <c r="CK316" t="s">
        <v>141</v>
      </c>
      <c r="CL316" t="s">
        <v>1365</v>
      </c>
      <c r="CM316" t="s">
        <v>143</v>
      </c>
      <c r="CN316">
        <v>7.0885450136099995E-2</v>
      </c>
      <c r="CO316">
        <v>8.6290647282378821</v>
      </c>
      <c r="CP316">
        <v>315</v>
      </c>
      <c r="CQ316" t="s">
        <v>1366</v>
      </c>
      <c r="CR316">
        <v>13</v>
      </c>
      <c r="CS316" t="s">
        <v>1367</v>
      </c>
      <c r="CT316" t="s">
        <v>1366</v>
      </c>
      <c r="CU316" t="s">
        <v>1368</v>
      </c>
      <c r="CV316" t="s">
        <v>1369</v>
      </c>
      <c r="CW316" t="s">
        <v>1370</v>
      </c>
      <c r="CX316" t="s">
        <v>1371</v>
      </c>
      <c r="CY316" t="s">
        <v>1372</v>
      </c>
      <c r="CZ316" t="s">
        <v>1352</v>
      </c>
      <c r="DA316" t="s">
        <v>152</v>
      </c>
      <c r="DB316" t="s">
        <v>178</v>
      </c>
      <c r="DC316" t="s">
        <v>1373</v>
      </c>
      <c r="DD316" t="s">
        <v>657</v>
      </c>
      <c r="DE316">
        <v>10823</v>
      </c>
      <c r="DF316">
        <v>-100.88397000000001</v>
      </c>
      <c r="DG316">
        <v>47.47186</v>
      </c>
      <c r="DH316">
        <v>7525</v>
      </c>
      <c r="DI316">
        <v>260</v>
      </c>
      <c r="DL316">
        <v>8.6</v>
      </c>
      <c r="DM316">
        <v>0.8</v>
      </c>
      <c r="DN316">
        <v>16.2</v>
      </c>
      <c r="DO316">
        <v>190</v>
      </c>
      <c r="DP316">
        <v>104</v>
      </c>
      <c r="DQ316">
        <v>223</v>
      </c>
      <c r="DR316">
        <v>100000</v>
      </c>
      <c r="DS316" t="s">
        <v>1374</v>
      </c>
      <c r="DT316">
        <v>1.2500000000000001E-2</v>
      </c>
      <c r="DU316">
        <v>1.2500000000000001E-2</v>
      </c>
      <c r="DV316">
        <v>0.32500000000000001</v>
      </c>
      <c r="DW316">
        <v>0.32500000000000001</v>
      </c>
      <c r="DX316">
        <v>0.32500000000000001</v>
      </c>
      <c r="DY316">
        <v>0</v>
      </c>
      <c r="DZ316" s="4">
        <v>3.9159999999999999</v>
      </c>
      <c r="EA316" s="4" t="s">
        <v>1581</v>
      </c>
      <c r="EB316" s="4" t="s">
        <v>1582</v>
      </c>
      <c r="EC316">
        <v>4.3879999999999999</v>
      </c>
      <c r="ED316">
        <v>385</v>
      </c>
      <c r="EE316" t="s">
        <v>1481</v>
      </c>
      <c r="EF316">
        <v>1.023043444695833</v>
      </c>
      <c r="EH316">
        <f t="shared" si="9"/>
        <v>0.58000000000000007</v>
      </c>
      <c r="EI316">
        <v>3.38</v>
      </c>
      <c r="EJ316">
        <v>3.65</v>
      </c>
    </row>
    <row r="317" spans="1:140" x14ac:dyDescent="0.35">
      <c r="A317" s="1">
        <v>315</v>
      </c>
      <c r="B317">
        <v>-102.30446545204769</v>
      </c>
      <c r="C317">
        <v>45.602972716342947</v>
      </c>
      <c r="D317" t="s">
        <v>1599</v>
      </c>
      <c r="E317">
        <v>0.02</v>
      </c>
      <c r="F317" t="s">
        <v>160</v>
      </c>
      <c r="G317">
        <v>9.7899999999999987E-2</v>
      </c>
      <c r="H317" t="s">
        <v>161</v>
      </c>
      <c r="I317">
        <v>-11388481</v>
      </c>
      <c r="J317">
        <v>5716952</v>
      </c>
      <c r="K317" t="s">
        <v>1361</v>
      </c>
      <c r="L317" t="s">
        <v>1600</v>
      </c>
      <c r="M317">
        <v>52</v>
      </c>
      <c r="N317">
        <v>3.6890000000000001</v>
      </c>
      <c r="O317">
        <v>2</v>
      </c>
      <c r="P317">
        <v>4</v>
      </c>
      <c r="Q317">
        <v>46</v>
      </c>
      <c r="R317">
        <v>105</v>
      </c>
      <c r="S317">
        <v>2842</v>
      </c>
      <c r="T317" t="s">
        <v>1363</v>
      </c>
      <c r="U317">
        <v>5.993541709002236</v>
      </c>
      <c r="V317" t="s">
        <v>1361</v>
      </c>
      <c r="W317">
        <v>0.1087</v>
      </c>
      <c r="X317">
        <v>10</v>
      </c>
      <c r="Y317">
        <v>8.9</v>
      </c>
      <c r="Z317">
        <v>8.9</v>
      </c>
      <c r="AA317">
        <v>20</v>
      </c>
      <c r="AB317">
        <v>26</v>
      </c>
      <c r="AC317">
        <v>0.318</v>
      </c>
      <c r="AD317">
        <v>67</v>
      </c>
      <c r="AE317">
        <v>5.0540368722186903E-2</v>
      </c>
      <c r="AF317">
        <v>2.86</v>
      </c>
      <c r="AG317" t="s">
        <v>1363</v>
      </c>
      <c r="AH317" t="s">
        <v>1361</v>
      </c>
      <c r="AI317">
        <v>26</v>
      </c>
      <c r="AJ317">
        <v>8.6666666666666663E-3</v>
      </c>
      <c r="AK317">
        <v>8.6666666666666661</v>
      </c>
      <c r="AL317" t="s">
        <v>1601</v>
      </c>
      <c r="AM317">
        <v>64274.823985804222</v>
      </c>
      <c r="AN317">
        <v>1.29</v>
      </c>
      <c r="AO317">
        <v>0.09</v>
      </c>
      <c r="AP317">
        <v>0.19</v>
      </c>
      <c r="AQ317">
        <v>1</v>
      </c>
      <c r="AR317">
        <v>0.95</v>
      </c>
      <c r="AS317">
        <v>0.04</v>
      </c>
      <c r="AT317">
        <v>0.01</v>
      </c>
      <c r="AU317">
        <v>0.02</v>
      </c>
      <c r="AV317">
        <v>2.25</v>
      </c>
      <c r="AW317">
        <v>1.25</v>
      </c>
      <c r="AX317">
        <v>0.21</v>
      </c>
      <c r="AY317">
        <v>0.53</v>
      </c>
      <c r="AZ317">
        <v>0</v>
      </c>
      <c r="BA317">
        <v>1.01</v>
      </c>
      <c r="BB317">
        <v>0.08</v>
      </c>
      <c r="BC317">
        <v>0.17</v>
      </c>
      <c r="BD317">
        <v>0.27</v>
      </c>
      <c r="BE317">
        <v>6.83</v>
      </c>
      <c r="BF317">
        <v>6.14</v>
      </c>
      <c r="BG317">
        <v>0.24</v>
      </c>
      <c r="BH317">
        <v>0.45</v>
      </c>
      <c r="BI317">
        <v>0</v>
      </c>
      <c r="BJ317">
        <v>0.04</v>
      </c>
      <c r="BK317">
        <v>6.1</v>
      </c>
      <c r="BL317">
        <v>0</v>
      </c>
      <c r="BM317">
        <v>1.79</v>
      </c>
      <c r="BN317">
        <v>0.21</v>
      </c>
      <c r="BO317">
        <v>0.46</v>
      </c>
      <c r="BP317">
        <v>1.1100000000000001</v>
      </c>
      <c r="BQ317">
        <v>0.93</v>
      </c>
      <c r="BR317">
        <v>0.06</v>
      </c>
      <c r="BS317">
        <v>0.12</v>
      </c>
      <c r="BT317">
        <v>0</v>
      </c>
      <c r="BU317">
        <v>7.24</v>
      </c>
      <c r="BV317">
        <v>6.18</v>
      </c>
      <c r="BW317">
        <v>0.34</v>
      </c>
      <c r="BX317">
        <v>0.72</v>
      </c>
      <c r="BY317">
        <v>0</v>
      </c>
      <c r="BZ317">
        <v>0.04</v>
      </c>
      <c r="CA317">
        <v>6.14</v>
      </c>
      <c r="CB317">
        <v>0</v>
      </c>
      <c r="CC317">
        <f t="shared" si="8"/>
        <v>2.75</v>
      </c>
      <c r="CD317">
        <v>3.96</v>
      </c>
      <c r="CE317">
        <v>0.34230769230769231</v>
      </c>
      <c r="CF317">
        <v>0.44500000000000001</v>
      </c>
      <c r="CG317">
        <v>0.1492537313432836</v>
      </c>
      <c r="CH317">
        <v>0.1111888111888112</v>
      </c>
      <c r="CI317">
        <v>0</v>
      </c>
      <c r="CJ317">
        <v>26899</v>
      </c>
      <c r="CK317" t="s">
        <v>141</v>
      </c>
      <c r="CL317" t="s">
        <v>1365</v>
      </c>
      <c r="CM317" t="s">
        <v>143</v>
      </c>
      <c r="CN317">
        <v>0.20579661509399999</v>
      </c>
      <c r="CO317">
        <v>74.928351130250647</v>
      </c>
      <c r="CP317">
        <v>316</v>
      </c>
      <c r="CQ317" t="s">
        <v>1484</v>
      </c>
      <c r="CR317">
        <v>115</v>
      </c>
      <c r="CS317" t="s">
        <v>1485</v>
      </c>
      <c r="CT317" t="s">
        <v>1486</v>
      </c>
      <c r="CU317" t="s">
        <v>1368</v>
      </c>
      <c r="CV317" t="s">
        <v>1487</v>
      </c>
      <c r="CW317" t="s">
        <v>1370</v>
      </c>
      <c r="CX317" t="s">
        <v>1371</v>
      </c>
      <c r="CY317" t="s">
        <v>1372</v>
      </c>
      <c r="CZ317" t="s">
        <v>1352</v>
      </c>
      <c r="DA317" t="s">
        <v>152</v>
      </c>
      <c r="DB317" t="s">
        <v>153</v>
      </c>
      <c r="DC317" t="s">
        <v>207</v>
      </c>
      <c r="DD317" t="s">
        <v>1353</v>
      </c>
      <c r="DE317">
        <v>3536</v>
      </c>
      <c r="DF317">
        <v>-103.437718</v>
      </c>
      <c r="DG317">
        <v>47.254190999999999</v>
      </c>
      <c r="DH317">
        <v>9000</v>
      </c>
      <c r="DI317">
        <v>407</v>
      </c>
      <c r="DL317">
        <v>10</v>
      </c>
      <c r="DM317">
        <v>4</v>
      </c>
      <c r="DN317">
        <v>17</v>
      </c>
      <c r="DO317">
        <v>9</v>
      </c>
      <c r="DP317">
        <v>2</v>
      </c>
      <c r="DQ317">
        <v>28</v>
      </c>
      <c r="DR317">
        <v>275000</v>
      </c>
      <c r="DS317" t="s">
        <v>1355</v>
      </c>
      <c r="DT317">
        <v>1.2500000000000001E-2</v>
      </c>
      <c r="DU317">
        <v>1.2500000000000001E-2</v>
      </c>
      <c r="DV317">
        <v>0.32500000000000001</v>
      </c>
      <c r="DW317">
        <v>0.32500000000000001</v>
      </c>
      <c r="DX317">
        <v>0.32500000000000001</v>
      </c>
      <c r="DY317">
        <v>0</v>
      </c>
      <c r="DZ317" s="4">
        <v>3.706</v>
      </c>
      <c r="EA317" s="4" t="s">
        <v>1375</v>
      </c>
      <c r="EB317" s="4" t="s">
        <v>788</v>
      </c>
      <c r="EC317">
        <v>4.2729999999999997</v>
      </c>
      <c r="ED317">
        <v>595</v>
      </c>
      <c r="EE317" t="s">
        <v>1601</v>
      </c>
      <c r="EF317">
        <v>0.4584992545550351</v>
      </c>
      <c r="EH317">
        <f t="shared" si="9"/>
        <v>0.58000000000000007</v>
      </c>
      <c r="EI317">
        <v>3.38</v>
      </c>
      <c r="EJ317">
        <v>3.65</v>
      </c>
    </row>
    <row r="318" spans="1:140" x14ac:dyDescent="0.35">
      <c r="A318" s="1">
        <v>316</v>
      </c>
      <c r="B318">
        <v>-100.5078348838087</v>
      </c>
      <c r="C318">
        <v>45.602972716342947</v>
      </c>
      <c r="D318" t="s">
        <v>1602</v>
      </c>
      <c r="E318">
        <v>0.02</v>
      </c>
      <c r="F318" t="s">
        <v>160</v>
      </c>
      <c r="G318">
        <v>7.9399999999999998E-2</v>
      </c>
      <c r="H318" t="s">
        <v>161</v>
      </c>
      <c r="I318">
        <v>-11188481</v>
      </c>
      <c r="J318">
        <v>5716952</v>
      </c>
      <c r="K318" t="s">
        <v>1361</v>
      </c>
      <c r="L318" t="s">
        <v>1603</v>
      </c>
      <c r="M318">
        <v>15</v>
      </c>
      <c r="N318">
        <v>3.7090000000000001</v>
      </c>
      <c r="O318">
        <v>2</v>
      </c>
      <c r="P318">
        <v>4</v>
      </c>
      <c r="Q318">
        <v>46</v>
      </c>
      <c r="R318">
        <v>31</v>
      </c>
      <c r="S318">
        <v>3901</v>
      </c>
      <c r="T318" t="s">
        <v>1363</v>
      </c>
      <c r="U318">
        <v>5.993541709002236</v>
      </c>
      <c r="V318" t="s">
        <v>1361</v>
      </c>
      <c r="W318">
        <v>0.1087</v>
      </c>
      <c r="X318">
        <v>10</v>
      </c>
      <c r="Y318">
        <v>8.9</v>
      </c>
      <c r="Z318">
        <v>8.9</v>
      </c>
      <c r="AA318">
        <v>20</v>
      </c>
      <c r="AB318">
        <v>26</v>
      </c>
      <c r="AC318">
        <v>0.318</v>
      </c>
      <c r="AD318">
        <v>67</v>
      </c>
      <c r="AE318">
        <v>5.0540368722186903E-2</v>
      </c>
      <c r="AF318">
        <v>2.86</v>
      </c>
      <c r="AG318" t="s">
        <v>1363</v>
      </c>
      <c r="AH318" t="s">
        <v>1361</v>
      </c>
      <c r="AI318">
        <v>26</v>
      </c>
      <c r="AJ318">
        <v>8.6666666666666663E-3</v>
      </c>
      <c r="AK318">
        <v>8.6666666666666661</v>
      </c>
      <c r="AL318" t="s">
        <v>1601</v>
      </c>
      <c r="AM318">
        <v>54374.253517955323</v>
      </c>
      <c r="AN318">
        <v>1.29</v>
      </c>
      <c r="AO318">
        <v>0.09</v>
      </c>
      <c r="AP318">
        <v>0.19</v>
      </c>
      <c r="AQ318">
        <v>1</v>
      </c>
      <c r="AR318">
        <v>0.95</v>
      </c>
      <c r="AS318">
        <v>0.04</v>
      </c>
      <c r="AT318">
        <v>0.01</v>
      </c>
      <c r="AU318">
        <v>0.02</v>
      </c>
      <c r="AV318">
        <v>2.25</v>
      </c>
      <c r="AW318">
        <v>1.25</v>
      </c>
      <c r="AX318">
        <v>0.21</v>
      </c>
      <c r="AY318">
        <v>0.53</v>
      </c>
      <c r="AZ318">
        <v>0</v>
      </c>
      <c r="BA318">
        <v>1.01</v>
      </c>
      <c r="BB318">
        <v>0.08</v>
      </c>
      <c r="BC318">
        <v>0.17</v>
      </c>
      <c r="BD318">
        <v>0.27</v>
      </c>
      <c r="BE318">
        <v>6.83</v>
      </c>
      <c r="BF318">
        <v>6.14</v>
      </c>
      <c r="BG318">
        <v>0.24</v>
      </c>
      <c r="BH318">
        <v>0.45</v>
      </c>
      <c r="BI318">
        <v>0</v>
      </c>
      <c r="BJ318">
        <v>0.04</v>
      </c>
      <c r="BK318">
        <v>6.1</v>
      </c>
      <c r="BL318">
        <v>0</v>
      </c>
      <c r="BM318">
        <v>1.79</v>
      </c>
      <c r="BN318">
        <v>0.21</v>
      </c>
      <c r="BO318">
        <v>0.46</v>
      </c>
      <c r="BP318">
        <v>1.1100000000000001</v>
      </c>
      <c r="BQ318">
        <v>0.93</v>
      </c>
      <c r="BR318">
        <v>0.06</v>
      </c>
      <c r="BS318">
        <v>0.12</v>
      </c>
      <c r="BT318">
        <v>0</v>
      </c>
      <c r="BU318">
        <v>7.24</v>
      </c>
      <c r="BV318">
        <v>6.18</v>
      </c>
      <c r="BW318">
        <v>0.34</v>
      </c>
      <c r="BX318">
        <v>0.72</v>
      </c>
      <c r="BY318">
        <v>0</v>
      </c>
      <c r="BZ318">
        <v>0.04</v>
      </c>
      <c r="CA318">
        <v>6.14</v>
      </c>
      <c r="CB318">
        <v>0</v>
      </c>
      <c r="CC318">
        <f t="shared" si="8"/>
        <v>2.75</v>
      </c>
      <c r="CD318">
        <v>3.96</v>
      </c>
      <c r="CE318">
        <v>0.34230769230769231</v>
      </c>
      <c r="CF318">
        <v>0.44500000000000001</v>
      </c>
      <c r="CG318">
        <v>0.1492537313432836</v>
      </c>
      <c r="CH318">
        <v>0.1111888111888112</v>
      </c>
      <c r="CI318">
        <v>0</v>
      </c>
      <c r="CJ318">
        <v>11585</v>
      </c>
      <c r="CK318" t="s">
        <v>141</v>
      </c>
      <c r="CL318" t="s">
        <v>1604</v>
      </c>
      <c r="CM318" t="s">
        <v>143</v>
      </c>
      <c r="CN318">
        <v>0.28962478082900001</v>
      </c>
      <c r="CO318">
        <v>65.545449252527533</v>
      </c>
      <c r="CP318">
        <v>317</v>
      </c>
      <c r="CQ318" t="s">
        <v>1366</v>
      </c>
      <c r="CR318">
        <v>13</v>
      </c>
      <c r="CS318" t="s">
        <v>1367</v>
      </c>
      <c r="CT318" t="s">
        <v>1366</v>
      </c>
      <c r="CU318" t="s">
        <v>1368</v>
      </c>
      <c r="CV318" t="s">
        <v>1369</v>
      </c>
      <c r="CW318" t="s">
        <v>1370</v>
      </c>
      <c r="CX318" t="s">
        <v>1371</v>
      </c>
      <c r="CY318" t="s">
        <v>1372</v>
      </c>
      <c r="CZ318" t="s">
        <v>1352</v>
      </c>
      <c r="DA318" t="s">
        <v>152</v>
      </c>
      <c r="DB318" t="s">
        <v>178</v>
      </c>
      <c r="DC318" t="s">
        <v>1373</v>
      </c>
      <c r="DD318" t="s">
        <v>657</v>
      </c>
      <c r="DE318">
        <v>10823</v>
      </c>
      <c r="DF318">
        <v>-100.88397000000001</v>
      </c>
      <c r="DG318">
        <v>47.47186</v>
      </c>
      <c r="DH318">
        <v>7525</v>
      </c>
      <c r="DI318">
        <v>260</v>
      </c>
      <c r="DL318">
        <v>8.6</v>
      </c>
      <c r="DM318">
        <v>0.8</v>
      </c>
      <c r="DN318">
        <v>16.2</v>
      </c>
      <c r="DO318">
        <v>190</v>
      </c>
      <c r="DP318">
        <v>104</v>
      </c>
      <c r="DQ318">
        <v>223</v>
      </c>
      <c r="DR318">
        <v>100000</v>
      </c>
      <c r="DS318" t="s">
        <v>1374</v>
      </c>
      <c r="DT318">
        <v>1.2500000000000001E-2</v>
      </c>
      <c r="DU318">
        <v>1.2500000000000001E-2</v>
      </c>
      <c r="DV318">
        <v>0.32500000000000001</v>
      </c>
      <c r="DW318">
        <v>0.32500000000000001</v>
      </c>
      <c r="DX318">
        <v>0.32500000000000001</v>
      </c>
      <c r="DY318">
        <v>0</v>
      </c>
      <c r="DZ318" s="4">
        <v>3.706</v>
      </c>
      <c r="EA318" s="4" t="s">
        <v>1375</v>
      </c>
      <c r="EB318" s="4" t="s">
        <v>788</v>
      </c>
      <c r="EC318">
        <v>4.2729999999999997</v>
      </c>
      <c r="ED318">
        <v>595</v>
      </c>
      <c r="EE318" t="s">
        <v>1601</v>
      </c>
      <c r="EF318">
        <v>0.34070610785666833</v>
      </c>
      <c r="EH318">
        <f t="shared" si="9"/>
        <v>0.58000000000000007</v>
      </c>
      <c r="EI318">
        <v>3.38</v>
      </c>
      <c r="EJ318">
        <v>3.65</v>
      </c>
    </row>
    <row r="319" spans="1:140" x14ac:dyDescent="0.35">
      <c r="A319" s="1">
        <v>317</v>
      </c>
      <c r="B319">
        <v>-98.711204315569631</v>
      </c>
      <c r="C319">
        <v>45.602972716342947</v>
      </c>
      <c r="D319" t="s">
        <v>1605</v>
      </c>
      <c r="E319">
        <v>0.02</v>
      </c>
      <c r="F319" t="s">
        <v>160</v>
      </c>
      <c r="G319">
        <v>7.9399999999999998E-2</v>
      </c>
      <c r="H319" t="s">
        <v>161</v>
      </c>
      <c r="I319">
        <v>-10988481</v>
      </c>
      <c r="J319">
        <v>5716952</v>
      </c>
      <c r="K319" t="s">
        <v>1361</v>
      </c>
      <c r="L319" t="s">
        <v>1514</v>
      </c>
      <c r="M319">
        <v>6</v>
      </c>
      <c r="N319">
        <v>3.8359999999999999</v>
      </c>
      <c r="O319">
        <v>2</v>
      </c>
      <c r="P319">
        <v>4</v>
      </c>
      <c r="Q319">
        <v>46</v>
      </c>
      <c r="R319">
        <v>13</v>
      </c>
      <c r="S319">
        <v>38301</v>
      </c>
      <c r="T319" t="s">
        <v>1363</v>
      </c>
      <c r="U319">
        <v>5.993541709002236</v>
      </c>
      <c r="V319" t="s">
        <v>1361</v>
      </c>
      <c r="W319">
        <v>0.1087</v>
      </c>
      <c r="X319">
        <v>10</v>
      </c>
      <c r="Y319">
        <v>8.9</v>
      </c>
      <c r="Z319">
        <v>8.9</v>
      </c>
      <c r="AA319">
        <v>20</v>
      </c>
      <c r="AB319">
        <v>26</v>
      </c>
      <c r="AC319">
        <v>0.318</v>
      </c>
      <c r="AD319">
        <v>67</v>
      </c>
      <c r="AE319">
        <v>5.0540368722186903E-2</v>
      </c>
      <c r="AF319">
        <v>2.86</v>
      </c>
      <c r="AG319" t="s">
        <v>1363</v>
      </c>
      <c r="AH319" t="s">
        <v>1361</v>
      </c>
      <c r="AI319">
        <v>26</v>
      </c>
      <c r="AJ319">
        <v>8.6666666666666663E-3</v>
      </c>
      <c r="AK319">
        <v>8.6666666666666661</v>
      </c>
      <c r="AL319" t="s">
        <v>1606</v>
      </c>
      <c r="AM319">
        <v>0</v>
      </c>
      <c r="AN319">
        <v>1.29</v>
      </c>
      <c r="AO319">
        <v>0.09</v>
      </c>
      <c r="AP319">
        <v>0.19</v>
      </c>
      <c r="AQ319">
        <v>1</v>
      </c>
      <c r="AR319">
        <v>0.95</v>
      </c>
      <c r="AS319">
        <v>0.04</v>
      </c>
      <c r="AT319">
        <v>0.01</v>
      </c>
      <c r="AU319">
        <v>0.02</v>
      </c>
      <c r="AV319">
        <v>2.25</v>
      </c>
      <c r="AW319">
        <v>1.25</v>
      </c>
      <c r="AX319">
        <v>0.21</v>
      </c>
      <c r="AY319">
        <v>0.53</v>
      </c>
      <c r="AZ319">
        <v>0</v>
      </c>
      <c r="BA319">
        <v>1.01</v>
      </c>
      <c r="BB319">
        <v>0.08</v>
      </c>
      <c r="BC319">
        <v>0.17</v>
      </c>
      <c r="BD319">
        <v>0.27</v>
      </c>
      <c r="BE319">
        <v>6.83</v>
      </c>
      <c r="BF319">
        <v>6.14</v>
      </c>
      <c r="BG319">
        <v>0.24</v>
      </c>
      <c r="BH319">
        <v>0.45</v>
      </c>
      <c r="BI319">
        <v>0</v>
      </c>
      <c r="BJ319">
        <v>0.04</v>
      </c>
      <c r="BK319">
        <v>6.1</v>
      </c>
      <c r="BL319">
        <v>0</v>
      </c>
      <c r="BM319">
        <v>1.79</v>
      </c>
      <c r="BN319">
        <v>0.21</v>
      </c>
      <c r="BO319">
        <v>0.46</v>
      </c>
      <c r="BP319">
        <v>1.1100000000000001</v>
      </c>
      <c r="BQ319">
        <v>0.93</v>
      </c>
      <c r="BR319">
        <v>0.06</v>
      </c>
      <c r="BS319">
        <v>0.12</v>
      </c>
      <c r="BT319">
        <v>0</v>
      </c>
      <c r="BU319">
        <v>7.24</v>
      </c>
      <c r="BV319">
        <v>6.18</v>
      </c>
      <c r="BW319">
        <v>0.34</v>
      </c>
      <c r="BX319">
        <v>0.72</v>
      </c>
      <c r="BY319">
        <v>0</v>
      </c>
      <c r="BZ319">
        <v>0.04</v>
      </c>
      <c r="CA319">
        <v>6.14</v>
      </c>
      <c r="CB319">
        <v>0</v>
      </c>
      <c r="CC319">
        <f t="shared" si="8"/>
        <v>2.75</v>
      </c>
      <c r="CD319">
        <v>3.96</v>
      </c>
      <c r="CE319">
        <v>0.34230769230769231</v>
      </c>
      <c r="CF319">
        <v>0.44500000000000001</v>
      </c>
      <c r="CG319">
        <v>0.1492537313432836</v>
      </c>
      <c r="CH319">
        <v>0.1111888111888112</v>
      </c>
      <c r="CI319">
        <v>0</v>
      </c>
      <c r="CJ319">
        <v>11590</v>
      </c>
      <c r="CK319" t="s">
        <v>141</v>
      </c>
      <c r="CL319" t="s">
        <v>1604</v>
      </c>
      <c r="CM319" t="s">
        <v>143</v>
      </c>
      <c r="CN319">
        <v>0.231205387835</v>
      </c>
      <c r="CO319">
        <v>8.4823537904402997</v>
      </c>
      <c r="CP319">
        <v>318</v>
      </c>
      <c r="CQ319" t="s">
        <v>1366</v>
      </c>
      <c r="CR319">
        <v>13</v>
      </c>
      <c r="CS319" t="s">
        <v>1367</v>
      </c>
      <c r="CT319" t="s">
        <v>1366</v>
      </c>
      <c r="CU319" t="s">
        <v>1368</v>
      </c>
      <c r="CV319" t="s">
        <v>1369</v>
      </c>
      <c r="CW319" t="s">
        <v>1370</v>
      </c>
      <c r="CX319" t="s">
        <v>1371</v>
      </c>
      <c r="CY319" t="s">
        <v>1372</v>
      </c>
      <c r="CZ319" t="s">
        <v>1352</v>
      </c>
      <c r="DA319" t="s">
        <v>152</v>
      </c>
      <c r="DB319" t="s">
        <v>178</v>
      </c>
      <c r="DC319" t="s">
        <v>1373</v>
      </c>
      <c r="DD319" t="s">
        <v>657</v>
      </c>
      <c r="DE319">
        <v>10823</v>
      </c>
      <c r="DF319">
        <v>-100.88397000000001</v>
      </c>
      <c r="DG319">
        <v>47.47186</v>
      </c>
      <c r="DH319">
        <v>7525</v>
      </c>
      <c r="DI319">
        <v>260</v>
      </c>
      <c r="DL319">
        <v>8.6</v>
      </c>
      <c r="DM319">
        <v>0.8</v>
      </c>
      <c r="DN319">
        <v>16.2</v>
      </c>
      <c r="DO319">
        <v>190</v>
      </c>
      <c r="DP319">
        <v>104</v>
      </c>
      <c r="DQ319">
        <v>223</v>
      </c>
      <c r="DR319">
        <v>100000</v>
      </c>
      <c r="DS319" t="s">
        <v>1374</v>
      </c>
      <c r="DT319">
        <v>1.2500000000000001E-2</v>
      </c>
      <c r="DU319">
        <v>1.2500000000000001E-2</v>
      </c>
      <c r="DV319">
        <v>0.32500000000000001</v>
      </c>
      <c r="DW319">
        <v>0.32500000000000001</v>
      </c>
      <c r="DX319">
        <v>0.32500000000000001</v>
      </c>
      <c r="DY319">
        <v>0</v>
      </c>
      <c r="DZ319" s="4">
        <v>3.706</v>
      </c>
      <c r="EA319" s="4" t="s">
        <v>1375</v>
      </c>
      <c r="EB319" s="4" t="s">
        <v>788</v>
      </c>
      <c r="EC319">
        <v>4.2729999999999997</v>
      </c>
      <c r="ED319">
        <v>792</v>
      </c>
      <c r="EE319" t="s">
        <v>1606</v>
      </c>
      <c r="EF319">
        <v>0</v>
      </c>
      <c r="EH319">
        <f t="shared" si="9"/>
        <v>0.58000000000000007</v>
      </c>
      <c r="EI319">
        <v>3.38</v>
      </c>
      <c r="EJ319">
        <v>3.65</v>
      </c>
    </row>
    <row r="320" spans="1:140" x14ac:dyDescent="0.35">
      <c r="A320" s="1">
        <v>318</v>
      </c>
      <c r="B320">
        <v>-96.914573747330593</v>
      </c>
      <c r="C320">
        <v>45.602972716342947</v>
      </c>
      <c r="D320" t="s">
        <v>1607</v>
      </c>
      <c r="E320">
        <v>0.1</v>
      </c>
      <c r="F320" t="s">
        <v>135</v>
      </c>
      <c r="G320">
        <v>7.9399999999999998E-2</v>
      </c>
      <c r="H320" t="s">
        <v>161</v>
      </c>
      <c r="I320">
        <v>-10788481</v>
      </c>
      <c r="J320">
        <v>5716952</v>
      </c>
      <c r="K320" t="s">
        <v>1361</v>
      </c>
      <c r="L320" t="s">
        <v>1608</v>
      </c>
      <c r="M320">
        <v>54</v>
      </c>
      <c r="N320">
        <v>3.7280000000000002</v>
      </c>
      <c r="O320">
        <v>2</v>
      </c>
      <c r="P320">
        <v>4</v>
      </c>
      <c r="Q320">
        <v>46</v>
      </c>
      <c r="R320">
        <v>109</v>
      </c>
      <c r="S320">
        <v>10271</v>
      </c>
      <c r="T320" t="s">
        <v>1363</v>
      </c>
      <c r="U320">
        <v>5.993541709002236</v>
      </c>
      <c r="V320" t="s">
        <v>1361</v>
      </c>
      <c r="W320">
        <v>0.1087</v>
      </c>
      <c r="X320">
        <v>10</v>
      </c>
      <c r="Y320">
        <v>8.9</v>
      </c>
      <c r="Z320">
        <v>8.9</v>
      </c>
      <c r="AA320">
        <v>20</v>
      </c>
      <c r="AB320">
        <v>26</v>
      </c>
      <c r="AC320">
        <v>0.318</v>
      </c>
      <c r="AD320">
        <v>67</v>
      </c>
      <c r="AE320">
        <v>5.0540368722186903E-2</v>
      </c>
      <c r="AF320">
        <v>2.86</v>
      </c>
      <c r="AG320" t="s">
        <v>1363</v>
      </c>
      <c r="AH320" t="s">
        <v>1361</v>
      </c>
      <c r="AI320">
        <v>26</v>
      </c>
      <c r="AJ320">
        <v>8.6666666666666663E-3</v>
      </c>
      <c r="AK320">
        <v>8.6666666666666661</v>
      </c>
      <c r="AL320" t="s">
        <v>1609</v>
      </c>
      <c r="AM320">
        <v>53080.265379221863</v>
      </c>
      <c r="AN320">
        <v>1.29</v>
      </c>
      <c r="AO320">
        <v>0.09</v>
      </c>
      <c r="AP320">
        <v>0.19</v>
      </c>
      <c r="AQ320">
        <v>1</v>
      </c>
      <c r="AR320">
        <v>0.95</v>
      </c>
      <c r="AS320">
        <v>0.04</v>
      </c>
      <c r="AT320">
        <v>0.01</v>
      </c>
      <c r="AU320">
        <v>0.02</v>
      </c>
      <c r="AV320">
        <v>2.25</v>
      </c>
      <c r="AW320">
        <v>1.25</v>
      </c>
      <c r="AX320">
        <v>0.21</v>
      </c>
      <c r="AY320">
        <v>0.53</v>
      </c>
      <c r="AZ320">
        <v>0</v>
      </c>
      <c r="BA320">
        <v>1.01</v>
      </c>
      <c r="BB320">
        <v>0.08</v>
      </c>
      <c r="BC320">
        <v>0.17</v>
      </c>
      <c r="BD320">
        <v>0.27</v>
      </c>
      <c r="BE320">
        <v>6.83</v>
      </c>
      <c r="BF320">
        <v>6.14</v>
      </c>
      <c r="BG320">
        <v>0.24</v>
      </c>
      <c r="BH320">
        <v>0.45</v>
      </c>
      <c r="BI320">
        <v>0</v>
      </c>
      <c r="BJ320">
        <v>0.04</v>
      </c>
      <c r="BK320">
        <v>6.1</v>
      </c>
      <c r="BL320">
        <v>0</v>
      </c>
      <c r="BM320">
        <v>1.79</v>
      </c>
      <c r="BN320">
        <v>0.21</v>
      </c>
      <c r="BO320">
        <v>0.46</v>
      </c>
      <c r="BP320">
        <v>1.1100000000000001</v>
      </c>
      <c r="BQ320">
        <v>0.93</v>
      </c>
      <c r="BR320">
        <v>0.06</v>
      </c>
      <c r="BS320">
        <v>0.12</v>
      </c>
      <c r="BT320">
        <v>0</v>
      </c>
      <c r="BU320">
        <v>7.24</v>
      </c>
      <c r="BV320">
        <v>6.18</v>
      </c>
      <c r="BW320">
        <v>0.34</v>
      </c>
      <c r="BX320">
        <v>0.72</v>
      </c>
      <c r="BY320">
        <v>0</v>
      </c>
      <c r="BZ320">
        <v>0.04</v>
      </c>
      <c r="CA320">
        <v>6.14</v>
      </c>
      <c r="CB320">
        <v>0</v>
      </c>
      <c r="CC320">
        <f t="shared" si="8"/>
        <v>2.75</v>
      </c>
      <c r="CD320">
        <v>3.96</v>
      </c>
      <c r="CE320">
        <v>0.34230769230769231</v>
      </c>
      <c r="CF320">
        <v>0.44500000000000001</v>
      </c>
      <c r="CG320">
        <v>0.1492537313432836</v>
      </c>
      <c r="CH320">
        <v>0.1111888111888112</v>
      </c>
      <c r="CI320">
        <v>0</v>
      </c>
      <c r="CJ320">
        <v>774</v>
      </c>
      <c r="CK320" t="s">
        <v>141</v>
      </c>
      <c r="CL320" t="s">
        <v>1610</v>
      </c>
      <c r="CM320" t="s">
        <v>143</v>
      </c>
      <c r="CN320">
        <v>4.3697981500100003</v>
      </c>
      <c r="CO320">
        <v>40.821585666804431</v>
      </c>
      <c r="CP320">
        <v>319</v>
      </c>
      <c r="CQ320" t="s">
        <v>1366</v>
      </c>
      <c r="CR320">
        <v>13</v>
      </c>
      <c r="CS320" t="s">
        <v>1367</v>
      </c>
      <c r="CT320" t="s">
        <v>1366</v>
      </c>
      <c r="CU320" t="s">
        <v>1368</v>
      </c>
      <c r="CV320" t="s">
        <v>1369</v>
      </c>
      <c r="CW320" t="s">
        <v>1370</v>
      </c>
      <c r="CX320" t="s">
        <v>1371</v>
      </c>
      <c r="CY320" t="s">
        <v>1372</v>
      </c>
      <c r="CZ320" t="s">
        <v>1352</v>
      </c>
      <c r="DA320" t="s">
        <v>152</v>
      </c>
      <c r="DB320" t="s">
        <v>178</v>
      </c>
      <c r="DC320" t="s">
        <v>1373</v>
      </c>
      <c r="DD320" t="s">
        <v>657</v>
      </c>
      <c r="DE320">
        <v>10823</v>
      </c>
      <c r="DF320">
        <v>-100.88397000000001</v>
      </c>
      <c r="DG320">
        <v>47.47186</v>
      </c>
      <c r="DH320">
        <v>7525</v>
      </c>
      <c r="DI320">
        <v>260</v>
      </c>
      <c r="DL320">
        <v>8.6</v>
      </c>
      <c r="DM320">
        <v>0.8</v>
      </c>
      <c r="DN320">
        <v>16.2</v>
      </c>
      <c r="DO320">
        <v>190</v>
      </c>
      <c r="DP320">
        <v>104</v>
      </c>
      <c r="DQ320">
        <v>223</v>
      </c>
      <c r="DR320">
        <v>100000</v>
      </c>
      <c r="DS320" t="s">
        <v>1374</v>
      </c>
      <c r="DT320">
        <v>1.2500000000000001E-2</v>
      </c>
      <c r="DU320">
        <v>1.2500000000000001E-2</v>
      </c>
      <c r="DV320">
        <v>0.32500000000000001</v>
      </c>
      <c r="DW320">
        <v>0.32500000000000001</v>
      </c>
      <c r="DX320">
        <v>0.32500000000000001</v>
      </c>
      <c r="DY320">
        <v>71.498616897262565</v>
      </c>
      <c r="DZ320" s="4">
        <v>3.706</v>
      </c>
      <c r="EA320" s="4" t="s">
        <v>1375</v>
      </c>
      <c r="EB320" s="4" t="s">
        <v>788</v>
      </c>
      <c r="EC320">
        <v>4.2729999999999997</v>
      </c>
      <c r="ED320">
        <v>686</v>
      </c>
      <c r="EE320" t="s">
        <v>1609</v>
      </c>
      <c r="EF320">
        <v>0.33261007645430579</v>
      </c>
      <c r="EH320">
        <f t="shared" si="9"/>
        <v>0.58000000000000007</v>
      </c>
      <c r="EI320">
        <v>3.38</v>
      </c>
      <c r="EJ320">
        <v>3.65</v>
      </c>
    </row>
    <row r="321" spans="1:140" x14ac:dyDescent="0.35">
      <c r="A321" s="1">
        <v>319</v>
      </c>
      <c r="B321">
        <v>-95.11794317909154</v>
      </c>
      <c r="C321">
        <v>45.602972716342947</v>
      </c>
      <c r="D321" t="s">
        <v>1611</v>
      </c>
      <c r="E321">
        <v>0.1</v>
      </c>
      <c r="F321" t="s">
        <v>306</v>
      </c>
      <c r="G321">
        <v>7.9399999999999998E-2</v>
      </c>
      <c r="H321" t="s">
        <v>161</v>
      </c>
      <c r="I321">
        <v>-10588481</v>
      </c>
      <c r="J321">
        <v>5716952</v>
      </c>
      <c r="K321" t="s">
        <v>1497</v>
      </c>
      <c r="L321" t="s">
        <v>1612</v>
      </c>
      <c r="M321">
        <v>73</v>
      </c>
      <c r="N321">
        <v>3.6309999999999998</v>
      </c>
      <c r="O321">
        <v>2</v>
      </c>
      <c r="P321">
        <v>4</v>
      </c>
      <c r="Q321">
        <v>27</v>
      </c>
      <c r="R321">
        <v>145</v>
      </c>
      <c r="S321">
        <v>158297</v>
      </c>
      <c r="T321" t="s">
        <v>1499</v>
      </c>
      <c r="U321">
        <v>5.6054727189595601</v>
      </c>
      <c r="V321" t="s">
        <v>1497</v>
      </c>
      <c r="W321">
        <v>0.1235</v>
      </c>
      <c r="X321">
        <v>10</v>
      </c>
      <c r="Y321">
        <v>8.9</v>
      </c>
      <c r="Z321">
        <v>8.9</v>
      </c>
      <c r="AA321">
        <v>20</v>
      </c>
      <c r="AB321">
        <v>26</v>
      </c>
      <c r="AC321">
        <v>0.76600000000000001</v>
      </c>
      <c r="AD321">
        <v>67</v>
      </c>
      <c r="AE321">
        <v>0.12174189446916719</v>
      </c>
      <c r="AF321">
        <v>2.86</v>
      </c>
      <c r="AG321" t="s">
        <v>1499</v>
      </c>
      <c r="AH321" t="s">
        <v>1497</v>
      </c>
      <c r="AI321">
        <v>28</v>
      </c>
      <c r="AJ321">
        <v>9.3333333333333341E-3</v>
      </c>
      <c r="AK321">
        <v>9.3333333333333339</v>
      </c>
      <c r="AL321" t="s">
        <v>1613</v>
      </c>
      <c r="AM321">
        <v>0</v>
      </c>
      <c r="AN321">
        <v>1.23</v>
      </c>
      <c r="AO321">
        <v>0.09</v>
      </c>
      <c r="AP321">
        <v>0.19</v>
      </c>
      <c r="AQ321">
        <v>0.95</v>
      </c>
      <c r="AR321">
        <v>0.89</v>
      </c>
      <c r="AS321">
        <v>0.04</v>
      </c>
      <c r="AT321">
        <v>0.02</v>
      </c>
      <c r="AU321">
        <v>0.02</v>
      </c>
      <c r="AV321">
        <v>2.2000000000000002</v>
      </c>
      <c r="AW321">
        <v>1.2</v>
      </c>
      <c r="AX321">
        <v>0.21</v>
      </c>
      <c r="AY321">
        <v>0.53</v>
      </c>
      <c r="AZ321">
        <v>0</v>
      </c>
      <c r="BA321">
        <v>0.94</v>
      </c>
      <c r="BB321">
        <v>0.08</v>
      </c>
      <c r="BC321">
        <v>0.18</v>
      </c>
      <c r="BD321">
        <v>0.27</v>
      </c>
      <c r="BE321">
        <v>7.39</v>
      </c>
      <c r="BF321">
        <v>6.7</v>
      </c>
      <c r="BG321">
        <v>0.24</v>
      </c>
      <c r="BH321">
        <v>0.45</v>
      </c>
      <c r="BI321">
        <v>0</v>
      </c>
      <c r="BJ321">
        <v>0.04</v>
      </c>
      <c r="BK321">
        <v>6.66</v>
      </c>
      <c r="BL321">
        <v>0</v>
      </c>
      <c r="BM321">
        <v>1.74</v>
      </c>
      <c r="BN321">
        <v>0.21</v>
      </c>
      <c r="BO321">
        <v>0.46</v>
      </c>
      <c r="BP321">
        <v>1.07</v>
      </c>
      <c r="BQ321">
        <v>0.88</v>
      </c>
      <c r="BR321">
        <v>0.06</v>
      </c>
      <c r="BS321">
        <v>0.13</v>
      </c>
      <c r="BT321">
        <v>0</v>
      </c>
      <c r="BU321">
        <v>7.79</v>
      </c>
      <c r="BV321">
        <v>6.73</v>
      </c>
      <c r="BW321">
        <v>0.34</v>
      </c>
      <c r="BX321">
        <v>0.72</v>
      </c>
      <c r="BY321">
        <v>0</v>
      </c>
      <c r="BZ321">
        <v>0.04</v>
      </c>
      <c r="CA321">
        <v>6.7</v>
      </c>
      <c r="CB321">
        <v>0</v>
      </c>
      <c r="CC321">
        <f t="shared" si="8"/>
        <v>2.75</v>
      </c>
      <c r="CD321">
        <v>3.96</v>
      </c>
      <c r="CE321">
        <v>0.34230769230769231</v>
      </c>
      <c r="CF321">
        <v>0.44500000000000001</v>
      </c>
      <c r="CG321">
        <v>0.1492537313432836</v>
      </c>
      <c r="CH321">
        <v>0.26783216783216779</v>
      </c>
      <c r="CI321">
        <v>0</v>
      </c>
      <c r="CJ321">
        <v>19097</v>
      </c>
      <c r="CK321" t="s">
        <v>141</v>
      </c>
      <c r="CL321" t="s">
        <v>475</v>
      </c>
      <c r="CM321" t="s">
        <v>143</v>
      </c>
      <c r="CN321">
        <v>8.3607028986800003E-2</v>
      </c>
      <c r="CO321">
        <v>14.817048390388081</v>
      </c>
      <c r="CP321">
        <v>320</v>
      </c>
      <c r="CQ321" t="s">
        <v>1366</v>
      </c>
      <c r="CR321">
        <v>13</v>
      </c>
      <c r="CS321" t="s">
        <v>1367</v>
      </c>
      <c r="CT321" t="s">
        <v>1366</v>
      </c>
      <c r="CU321" t="s">
        <v>1368</v>
      </c>
      <c r="CV321" t="s">
        <v>1369</v>
      </c>
      <c r="CW321" t="s">
        <v>1370</v>
      </c>
      <c r="CX321" t="s">
        <v>1371</v>
      </c>
      <c r="CY321" t="s">
        <v>1372</v>
      </c>
      <c r="CZ321" t="s">
        <v>1352</v>
      </c>
      <c r="DA321" t="s">
        <v>152</v>
      </c>
      <c r="DB321" t="s">
        <v>178</v>
      </c>
      <c r="DC321" t="s">
        <v>1373</v>
      </c>
      <c r="DD321" t="s">
        <v>657</v>
      </c>
      <c r="DE321">
        <v>10823</v>
      </c>
      <c r="DF321">
        <v>-100.88397000000001</v>
      </c>
      <c r="DG321">
        <v>47.47186</v>
      </c>
      <c r="DH321">
        <v>7525</v>
      </c>
      <c r="DI321">
        <v>260</v>
      </c>
      <c r="DL321">
        <v>8.6</v>
      </c>
      <c r="DM321">
        <v>0.8</v>
      </c>
      <c r="DN321">
        <v>16.2</v>
      </c>
      <c r="DO321">
        <v>190</v>
      </c>
      <c r="DP321">
        <v>104</v>
      </c>
      <c r="DQ321">
        <v>223</v>
      </c>
      <c r="DR321">
        <v>100000</v>
      </c>
      <c r="DS321" t="s">
        <v>1374</v>
      </c>
      <c r="DT321">
        <v>1.2500000000000001E-2</v>
      </c>
      <c r="DU321">
        <v>1.2500000000000001E-2</v>
      </c>
      <c r="DV321">
        <v>0.32500000000000001</v>
      </c>
      <c r="DW321">
        <v>0.32500000000000001</v>
      </c>
      <c r="DX321">
        <v>0.32500000000000001</v>
      </c>
      <c r="DY321">
        <v>170.68601013760849</v>
      </c>
      <c r="DZ321" s="4">
        <v>3.766</v>
      </c>
      <c r="EA321" s="4" t="s">
        <v>1501</v>
      </c>
      <c r="EB321" s="4" t="s">
        <v>1502</v>
      </c>
      <c r="EC321">
        <v>4.6429999999999998</v>
      </c>
      <c r="ED321">
        <v>158</v>
      </c>
      <c r="EE321" t="s">
        <v>1613</v>
      </c>
      <c r="EF321">
        <v>0</v>
      </c>
      <c r="EH321">
        <f t="shared" si="9"/>
        <v>0.58000000000000007</v>
      </c>
      <c r="EI321">
        <v>3.38</v>
      </c>
      <c r="EJ321">
        <v>3.65</v>
      </c>
    </row>
    <row r="322" spans="1:140" x14ac:dyDescent="0.35">
      <c r="A322" s="1">
        <v>320</v>
      </c>
      <c r="B322">
        <v>-93.321312610852502</v>
      </c>
      <c r="C322">
        <v>45.602972716342947</v>
      </c>
      <c r="D322" t="s">
        <v>1614</v>
      </c>
      <c r="E322">
        <v>0.1</v>
      </c>
      <c r="F322" t="s">
        <v>326</v>
      </c>
      <c r="G322">
        <v>7.9399999999999998E-2</v>
      </c>
      <c r="H322" t="s">
        <v>161</v>
      </c>
      <c r="I322">
        <v>-10388481</v>
      </c>
      <c r="J322">
        <v>5716952</v>
      </c>
      <c r="K322" t="s">
        <v>1497</v>
      </c>
      <c r="L322" t="s">
        <v>1615</v>
      </c>
      <c r="M322">
        <v>30</v>
      </c>
      <c r="N322">
        <v>3.7440000000000002</v>
      </c>
      <c r="O322">
        <v>2</v>
      </c>
      <c r="P322">
        <v>4</v>
      </c>
      <c r="Q322">
        <v>27</v>
      </c>
      <c r="R322">
        <v>59</v>
      </c>
      <c r="S322">
        <v>41133</v>
      </c>
      <c r="T322" t="s">
        <v>1499</v>
      </c>
      <c r="U322">
        <v>5.6054727189595601</v>
      </c>
      <c r="V322" t="s">
        <v>1497</v>
      </c>
      <c r="W322">
        <v>0.1235</v>
      </c>
      <c r="X322">
        <v>10</v>
      </c>
      <c r="Y322">
        <v>8.9</v>
      </c>
      <c r="Z322">
        <v>8.9</v>
      </c>
      <c r="AA322">
        <v>20</v>
      </c>
      <c r="AB322">
        <v>26</v>
      </c>
      <c r="AC322">
        <v>0.76600000000000001</v>
      </c>
      <c r="AD322">
        <v>67</v>
      </c>
      <c r="AE322">
        <v>0.12174189446916719</v>
      </c>
      <c r="AF322">
        <v>2.86</v>
      </c>
      <c r="AG322" t="s">
        <v>1499</v>
      </c>
      <c r="AH322" t="s">
        <v>1497</v>
      </c>
      <c r="AI322">
        <v>28</v>
      </c>
      <c r="AJ322">
        <v>9.3333333333333341E-3</v>
      </c>
      <c r="AK322">
        <v>9.3333333333333339</v>
      </c>
      <c r="AL322" t="s">
        <v>1616</v>
      </c>
      <c r="AM322">
        <v>0</v>
      </c>
      <c r="AN322">
        <v>1.23</v>
      </c>
      <c r="AO322">
        <v>0.09</v>
      </c>
      <c r="AP322">
        <v>0.19</v>
      </c>
      <c r="AQ322">
        <v>0.95</v>
      </c>
      <c r="AR322">
        <v>0.89</v>
      </c>
      <c r="AS322">
        <v>0.04</v>
      </c>
      <c r="AT322">
        <v>0.02</v>
      </c>
      <c r="AU322">
        <v>0.02</v>
      </c>
      <c r="AV322">
        <v>2.2000000000000002</v>
      </c>
      <c r="AW322">
        <v>1.2</v>
      </c>
      <c r="AX322">
        <v>0.21</v>
      </c>
      <c r="AY322">
        <v>0.53</v>
      </c>
      <c r="AZ322">
        <v>0</v>
      </c>
      <c r="BA322">
        <v>0.94</v>
      </c>
      <c r="BB322">
        <v>0.08</v>
      </c>
      <c r="BC322">
        <v>0.18</v>
      </c>
      <c r="BD322">
        <v>0.27</v>
      </c>
      <c r="BE322">
        <v>7.39</v>
      </c>
      <c r="BF322">
        <v>6.7</v>
      </c>
      <c r="BG322">
        <v>0.24</v>
      </c>
      <c r="BH322">
        <v>0.45</v>
      </c>
      <c r="BI322">
        <v>0</v>
      </c>
      <c r="BJ322">
        <v>0.04</v>
      </c>
      <c r="BK322">
        <v>6.66</v>
      </c>
      <c r="BL322">
        <v>0</v>
      </c>
      <c r="BM322">
        <v>1.74</v>
      </c>
      <c r="BN322">
        <v>0.21</v>
      </c>
      <c r="BO322">
        <v>0.46</v>
      </c>
      <c r="BP322">
        <v>1.07</v>
      </c>
      <c r="BQ322">
        <v>0.88</v>
      </c>
      <c r="BR322">
        <v>0.06</v>
      </c>
      <c r="BS322">
        <v>0.13</v>
      </c>
      <c r="BT322">
        <v>0</v>
      </c>
      <c r="BU322">
        <v>7.79</v>
      </c>
      <c r="BV322">
        <v>6.73</v>
      </c>
      <c r="BW322">
        <v>0.34</v>
      </c>
      <c r="BX322">
        <v>0.72</v>
      </c>
      <c r="BY322">
        <v>0</v>
      </c>
      <c r="BZ322">
        <v>0.04</v>
      </c>
      <c r="CA322">
        <v>6.7</v>
      </c>
      <c r="CB322">
        <v>0</v>
      </c>
      <c r="CC322">
        <f t="shared" si="8"/>
        <v>2.75</v>
      </c>
      <c r="CD322">
        <v>3.96</v>
      </c>
      <c r="CE322">
        <v>0.34230769230769231</v>
      </c>
      <c r="CF322">
        <v>0.44500000000000001</v>
      </c>
      <c r="CG322">
        <v>0.1492537313432836</v>
      </c>
      <c r="CH322">
        <v>0.26783216783216779</v>
      </c>
      <c r="CI322">
        <v>0</v>
      </c>
      <c r="CJ322">
        <v>29812</v>
      </c>
      <c r="CK322" t="s">
        <v>141</v>
      </c>
      <c r="CL322" t="s">
        <v>1617</v>
      </c>
      <c r="CM322" t="s">
        <v>143</v>
      </c>
      <c r="CN322">
        <v>0.32072545840400002</v>
      </c>
      <c r="CO322">
        <v>1.899133044211061</v>
      </c>
      <c r="CP322">
        <v>321</v>
      </c>
      <c r="CQ322" t="s">
        <v>1366</v>
      </c>
      <c r="CR322">
        <v>13</v>
      </c>
      <c r="CS322" t="s">
        <v>1367</v>
      </c>
      <c r="CT322" t="s">
        <v>1366</v>
      </c>
      <c r="CU322" t="s">
        <v>1368</v>
      </c>
      <c r="CV322" t="s">
        <v>1369</v>
      </c>
      <c r="CW322" t="s">
        <v>1370</v>
      </c>
      <c r="CX322" t="s">
        <v>1371</v>
      </c>
      <c r="CY322" t="s">
        <v>1372</v>
      </c>
      <c r="CZ322" t="s">
        <v>1352</v>
      </c>
      <c r="DA322" t="s">
        <v>152</v>
      </c>
      <c r="DB322" t="s">
        <v>178</v>
      </c>
      <c r="DC322" t="s">
        <v>1373</v>
      </c>
      <c r="DD322" t="s">
        <v>657</v>
      </c>
      <c r="DE322">
        <v>10823</v>
      </c>
      <c r="DF322">
        <v>-100.88397000000001</v>
      </c>
      <c r="DG322">
        <v>47.47186</v>
      </c>
      <c r="DH322">
        <v>7525</v>
      </c>
      <c r="DI322">
        <v>260</v>
      </c>
      <c r="DL322">
        <v>8.6</v>
      </c>
      <c r="DM322">
        <v>0.8</v>
      </c>
      <c r="DN322">
        <v>16.2</v>
      </c>
      <c r="DO322">
        <v>190</v>
      </c>
      <c r="DP322">
        <v>104</v>
      </c>
      <c r="DQ322">
        <v>223</v>
      </c>
      <c r="DR322">
        <v>100000</v>
      </c>
      <c r="DS322" t="s">
        <v>1374</v>
      </c>
      <c r="DT322">
        <v>1.2500000000000001E-2</v>
      </c>
      <c r="DU322">
        <v>1.2500000000000001E-2</v>
      </c>
      <c r="DV322">
        <v>0.32500000000000001</v>
      </c>
      <c r="DW322">
        <v>0.32500000000000001</v>
      </c>
      <c r="DX322">
        <v>0.32500000000000001</v>
      </c>
      <c r="DY322">
        <v>284.85412500320882</v>
      </c>
      <c r="DZ322" s="4">
        <v>3.766</v>
      </c>
      <c r="EA322" s="4" t="s">
        <v>1501</v>
      </c>
      <c r="EB322" s="4" t="s">
        <v>1502</v>
      </c>
      <c r="EC322">
        <v>4.6429999999999998</v>
      </c>
      <c r="ED322">
        <v>275</v>
      </c>
      <c r="EE322" t="s">
        <v>1616</v>
      </c>
      <c r="EF322">
        <v>0</v>
      </c>
      <c r="EH322">
        <f t="shared" si="9"/>
        <v>0.58000000000000007</v>
      </c>
      <c r="EI322">
        <v>3.38</v>
      </c>
      <c r="EJ322">
        <v>3.65</v>
      </c>
    </row>
    <row r="323" spans="1:140" x14ac:dyDescent="0.35">
      <c r="A323" s="1">
        <v>321</v>
      </c>
      <c r="B323">
        <v>-91.524682042613449</v>
      </c>
      <c r="C323">
        <v>45.602972716342947</v>
      </c>
      <c r="D323" t="s">
        <v>1618</v>
      </c>
      <c r="E323">
        <v>0.1</v>
      </c>
      <c r="F323" t="s">
        <v>1277</v>
      </c>
      <c r="G323">
        <v>8.8000000000000009E-2</v>
      </c>
      <c r="H323" t="s">
        <v>161</v>
      </c>
      <c r="I323">
        <v>-10188481</v>
      </c>
      <c r="J323">
        <v>5716952</v>
      </c>
      <c r="K323" t="s">
        <v>1393</v>
      </c>
      <c r="L323" t="s">
        <v>1619</v>
      </c>
      <c r="M323">
        <v>55</v>
      </c>
      <c r="N323">
        <v>3.5390000000000001</v>
      </c>
      <c r="O323">
        <v>2</v>
      </c>
      <c r="P323">
        <v>3</v>
      </c>
      <c r="Q323">
        <v>55</v>
      </c>
      <c r="R323">
        <v>107</v>
      </c>
      <c r="S323">
        <v>14192</v>
      </c>
      <c r="T323" t="s">
        <v>1395</v>
      </c>
      <c r="U323">
        <v>6.5847896768949399</v>
      </c>
      <c r="V323" t="s">
        <v>1393</v>
      </c>
      <c r="W323">
        <v>0.12720000000000001</v>
      </c>
      <c r="X323">
        <v>10</v>
      </c>
      <c r="Y323">
        <v>8.9</v>
      </c>
      <c r="Z323">
        <v>8.9</v>
      </c>
      <c r="AA323">
        <v>20</v>
      </c>
      <c r="AB323">
        <v>26</v>
      </c>
      <c r="AC323">
        <v>1.0900000000000001</v>
      </c>
      <c r="AD323">
        <v>67</v>
      </c>
      <c r="AE323">
        <v>0.17323585505403691</v>
      </c>
      <c r="AF323">
        <v>2.86</v>
      </c>
      <c r="AG323" t="s">
        <v>1395</v>
      </c>
      <c r="AH323" t="s">
        <v>1393</v>
      </c>
      <c r="AI323">
        <v>18</v>
      </c>
      <c r="AJ323">
        <v>6.0000000000000001E-3</v>
      </c>
      <c r="AK323">
        <v>6</v>
      </c>
      <c r="AL323" t="s">
        <v>1509</v>
      </c>
      <c r="AM323">
        <v>49343.320331254268</v>
      </c>
      <c r="AN323">
        <v>1.39</v>
      </c>
      <c r="AO323">
        <v>0.09</v>
      </c>
      <c r="AP323">
        <v>0.19</v>
      </c>
      <c r="AQ323">
        <v>1.1000000000000001</v>
      </c>
      <c r="AR323">
        <v>1.04</v>
      </c>
      <c r="AS323">
        <v>0.04</v>
      </c>
      <c r="AT323">
        <v>0.02</v>
      </c>
      <c r="AU323">
        <v>0.02</v>
      </c>
      <c r="AV323">
        <v>2.38</v>
      </c>
      <c r="AW323">
        <v>1.38</v>
      </c>
      <c r="AX323">
        <v>0.21</v>
      </c>
      <c r="AY323">
        <v>0.53</v>
      </c>
      <c r="AZ323">
        <v>0</v>
      </c>
      <c r="BA323">
        <v>1.1100000000000001</v>
      </c>
      <c r="BB323">
        <v>0.08</v>
      </c>
      <c r="BC323">
        <v>0.2</v>
      </c>
      <c r="BD323">
        <v>0.27</v>
      </c>
      <c r="BE323">
        <v>7.94</v>
      </c>
      <c r="BF323">
        <v>7.25</v>
      </c>
      <c r="BG323">
        <v>0.24</v>
      </c>
      <c r="BH323">
        <v>0.45</v>
      </c>
      <c r="BI323">
        <v>0</v>
      </c>
      <c r="BJ323">
        <v>0.04</v>
      </c>
      <c r="BK323">
        <v>7.21</v>
      </c>
      <c r="BL323">
        <v>0</v>
      </c>
      <c r="BM323">
        <v>1.9</v>
      </c>
      <c r="BN323">
        <v>0.21</v>
      </c>
      <c r="BO323">
        <v>0.46</v>
      </c>
      <c r="BP323">
        <v>1.23</v>
      </c>
      <c r="BQ323">
        <v>1.03</v>
      </c>
      <c r="BR323">
        <v>0.06</v>
      </c>
      <c r="BS323">
        <v>0.14000000000000001</v>
      </c>
      <c r="BT323">
        <v>0</v>
      </c>
      <c r="BU323">
        <v>8.35</v>
      </c>
      <c r="BV323">
        <v>7.29</v>
      </c>
      <c r="BW323">
        <v>0.34</v>
      </c>
      <c r="BX323">
        <v>0.72</v>
      </c>
      <c r="BY323">
        <v>0</v>
      </c>
      <c r="BZ323">
        <v>0.04</v>
      </c>
      <c r="CA323">
        <v>7.25</v>
      </c>
      <c r="CB323">
        <v>0</v>
      </c>
      <c r="CC323">
        <f t="shared" ref="CC323:CC386" si="10">6.71-CD323</f>
        <v>2.75</v>
      </c>
      <c r="CD323">
        <v>3.96</v>
      </c>
      <c r="CE323">
        <v>0.34230769230769231</v>
      </c>
      <c r="CF323">
        <v>0.44500000000000001</v>
      </c>
      <c r="CG323">
        <v>0.1492537313432836</v>
      </c>
      <c r="CH323">
        <v>0.38111888111888109</v>
      </c>
      <c r="CI323">
        <v>0</v>
      </c>
      <c r="CJ323">
        <v>17424</v>
      </c>
      <c r="CK323" t="s">
        <v>141</v>
      </c>
      <c r="CL323" t="s">
        <v>475</v>
      </c>
      <c r="CM323" t="s">
        <v>143</v>
      </c>
      <c r="CN323">
        <v>0.117442633213</v>
      </c>
      <c r="CO323">
        <v>15.481687911885141</v>
      </c>
      <c r="CP323">
        <v>322</v>
      </c>
      <c r="CQ323" t="s">
        <v>774</v>
      </c>
      <c r="CR323">
        <v>93</v>
      </c>
      <c r="CS323" t="s">
        <v>775</v>
      </c>
      <c r="CT323" t="s">
        <v>639</v>
      </c>
      <c r="CU323" t="s">
        <v>776</v>
      </c>
      <c r="CV323" t="s">
        <v>777</v>
      </c>
      <c r="CW323" t="s">
        <v>642</v>
      </c>
      <c r="CX323" t="s">
        <v>778</v>
      </c>
      <c r="CY323" t="s">
        <v>779</v>
      </c>
      <c r="CZ323" t="s">
        <v>645</v>
      </c>
      <c r="DA323" t="s">
        <v>152</v>
      </c>
      <c r="DB323" t="s">
        <v>491</v>
      </c>
      <c r="DC323" t="s">
        <v>459</v>
      </c>
      <c r="DD323" t="s">
        <v>492</v>
      </c>
      <c r="DE323">
        <v>5560</v>
      </c>
      <c r="DF323">
        <v>-88.498699999999999</v>
      </c>
      <c r="DG323">
        <v>38.153100000000002</v>
      </c>
      <c r="DH323">
        <v>7300</v>
      </c>
      <c r="DI323">
        <v>600</v>
      </c>
      <c r="DL323">
        <v>3.5</v>
      </c>
      <c r="DM323">
        <v>4</v>
      </c>
      <c r="DN323">
        <v>4</v>
      </c>
      <c r="DO323">
        <v>65</v>
      </c>
      <c r="DP323">
        <v>1</v>
      </c>
      <c r="DQ323">
        <v>400</v>
      </c>
      <c r="DR323">
        <v>140000</v>
      </c>
      <c r="DS323">
        <v>60</v>
      </c>
      <c r="DT323">
        <v>1.2500000000000001E-2</v>
      </c>
      <c r="DU323">
        <v>1.2500000000000001E-2</v>
      </c>
      <c r="DV323">
        <v>0.32500000000000001</v>
      </c>
      <c r="DW323">
        <v>0.32500000000000001</v>
      </c>
      <c r="DX323">
        <v>0.32500000000000001</v>
      </c>
      <c r="DY323">
        <v>304.09087225232349</v>
      </c>
      <c r="DZ323" s="4">
        <v>3.6840000000000002</v>
      </c>
      <c r="EA323" s="4" t="s">
        <v>1397</v>
      </c>
      <c r="EB323" s="4" t="s">
        <v>1398</v>
      </c>
      <c r="EC323">
        <v>4.5810000000000004</v>
      </c>
      <c r="ED323">
        <v>810</v>
      </c>
      <c r="EE323" t="s">
        <v>1509</v>
      </c>
      <c r="EF323">
        <v>0.31103595649026522</v>
      </c>
      <c r="EH323">
        <f t="shared" ref="EH323:EH386" si="11">0.39+0.19</f>
        <v>0.58000000000000007</v>
      </c>
      <c r="EI323">
        <v>3.38</v>
      </c>
      <c r="EJ323">
        <v>3.65</v>
      </c>
    </row>
    <row r="324" spans="1:140" x14ac:dyDescent="0.35">
      <c r="A324" s="1">
        <v>322</v>
      </c>
      <c r="B324">
        <v>-89.728051474374411</v>
      </c>
      <c r="C324">
        <v>45.602972716342947</v>
      </c>
      <c r="D324" t="s">
        <v>1620</v>
      </c>
      <c r="E324">
        <v>0.1</v>
      </c>
      <c r="F324" t="s">
        <v>326</v>
      </c>
      <c r="G324">
        <v>0.1239</v>
      </c>
      <c r="H324" t="s">
        <v>161</v>
      </c>
      <c r="I324">
        <v>-9988481</v>
      </c>
      <c r="J324">
        <v>5716952</v>
      </c>
      <c r="K324" t="s">
        <v>1393</v>
      </c>
      <c r="L324" t="s">
        <v>1429</v>
      </c>
      <c r="M324">
        <v>44</v>
      </c>
      <c r="N324">
        <v>3.6539999999999999</v>
      </c>
      <c r="O324">
        <v>2</v>
      </c>
      <c r="P324">
        <v>3</v>
      </c>
      <c r="Q324">
        <v>55</v>
      </c>
      <c r="R324">
        <v>85</v>
      </c>
      <c r="S324">
        <v>37848</v>
      </c>
      <c r="T324" t="s">
        <v>1395</v>
      </c>
      <c r="U324">
        <v>6.5847896768949399</v>
      </c>
      <c r="V324" t="s">
        <v>1393</v>
      </c>
      <c r="W324">
        <v>0.12720000000000001</v>
      </c>
      <c r="X324">
        <v>10</v>
      </c>
      <c r="Y324">
        <v>8.9</v>
      </c>
      <c r="Z324">
        <v>8.9</v>
      </c>
      <c r="AA324">
        <v>20</v>
      </c>
      <c r="AB324">
        <v>26</v>
      </c>
      <c r="AC324">
        <v>1.0900000000000001</v>
      </c>
      <c r="AD324">
        <v>67</v>
      </c>
      <c r="AE324">
        <v>0.17323585505403691</v>
      </c>
      <c r="AF324">
        <v>2.86</v>
      </c>
      <c r="AG324" t="s">
        <v>1395</v>
      </c>
      <c r="AH324" t="s">
        <v>1393</v>
      </c>
      <c r="AI324">
        <v>18</v>
      </c>
      <c r="AJ324">
        <v>6.0000000000000001E-3</v>
      </c>
      <c r="AK324">
        <v>6</v>
      </c>
      <c r="AL324" t="s">
        <v>1621</v>
      </c>
      <c r="AM324">
        <v>7547.5231506063437</v>
      </c>
      <c r="AN324">
        <v>1.39</v>
      </c>
      <c r="AO324">
        <v>0.09</v>
      </c>
      <c r="AP324">
        <v>0.19</v>
      </c>
      <c r="AQ324">
        <v>1.1000000000000001</v>
      </c>
      <c r="AR324">
        <v>1.04</v>
      </c>
      <c r="AS324">
        <v>0.04</v>
      </c>
      <c r="AT324">
        <v>0.02</v>
      </c>
      <c r="AU324">
        <v>0.02</v>
      </c>
      <c r="AV324">
        <v>2.38</v>
      </c>
      <c r="AW324">
        <v>1.38</v>
      </c>
      <c r="AX324">
        <v>0.21</v>
      </c>
      <c r="AY324">
        <v>0.53</v>
      </c>
      <c r="AZ324">
        <v>0</v>
      </c>
      <c r="BA324">
        <v>1.1100000000000001</v>
      </c>
      <c r="BB324">
        <v>0.08</v>
      </c>
      <c r="BC324">
        <v>0.2</v>
      </c>
      <c r="BD324">
        <v>0.27</v>
      </c>
      <c r="BE324">
        <v>7.94</v>
      </c>
      <c r="BF324">
        <v>7.25</v>
      </c>
      <c r="BG324">
        <v>0.24</v>
      </c>
      <c r="BH324">
        <v>0.45</v>
      </c>
      <c r="BI324">
        <v>0</v>
      </c>
      <c r="BJ324">
        <v>0.04</v>
      </c>
      <c r="BK324">
        <v>7.21</v>
      </c>
      <c r="BL324">
        <v>0</v>
      </c>
      <c r="BM324">
        <v>1.9</v>
      </c>
      <c r="BN324">
        <v>0.21</v>
      </c>
      <c r="BO324">
        <v>0.46</v>
      </c>
      <c r="BP324">
        <v>1.23</v>
      </c>
      <c r="BQ324">
        <v>1.03</v>
      </c>
      <c r="BR324">
        <v>0.06</v>
      </c>
      <c r="BS324">
        <v>0.14000000000000001</v>
      </c>
      <c r="BT324">
        <v>0</v>
      </c>
      <c r="BU324">
        <v>8.35</v>
      </c>
      <c r="BV324">
        <v>7.29</v>
      </c>
      <c r="BW324">
        <v>0.34</v>
      </c>
      <c r="BX324">
        <v>0.72</v>
      </c>
      <c r="BY324">
        <v>0</v>
      </c>
      <c r="BZ324">
        <v>0.04</v>
      </c>
      <c r="CA324">
        <v>7.25</v>
      </c>
      <c r="CB324">
        <v>0</v>
      </c>
      <c r="CC324">
        <f t="shared" si="10"/>
        <v>2.75</v>
      </c>
      <c r="CD324">
        <v>3.96</v>
      </c>
      <c r="CE324">
        <v>0.34230769230769231</v>
      </c>
      <c r="CF324">
        <v>0.44500000000000001</v>
      </c>
      <c r="CG324">
        <v>0.1492537313432836</v>
      </c>
      <c r="CH324">
        <v>0.38111888111888109</v>
      </c>
      <c r="CI324">
        <v>0</v>
      </c>
      <c r="CJ324">
        <v>27425</v>
      </c>
      <c r="CK324" t="s">
        <v>141</v>
      </c>
      <c r="CL324" t="s">
        <v>990</v>
      </c>
      <c r="CM324" t="s">
        <v>143</v>
      </c>
      <c r="CN324">
        <v>0.101197805342</v>
      </c>
      <c r="CO324">
        <v>10.55119054270479</v>
      </c>
      <c r="CP324">
        <v>323</v>
      </c>
      <c r="CQ324" t="s">
        <v>1622</v>
      </c>
      <c r="CR324">
        <v>201</v>
      </c>
      <c r="CS324" t="s">
        <v>1412</v>
      </c>
      <c r="CT324" t="s">
        <v>1413</v>
      </c>
      <c r="CU324" t="s">
        <v>1136</v>
      </c>
      <c r="CV324" t="s">
        <v>1414</v>
      </c>
      <c r="CW324" t="s">
        <v>1138</v>
      </c>
      <c r="CX324" t="s">
        <v>1139</v>
      </c>
      <c r="CY324" t="s">
        <v>1140</v>
      </c>
      <c r="CZ324" t="s">
        <v>686</v>
      </c>
      <c r="DA324" t="s">
        <v>152</v>
      </c>
      <c r="DB324" t="s">
        <v>178</v>
      </c>
      <c r="DC324" t="s">
        <v>459</v>
      </c>
      <c r="DD324" t="s">
        <v>492</v>
      </c>
      <c r="DE324">
        <v>9198</v>
      </c>
      <c r="DF324">
        <v>-84.445599999999999</v>
      </c>
      <c r="DG324">
        <v>43.7074</v>
      </c>
      <c r="DH324">
        <v>7310</v>
      </c>
      <c r="DI324">
        <v>450</v>
      </c>
      <c r="DL324">
        <v>7</v>
      </c>
      <c r="DM324">
        <v>5.5</v>
      </c>
      <c r="DN324">
        <v>8.4</v>
      </c>
      <c r="DO324">
        <v>75</v>
      </c>
      <c r="DP324">
        <v>10</v>
      </c>
      <c r="DQ324">
        <v>300</v>
      </c>
      <c r="DS324" t="s">
        <v>1415</v>
      </c>
      <c r="DT324">
        <v>1.2500000000000001E-2</v>
      </c>
      <c r="DU324">
        <v>1.2500000000000001E-2</v>
      </c>
      <c r="DV324">
        <v>0.32500000000000001</v>
      </c>
      <c r="DW324">
        <v>0.32500000000000001</v>
      </c>
      <c r="DX324">
        <v>0.32500000000000001</v>
      </c>
      <c r="DY324">
        <v>251.88701936702361</v>
      </c>
      <c r="DZ324" s="4">
        <v>3.6840000000000002</v>
      </c>
      <c r="EA324" s="4" t="s">
        <v>1397</v>
      </c>
      <c r="EB324" s="4" t="s">
        <v>1398</v>
      </c>
      <c r="EC324">
        <v>4.5810000000000004</v>
      </c>
      <c r="ED324">
        <v>890</v>
      </c>
      <c r="EE324" t="s">
        <v>1621</v>
      </c>
      <c r="EF324">
        <v>4.7455102683205089E-2</v>
      </c>
      <c r="EH324">
        <f t="shared" si="11"/>
        <v>0.58000000000000007</v>
      </c>
      <c r="EI324">
        <v>3.38</v>
      </c>
      <c r="EJ324">
        <v>3.65</v>
      </c>
    </row>
    <row r="325" spans="1:140" x14ac:dyDescent="0.35">
      <c r="A325" s="1">
        <v>323</v>
      </c>
      <c r="B325">
        <v>-87.931420906135358</v>
      </c>
      <c r="C325">
        <v>45.602972716342947</v>
      </c>
      <c r="D325" t="s">
        <v>1623</v>
      </c>
      <c r="E325">
        <v>0.1</v>
      </c>
      <c r="F325" t="s">
        <v>306</v>
      </c>
      <c r="G325">
        <v>0.1239</v>
      </c>
      <c r="H325" t="s">
        <v>161</v>
      </c>
      <c r="I325">
        <v>-9788481</v>
      </c>
      <c r="J325">
        <v>5716952</v>
      </c>
      <c r="K325" t="s">
        <v>1393</v>
      </c>
      <c r="L325" t="s">
        <v>1624</v>
      </c>
      <c r="M325">
        <v>38</v>
      </c>
      <c r="N325">
        <v>3.552</v>
      </c>
      <c r="O325">
        <v>2</v>
      </c>
      <c r="P325">
        <v>3</v>
      </c>
      <c r="Q325">
        <v>55</v>
      </c>
      <c r="R325">
        <v>75</v>
      </c>
      <c r="S325">
        <v>41874</v>
      </c>
      <c r="T325" t="s">
        <v>1395</v>
      </c>
      <c r="U325">
        <v>6.5847896768949399</v>
      </c>
      <c r="V325" t="s">
        <v>1393</v>
      </c>
      <c r="W325">
        <v>0.12720000000000001</v>
      </c>
      <c r="X325">
        <v>10</v>
      </c>
      <c r="Y325">
        <v>8.9</v>
      </c>
      <c r="Z325">
        <v>8.9</v>
      </c>
      <c r="AA325">
        <v>20</v>
      </c>
      <c r="AB325">
        <v>26</v>
      </c>
      <c r="AC325">
        <v>1.0900000000000001</v>
      </c>
      <c r="AD325">
        <v>67</v>
      </c>
      <c r="AE325">
        <v>0.17323585505403691</v>
      </c>
      <c r="AF325">
        <v>2.86</v>
      </c>
      <c r="AG325" t="s">
        <v>1395</v>
      </c>
      <c r="AH325" t="s">
        <v>1393</v>
      </c>
      <c r="AI325">
        <v>18</v>
      </c>
      <c r="AJ325">
        <v>6.0000000000000001E-3</v>
      </c>
      <c r="AK325">
        <v>6</v>
      </c>
      <c r="AL325" t="s">
        <v>1625</v>
      </c>
      <c r="AM325">
        <v>0</v>
      </c>
      <c r="AN325">
        <v>1.39</v>
      </c>
      <c r="AO325">
        <v>0.09</v>
      </c>
      <c r="AP325">
        <v>0.19</v>
      </c>
      <c r="AQ325">
        <v>1.1000000000000001</v>
      </c>
      <c r="AR325">
        <v>1.04</v>
      </c>
      <c r="AS325">
        <v>0.04</v>
      </c>
      <c r="AT325">
        <v>0.02</v>
      </c>
      <c r="AU325">
        <v>0.02</v>
      </c>
      <c r="AV325">
        <v>2.38</v>
      </c>
      <c r="AW325">
        <v>1.38</v>
      </c>
      <c r="AX325">
        <v>0.21</v>
      </c>
      <c r="AY325">
        <v>0.53</v>
      </c>
      <c r="AZ325">
        <v>0</v>
      </c>
      <c r="BA325">
        <v>1.1100000000000001</v>
      </c>
      <c r="BB325">
        <v>0.08</v>
      </c>
      <c r="BC325">
        <v>0.2</v>
      </c>
      <c r="BD325">
        <v>0.27</v>
      </c>
      <c r="BE325">
        <v>7.94</v>
      </c>
      <c r="BF325">
        <v>7.25</v>
      </c>
      <c r="BG325">
        <v>0.24</v>
      </c>
      <c r="BH325">
        <v>0.45</v>
      </c>
      <c r="BI325">
        <v>0</v>
      </c>
      <c r="BJ325">
        <v>0.04</v>
      </c>
      <c r="BK325">
        <v>7.21</v>
      </c>
      <c r="BL325">
        <v>0</v>
      </c>
      <c r="BM325">
        <v>1.9</v>
      </c>
      <c r="BN325">
        <v>0.21</v>
      </c>
      <c r="BO325">
        <v>0.46</v>
      </c>
      <c r="BP325">
        <v>1.23</v>
      </c>
      <c r="BQ325">
        <v>1.03</v>
      </c>
      <c r="BR325">
        <v>0.06</v>
      </c>
      <c r="BS325">
        <v>0.14000000000000001</v>
      </c>
      <c r="BT325">
        <v>0</v>
      </c>
      <c r="BU325">
        <v>8.35</v>
      </c>
      <c r="BV325">
        <v>7.29</v>
      </c>
      <c r="BW325">
        <v>0.34</v>
      </c>
      <c r="BX325">
        <v>0.72</v>
      </c>
      <c r="BY325">
        <v>0</v>
      </c>
      <c r="BZ325">
        <v>0.04</v>
      </c>
      <c r="CA325">
        <v>7.25</v>
      </c>
      <c r="CB325">
        <v>0</v>
      </c>
      <c r="CC325">
        <f t="shared" si="10"/>
        <v>2.75</v>
      </c>
      <c r="CD325">
        <v>3.96</v>
      </c>
      <c r="CE325">
        <v>0.34230769230769231</v>
      </c>
      <c r="CF325">
        <v>0.44500000000000001</v>
      </c>
      <c r="CG325">
        <v>0.1492537313432836</v>
      </c>
      <c r="CH325">
        <v>0.38111888111888109</v>
      </c>
      <c r="CI325">
        <v>0</v>
      </c>
      <c r="CJ325">
        <v>27999</v>
      </c>
      <c r="CK325" t="s">
        <v>141</v>
      </c>
      <c r="CL325" t="s">
        <v>990</v>
      </c>
      <c r="CM325" t="s">
        <v>143</v>
      </c>
      <c r="CN325">
        <v>0.231583753551</v>
      </c>
      <c r="CO325">
        <v>18.020042712583169</v>
      </c>
      <c r="CP325">
        <v>324</v>
      </c>
      <c r="CQ325" t="s">
        <v>1622</v>
      </c>
      <c r="CR325">
        <v>201</v>
      </c>
      <c r="CS325" t="s">
        <v>1412</v>
      </c>
      <c r="CT325" t="s">
        <v>1413</v>
      </c>
      <c r="CU325" t="s">
        <v>1136</v>
      </c>
      <c r="CV325" t="s">
        <v>1414</v>
      </c>
      <c r="CW325" t="s">
        <v>1138</v>
      </c>
      <c r="CX325" t="s">
        <v>1139</v>
      </c>
      <c r="CY325" t="s">
        <v>1140</v>
      </c>
      <c r="CZ325" t="s">
        <v>686</v>
      </c>
      <c r="DA325" t="s">
        <v>152</v>
      </c>
      <c r="DB325" t="s">
        <v>178</v>
      </c>
      <c r="DC325" t="s">
        <v>459</v>
      </c>
      <c r="DD325" t="s">
        <v>492</v>
      </c>
      <c r="DE325">
        <v>9198</v>
      </c>
      <c r="DF325">
        <v>-84.445599999999999</v>
      </c>
      <c r="DG325">
        <v>43.7074</v>
      </c>
      <c r="DH325">
        <v>7310</v>
      </c>
      <c r="DI325">
        <v>450</v>
      </c>
      <c r="DL325">
        <v>7</v>
      </c>
      <c r="DM325">
        <v>5.5</v>
      </c>
      <c r="DN325">
        <v>8.4</v>
      </c>
      <c r="DO325">
        <v>75</v>
      </c>
      <c r="DP325">
        <v>10</v>
      </c>
      <c r="DQ325">
        <v>300</v>
      </c>
      <c r="DS325" t="s">
        <v>1415</v>
      </c>
      <c r="DT325">
        <v>1.2500000000000001E-2</v>
      </c>
      <c r="DU325">
        <v>1.2500000000000001E-2</v>
      </c>
      <c r="DV325">
        <v>0.32500000000000001</v>
      </c>
      <c r="DW325">
        <v>0.32500000000000001</v>
      </c>
      <c r="DX325">
        <v>0.32500000000000001</v>
      </c>
      <c r="DY325">
        <v>140.7441859283941</v>
      </c>
      <c r="DZ325" s="4">
        <v>3.6840000000000002</v>
      </c>
      <c r="EA325" s="4" t="s">
        <v>1397</v>
      </c>
      <c r="EB325" s="4" t="s">
        <v>1398</v>
      </c>
      <c r="EC325">
        <v>4.5810000000000004</v>
      </c>
      <c r="ED325">
        <v>169</v>
      </c>
      <c r="EE325" t="s">
        <v>1625</v>
      </c>
      <c r="EF325">
        <v>0</v>
      </c>
      <c r="EH325">
        <f t="shared" si="11"/>
        <v>0.58000000000000007</v>
      </c>
      <c r="EI325">
        <v>3.38</v>
      </c>
      <c r="EJ325">
        <v>3.65</v>
      </c>
    </row>
    <row r="326" spans="1:140" x14ac:dyDescent="0.35">
      <c r="A326" s="1">
        <v>324</v>
      </c>
      <c r="B326">
        <v>-86.13479033789632</v>
      </c>
      <c r="C326">
        <v>45.602972716342947</v>
      </c>
      <c r="D326" t="s">
        <v>1626</v>
      </c>
      <c r="E326">
        <v>0.1</v>
      </c>
      <c r="F326" t="s">
        <v>135</v>
      </c>
      <c r="G326">
        <v>0.1239</v>
      </c>
      <c r="H326" t="s">
        <v>161</v>
      </c>
      <c r="I326">
        <v>-9588481</v>
      </c>
      <c r="J326">
        <v>5716952</v>
      </c>
      <c r="K326" t="s">
        <v>1138</v>
      </c>
      <c r="L326" t="s">
        <v>1627</v>
      </c>
      <c r="T326" t="s">
        <v>1136</v>
      </c>
      <c r="U326">
        <v>7.3304777992277996</v>
      </c>
      <c r="V326" t="s">
        <v>1138</v>
      </c>
      <c r="W326">
        <v>0.1416</v>
      </c>
      <c r="X326">
        <v>10</v>
      </c>
      <c r="Y326">
        <v>8.9</v>
      </c>
      <c r="Z326">
        <v>8.9</v>
      </c>
      <c r="AA326">
        <v>20</v>
      </c>
      <c r="AB326">
        <v>26</v>
      </c>
      <c r="AC326">
        <v>0.95699999999999996</v>
      </c>
      <c r="AD326">
        <v>67</v>
      </c>
      <c r="AE326">
        <v>0.15209790209790211</v>
      </c>
      <c r="AF326">
        <v>2.86</v>
      </c>
      <c r="AG326" t="s">
        <v>1136</v>
      </c>
      <c r="AH326" t="s">
        <v>1138</v>
      </c>
      <c r="AI326">
        <v>29</v>
      </c>
      <c r="AJ326">
        <v>9.6666666666666672E-3</v>
      </c>
      <c r="AK326">
        <v>9.6666666666666679</v>
      </c>
      <c r="AL326" t="s">
        <v>1628</v>
      </c>
      <c r="AM326">
        <v>37503.602377461873</v>
      </c>
      <c r="AN326">
        <v>1.51</v>
      </c>
      <c r="AO326">
        <v>0.09</v>
      </c>
      <c r="AP326">
        <v>0.19</v>
      </c>
      <c r="AQ326">
        <v>1.22</v>
      </c>
      <c r="AR326">
        <v>1.1599999999999999</v>
      </c>
      <c r="AS326">
        <v>0.04</v>
      </c>
      <c r="AT326">
        <v>0.02</v>
      </c>
      <c r="AU326">
        <v>0.02</v>
      </c>
      <c r="AV326">
        <v>2.52</v>
      </c>
      <c r="AW326">
        <v>1.52</v>
      </c>
      <c r="AX326">
        <v>0.21</v>
      </c>
      <c r="AY326">
        <v>0.53</v>
      </c>
      <c r="AZ326">
        <v>0</v>
      </c>
      <c r="BA326">
        <v>1.23</v>
      </c>
      <c r="BB326">
        <v>0.08</v>
      </c>
      <c r="BC326">
        <v>0.21</v>
      </c>
      <c r="BD326">
        <v>0.27</v>
      </c>
      <c r="BE326">
        <v>8.5</v>
      </c>
      <c r="BF326">
        <v>7.81</v>
      </c>
      <c r="BG326">
        <v>0.24</v>
      </c>
      <c r="BH326">
        <v>0.45</v>
      </c>
      <c r="BI326">
        <v>0</v>
      </c>
      <c r="BJ326">
        <v>0.04</v>
      </c>
      <c r="BK326">
        <v>7.77</v>
      </c>
      <c r="BL326">
        <v>0</v>
      </c>
      <c r="BM326">
        <v>2.0299999999999998</v>
      </c>
      <c r="BN326">
        <v>0.21</v>
      </c>
      <c r="BO326">
        <v>0.46</v>
      </c>
      <c r="BP326">
        <v>1.36</v>
      </c>
      <c r="BQ326">
        <v>1.1399999999999999</v>
      </c>
      <c r="BR326">
        <v>0.06</v>
      </c>
      <c r="BS326">
        <v>0.16</v>
      </c>
      <c r="BT326">
        <v>0</v>
      </c>
      <c r="BU326">
        <v>8.91</v>
      </c>
      <c r="BV326">
        <v>7.85</v>
      </c>
      <c r="BW326">
        <v>0.34</v>
      </c>
      <c r="BX326">
        <v>0.72</v>
      </c>
      <c r="BY326">
        <v>0</v>
      </c>
      <c r="BZ326">
        <v>0.04</v>
      </c>
      <c r="CA326">
        <v>7.81</v>
      </c>
      <c r="CB326">
        <v>0</v>
      </c>
      <c r="CC326">
        <f t="shared" si="10"/>
        <v>2.75</v>
      </c>
      <c r="CD326">
        <v>3.96</v>
      </c>
      <c r="CE326">
        <v>0.34230769230769231</v>
      </c>
      <c r="CF326">
        <v>0.44500000000000001</v>
      </c>
      <c r="CG326">
        <v>0.1492537313432836</v>
      </c>
      <c r="CH326">
        <v>0.33461538461538459</v>
      </c>
      <c r="CI326">
        <v>0</v>
      </c>
      <c r="CJ326">
        <v>5651</v>
      </c>
      <c r="CK326" t="s">
        <v>141</v>
      </c>
      <c r="CL326" t="s">
        <v>1629</v>
      </c>
      <c r="CM326" t="s">
        <v>143</v>
      </c>
      <c r="CN326">
        <v>0.46558457559799998</v>
      </c>
      <c r="CO326">
        <v>36.420786488072977</v>
      </c>
      <c r="CP326">
        <v>325</v>
      </c>
      <c r="CQ326" t="s">
        <v>1622</v>
      </c>
      <c r="CR326">
        <v>201</v>
      </c>
      <c r="CS326" t="s">
        <v>1412</v>
      </c>
      <c r="CT326" t="s">
        <v>1413</v>
      </c>
      <c r="CU326" t="s">
        <v>1136</v>
      </c>
      <c r="CV326" t="s">
        <v>1414</v>
      </c>
      <c r="CW326" t="s">
        <v>1138</v>
      </c>
      <c r="CX326" t="s">
        <v>1139</v>
      </c>
      <c r="CY326" t="s">
        <v>1140</v>
      </c>
      <c r="CZ326" t="s">
        <v>686</v>
      </c>
      <c r="DA326" t="s">
        <v>152</v>
      </c>
      <c r="DB326" t="s">
        <v>178</v>
      </c>
      <c r="DC326" t="s">
        <v>459</v>
      </c>
      <c r="DD326" t="s">
        <v>492</v>
      </c>
      <c r="DE326">
        <v>9198</v>
      </c>
      <c r="DF326">
        <v>-84.445599999999999</v>
      </c>
      <c r="DG326">
        <v>43.7074</v>
      </c>
      <c r="DH326">
        <v>7310</v>
      </c>
      <c r="DI326">
        <v>450</v>
      </c>
      <c r="DL326">
        <v>7</v>
      </c>
      <c r="DM326">
        <v>5.5</v>
      </c>
      <c r="DN326">
        <v>8.4</v>
      </c>
      <c r="DO326">
        <v>75</v>
      </c>
      <c r="DP326">
        <v>10</v>
      </c>
      <c r="DQ326">
        <v>300</v>
      </c>
      <c r="DS326" t="s">
        <v>1415</v>
      </c>
      <c r="DT326">
        <v>1.2500000000000001E-2</v>
      </c>
      <c r="DU326">
        <v>1.2500000000000001E-2</v>
      </c>
      <c r="DV326">
        <v>0.32500000000000001</v>
      </c>
      <c r="DW326">
        <v>0.32500000000000001</v>
      </c>
      <c r="DX326">
        <v>0.32500000000000001</v>
      </c>
      <c r="DY326">
        <v>46.433553024065752</v>
      </c>
      <c r="DZ326" s="4">
        <v>3.9670000000000001</v>
      </c>
      <c r="EA326" s="4" t="s">
        <v>1405</v>
      </c>
      <c r="EB326" s="4" t="s">
        <v>1406</v>
      </c>
      <c r="EC326">
        <v>4.9119999999999999</v>
      </c>
      <c r="ED326">
        <v>273</v>
      </c>
      <c r="EE326" t="s">
        <v>1628</v>
      </c>
      <c r="EF326">
        <v>0.29589838703280791</v>
      </c>
      <c r="EH326">
        <f t="shared" si="11"/>
        <v>0.58000000000000007</v>
      </c>
      <c r="EI326">
        <v>3.38</v>
      </c>
      <c r="EJ326">
        <v>3.65</v>
      </c>
    </row>
    <row r="327" spans="1:140" x14ac:dyDescent="0.35">
      <c r="A327" s="1">
        <v>325</v>
      </c>
      <c r="B327">
        <v>-84.338159769657281</v>
      </c>
      <c r="C327">
        <v>45.602972716342947</v>
      </c>
      <c r="D327" t="s">
        <v>1630</v>
      </c>
      <c r="E327">
        <v>0.02</v>
      </c>
      <c r="F327" t="s">
        <v>160</v>
      </c>
      <c r="G327">
        <v>3.7100000000000001E-2</v>
      </c>
      <c r="H327" t="s">
        <v>161</v>
      </c>
      <c r="I327">
        <v>-9388481</v>
      </c>
      <c r="J327">
        <v>5716952</v>
      </c>
      <c r="K327" t="s">
        <v>1138</v>
      </c>
      <c r="L327" t="s">
        <v>1631</v>
      </c>
      <c r="M327">
        <v>16</v>
      </c>
      <c r="N327">
        <v>4.0119999999999996</v>
      </c>
      <c r="O327">
        <v>2</v>
      </c>
      <c r="P327">
        <v>3</v>
      </c>
      <c r="Q327">
        <v>26</v>
      </c>
      <c r="R327">
        <v>31</v>
      </c>
      <c r="S327">
        <v>25586</v>
      </c>
      <c r="T327" t="s">
        <v>1136</v>
      </c>
      <c r="U327">
        <v>7.3304777992277996</v>
      </c>
      <c r="V327" t="s">
        <v>1138</v>
      </c>
      <c r="W327">
        <v>0.1416</v>
      </c>
      <c r="X327">
        <v>10</v>
      </c>
      <c r="Y327">
        <v>8.9</v>
      </c>
      <c r="Z327">
        <v>8.9</v>
      </c>
      <c r="AA327">
        <v>20</v>
      </c>
      <c r="AB327">
        <v>26</v>
      </c>
      <c r="AC327">
        <v>0.95699999999999996</v>
      </c>
      <c r="AD327">
        <v>67</v>
      </c>
      <c r="AE327">
        <v>0.15209790209790211</v>
      </c>
      <c r="AF327">
        <v>2.86</v>
      </c>
      <c r="AG327" t="s">
        <v>1136</v>
      </c>
      <c r="AH327" t="s">
        <v>1138</v>
      </c>
      <c r="AI327">
        <v>29</v>
      </c>
      <c r="AJ327">
        <v>9.6666666666666672E-3</v>
      </c>
      <c r="AK327">
        <v>9.6666666666666679</v>
      </c>
      <c r="AL327" t="s">
        <v>1632</v>
      </c>
      <c r="AM327">
        <v>61964.452645633639</v>
      </c>
      <c r="AN327">
        <v>1.51</v>
      </c>
      <c r="AO327">
        <v>0.09</v>
      </c>
      <c r="AP327">
        <v>0.19</v>
      </c>
      <c r="AQ327">
        <v>1.22</v>
      </c>
      <c r="AR327">
        <v>1.1599999999999999</v>
      </c>
      <c r="AS327">
        <v>0.04</v>
      </c>
      <c r="AT327">
        <v>0.02</v>
      </c>
      <c r="AU327">
        <v>0.02</v>
      </c>
      <c r="AV327">
        <v>2.52</v>
      </c>
      <c r="AW327">
        <v>1.52</v>
      </c>
      <c r="AX327">
        <v>0.21</v>
      </c>
      <c r="AY327">
        <v>0.53</v>
      </c>
      <c r="AZ327">
        <v>0</v>
      </c>
      <c r="BA327">
        <v>1.23</v>
      </c>
      <c r="BB327">
        <v>0.08</v>
      </c>
      <c r="BC327">
        <v>0.21</v>
      </c>
      <c r="BD327">
        <v>0.27</v>
      </c>
      <c r="BE327">
        <v>8.5</v>
      </c>
      <c r="BF327">
        <v>7.81</v>
      </c>
      <c r="BG327">
        <v>0.24</v>
      </c>
      <c r="BH327">
        <v>0.45</v>
      </c>
      <c r="BI327">
        <v>0</v>
      </c>
      <c r="BJ327">
        <v>0.04</v>
      </c>
      <c r="BK327">
        <v>7.77</v>
      </c>
      <c r="BL327">
        <v>0</v>
      </c>
      <c r="BM327">
        <v>2.0299999999999998</v>
      </c>
      <c r="BN327">
        <v>0.21</v>
      </c>
      <c r="BO327">
        <v>0.46</v>
      </c>
      <c r="BP327">
        <v>1.36</v>
      </c>
      <c r="BQ327">
        <v>1.1399999999999999</v>
      </c>
      <c r="BR327">
        <v>0.06</v>
      </c>
      <c r="BS327">
        <v>0.16</v>
      </c>
      <c r="BT327">
        <v>0</v>
      </c>
      <c r="BU327">
        <v>8.91</v>
      </c>
      <c r="BV327">
        <v>7.85</v>
      </c>
      <c r="BW327">
        <v>0.34</v>
      </c>
      <c r="BX327">
        <v>0.72</v>
      </c>
      <c r="BY327">
        <v>0</v>
      </c>
      <c r="BZ327">
        <v>0.04</v>
      </c>
      <c r="CA327">
        <v>7.81</v>
      </c>
      <c r="CB327">
        <v>0</v>
      </c>
      <c r="CC327">
        <f t="shared" si="10"/>
        <v>2.75</v>
      </c>
      <c r="CD327">
        <v>3.96</v>
      </c>
      <c r="CE327">
        <v>0.34230769230769231</v>
      </c>
      <c r="CF327">
        <v>0.44500000000000001</v>
      </c>
      <c r="CG327">
        <v>0.1492537313432836</v>
      </c>
      <c r="CH327">
        <v>0.33461538461538459</v>
      </c>
      <c r="CI327">
        <v>0</v>
      </c>
      <c r="CJ327">
        <v>14001</v>
      </c>
      <c r="CK327" t="s">
        <v>169</v>
      </c>
      <c r="CL327" t="s">
        <v>1410</v>
      </c>
      <c r="CM327" t="s">
        <v>143</v>
      </c>
      <c r="CN327">
        <v>0.473317485466</v>
      </c>
      <c r="CO327">
        <v>12.19346879157405</v>
      </c>
      <c r="CP327">
        <v>326</v>
      </c>
      <c r="CQ327" t="s">
        <v>1018</v>
      </c>
      <c r="CR327">
        <v>144</v>
      </c>
      <c r="CS327" t="s">
        <v>650</v>
      </c>
      <c r="CT327" t="s">
        <v>651</v>
      </c>
      <c r="CU327" t="s">
        <v>640</v>
      </c>
      <c r="CV327" t="s">
        <v>652</v>
      </c>
      <c r="CW327" t="s">
        <v>653</v>
      </c>
      <c r="CX327" t="s">
        <v>654</v>
      </c>
      <c r="CY327" t="s">
        <v>655</v>
      </c>
      <c r="CZ327" t="s">
        <v>645</v>
      </c>
      <c r="DA327" t="s">
        <v>152</v>
      </c>
      <c r="DB327" t="s">
        <v>178</v>
      </c>
      <c r="DC327" t="s">
        <v>656</v>
      </c>
      <c r="DD327" t="s">
        <v>657</v>
      </c>
      <c r="DE327">
        <v>10350</v>
      </c>
      <c r="DF327">
        <v>-84.596498999999994</v>
      </c>
      <c r="DG327">
        <v>38.291331</v>
      </c>
      <c r="DH327">
        <v>4500</v>
      </c>
      <c r="DI327">
        <v>200</v>
      </c>
      <c r="DL327">
        <v>10</v>
      </c>
      <c r="DM327">
        <v>8</v>
      </c>
      <c r="DN327">
        <v>12</v>
      </c>
      <c r="DO327">
        <v>50</v>
      </c>
      <c r="DP327">
        <v>25</v>
      </c>
      <c r="DQ327">
        <v>100</v>
      </c>
      <c r="DS327" t="s">
        <v>658</v>
      </c>
      <c r="DT327">
        <v>1.2500000000000001E-2</v>
      </c>
      <c r="DU327">
        <v>1.2500000000000001E-2</v>
      </c>
      <c r="DV327">
        <v>0.32500000000000001</v>
      </c>
      <c r="DW327">
        <v>0.32500000000000001</v>
      </c>
      <c r="DX327">
        <v>0.32500000000000001</v>
      </c>
      <c r="DY327">
        <v>0</v>
      </c>
      <c r="DZ327" s="4">
        <v>3.9670000000000001</v>
      </c>
      <c r="EA327" s="4" t="s">
        <v>1405</v>
      </c>
      <c r="EB327" s="4" t="s">
        <v>1406</v>
      </c>
      <c r="EC327">
        <v>4.9119999999999999</v>
      </c>
      <c r="ED327">
        <v>438</v>
      </c>
      <c r="EE327" t="s">
        <v>1632</v>
      </c>
      <c r="EF327">
        <v>0.39452005299734649</v>
      </c>
      <c r="EH327">
        <f t="shared" si="11"/>
        <v>0.58000000000000007</v>
      </c>
      <c r="EI327">
        <v>3.38</v>
      </c>
      <c r="EJ327">
        <v>3.65</v>
      </c>
    </row>
    <row r="328" spans="1:140" x14ac:dyDescent="0.35">
      <c r="A328" s="1">
        <v>326</v>
      </c>
      <c r="B328">
        <v>-82.541529201418243</v>
      </c>
      <c r="C328">
        <v>45.602972716342947</v>
      </c>
      <c r="D328" t="s">
        <v>1633</v>
      </c>
      <c r="E328">
        <v>0.1</v>
      </c>
      <c r="F328" t="s">
        <v>135</v>
      </c>
      <c r="G328">
        <v>3.7100000000000001E-2</v>
      </c>
      <c r="H328" t="s">
        <v>161</v>
      </c>
      <c r="I328">
        <v>-9188481</v>
      </c>
      <c r="J328">
        <v>5716952</v>
      </c>
      <c r="K328" t="s">
        <v>1138</v>
      </c>
      <c r="L328" t="s">
        <v>1523</v>
      </c>
      <c r="T328" t="s">
        <v>1136</v>
      </c>
      <c r="U328">
        <v>7.3304777992277996</v>
      </c>
      <c r="V328" t="s">
        <v>1138</v>
      </c>
      <c r="W328">
        <v>0.1416</v>
      </c>
      <c r="X328">
        <v>10</v>
      </c>
      <c r="Y328">
        <v>8.9</v>
      </c>
      <c r="Z328">
        <v>8.9</v>
      </c>
      <c r="AA328">
        <v>20</v>
      </c>
      <c r="AB328">
        <v>26</v>
      </c>
      <c r="AC328">
        <v>0.95699999999999996</v>
      </c>
      <c r="AD328">
        <v>67</v>
      </c>
      <c r="AE328">
        <v>0.15209790209790211</v>
      </c>
      <c r="AF328">
        <v>2.86</v>
      </c>
      <c r="AG328" t="s">
        <v>1136</v>
      </c>
      <c r="AH328" t="s">
        <v>1138</v>
      </c>
      <c r="AI328">
        <v>29</v>
      </c>
      <c r="AJ328">
        <v>9.6666666666666672E-3</v>
      </c>
      <c r="AK328">
        <v>9.6666666666666679</v>
      </c>
      <c r="AL328" t="s">
        <v>1524</v>
      </c>
      <c r="AM328">
        <v>108342.1109928237</v>
      </c>
      <c r="AN328">
        <v>1.51</v>
      </c>
      <c r="AO328">
        <v>0.09</v>
      </c>
      <c r="AP328">
        <v>0.19</v>
      </c>
      <c r="AQ328">
        <v>1.22</v>
      </c>
      <c r="AR328">
        <v>1.1599999999999999</v>
      </c>
      <c r="AS328">
        <v>0.04</v>
      </c>
      <c r="AT328">
        <v>0.02</v>
      </c>
      <c r="AU328">
        <v>0.02</v>
      </c>
      <c r="AV328">
        <v>2.52</v>
      </c>
      <c r="AW328">
        <v>1.52</v>
      </c>
      <c r="AX328">
        <v>0.21</v>
      </c>
      <c r="AY328">
        <v>0.53</v>
      </c>
      <c r="AZ328">
        <v>0</v>
      </c>
      <c r="BA328">
        <v>1.23</v>
      </c>
      <c r="BB328">
        <v>0.08</v>
      </c>
      <c r="BC328">
        <v>0.21</v>
      </c>
      <c r="BD328">
        <v>0.27</v>
      </c>
      <c r="BE328">
        <v>8.5</v>
      </c>
      <c r="BF328">
        <v>7.81</v>
      </c>
      <c r="BG328">
        <v>0.24</v>
      </c>
      <c r="BH328">
        <v>0.45</v>
      </c>
      <c r="BI328">
        <v>0</v>
      </c>
      <c r="BJ328">
        <v>0.04</v>
      </c>
      <c r="BK328">
        <v>7.77</v>
      </c>
      <c r="BL328">
        <v>0</v>
      </c>
      <c r="BM328">
        <v>2.0299999999999998</v>
      </c>
      <c r="BN328">
        <v>0.21</v>
      </c>
      <c r="BO328">
        <v>0.46</v>
      </c>
      <c r="BP328">
        <v>1.36</v>
      </c>
      <c r="BQ328">
        <v>1.1399999999999999</v>
      </c>
      <c r="BR328">
        <v>0.06</v>
      </c>
      <c r="BS328">
        <v>0.16</v>
      </c>
      <c r="BT328">
        <v>0</v>
      </c>
      <c r="BU328">
        <v>8.91</v>
      </c>
      <c r="BV328">
        <v>7.85</v>
      </c>
      <c r="BW328">
        <v>0.34</v>
      </c>
      <c r="BX328">
        <v>0.72</v>
      </c>
      <c r="BY328">
        <v>0</v>
      </c>
      <c r="BZ328">
        <v>0.04</v>
      </c>
      <c r="CA328">
        <v>7.81</v>
      </c>
      <c r="CB328">
        <v>0</v>
      </c>
      <c r="CC328">
        <f t="shared" si="10"/>
        <v>2.75</v>
      </c>
      <c r="CD328">
        <v>3.96</v>
      </c>
      <c r="CE328">
        <v>0.34230769230769231</v>
      </c>
      <c r="CF328">
        <v>0.44500000000000001</v>
      </c>
      <c r="CG328">
        <v>0.1492537313432836</v>
      </c>
      <c r="CH328">
        <v>0.33461538461538459</v>
      </c>
      <c r="CI328">
        <v>0</v>
      </c>
      <c r="CJ328">
        <v>14025</v>
      </c>
      <c r="CK328" t="s">
        <v>169</v>
      </c>
      <c r="CL328" t="s">
        <v>1410</v>
      </c>
      <c r="CM328" t="s">
        <v>143</v>
      </c>
      <c r="CN328">
        <v>0.49998841463799998</v>
      </c>
      <c r="CO328">
        <v>82.790467578521969</v>
      </c>
      <c r="CP328">
        <v>327</v>
      </c>
      <c r="CQ328" t="s">
        <v>1018</v>
      </c>
      <c r="CR328">
        <v>144</v>
      </c>
      <c r="CS328" t="s">
        <v>650</v>
      </c>
      <c r="CT328" t="s">
        <v>651</v>
      </c>
      <c r="CU328" t="s">
        <v>640</v>
      </c>
      <c r="CV328" t="s">
        <v>652</v>
      </c>
      <c r="CW328" t="s">
        <v>653</v>
      </c>
      <c r="CX328" t="s">
        <v>654</v>
      </c>
      <c r="CY328" t="s">
        <v>655</v>
      </c>
      <c r="CZ328" t="s">
        <v>645</v>
      </c>
      <c r="DA328" t="s">
        <v>152</v>
      </c>
      <c r="DB328" t="s">
        <v>178</v>
      </c>
      <c r="DC328" t="s">
        <v>656</v>
      </c>
      <c r="DD328" t="s">
        <v>657</v>
      </c>
      <c r="DE328">
        <v>10350</v>
      </c>
      <c r="DF328">
        <v>-84.596498999999994</v>
      </c>
      <c r="DG328">
        <v>38.291331</v>
      </c>
      <c r="DH328">
        <v>4500</v>
      </c>
      <c r="DI328">
        <v>200</v>
      </c>
      <c r="DL328">
        <v>10</v>
      </c>
      <c r="DM328">
        <v>8</v>
      </c>
      <c r="DN328">
        <v>12</v>
      </c>
      <c r="DO328">
        <v>50</v>
      </c>
      <c r="DP328">
        <v>25</v>
      </c>
      <c r="DQ328">
        <v>100</v>
      </c>
      <c r="DS328" t="s">
        <v>658</v>
      </c>
      <c r="DT328">
        <v>1.2500000000000001E-2</v>
      </c>
      <c r="DU328">
        <v>1.2500000000000001E-2</v>
      </c>
      <c r="DV328">
        <v>0.32500000000000001</v>
      </c>
      <c r="DW328">
        <v>0.32500000000000001</v>
      </c>
      <c r="DX328">
        <v>0.32500000000000001</v>
      </c>
      <c r="DY328">
        <v>61.386212900034209</v>
      </c>
      <c r="DZ328" s="4">
        <v>3.9670000000000001</v>
      </c>
      <c r="EA328" s="4" t="s">
        <v>1405</v>
      </c>
      <c r="EB328" s="4" t="s">
        <v>1406</v>
      </c>
      <c r="EC328">
        <v>4.9119999999999999</v>
      </c>
      <c r="ED328">
        <v>631</v>
      </c>
      <c r="EE328" t="s">
        <v>1524</v>
      </c>
      <c r="EF328">
        <v>0.86241320427207835</v>
      </c>
      <c r="EH328">
        <f t="shared" si="11"/>
        <v>0.58000000000000007</v>
      </c>
      <c r="EI328">
        <v>3.38</v>
      </c>
      <c r="EJ328">
        <v>3.65</v>
      </c>
    </row>
    <row r="329" spans="1:140" x14ac:dyDescent="0.35">
      <c r="A329" s="1">
        <v>327</v>
      </c>
      <c r="B329">
        <v>-73.558376360223022</v>
      </c>
      <c r="C329">
        <v>45.602972716342947</v>
      </c>
      <c r="D329" t="s">
        <v>1634</v>
      </c>
      <c r="E329">
        <v>0.1</v>
      </c>
      <c r="F329" t="s">
        <v>326</v>
      </c>
      <c r="G329">
        <v>3.7100000000000001E-2</v>
      </c>
      <c r="H329" t="s">
        <v>161</v>
      </c>
      <c r="I329">
        <v>-8188481</v>
      </c>
      <c r="J329">
        <v>5716952</v>
      </c>
      <c r="K329" t="s">
        <v>1159</v>
      </c>
      <c r="L329" t="s">
        <v>1635</v>
      </c>
      <c r="M329">
        <v>10</v>
      </c>
      <c r="N329">
        <v>4.0289999999999999</v>
      </c>
      <c r="O329">
        <v>1</v>
      </c>
      <c r="P329">
        <v>2</v>
      </c>
      <c r="Q329">
        <v>36</v>
      </c>
      <c r="R329">
        <v>19</v>
      </c>
      <c r="S329">
        <v>79839</v>
      </c>
      <c r="T329" t="s">
        <v>1161</v>
      </c>
      <c r="U329">
        <v>8.3286235013208714</v>
      </c>
      <c r="V329" t="s">
        <v>1159</v>
      </c>
      <c r="W329">
        <v>0.1966</v>
      </c>
      <c r="X329">
        <v>10</v>
      </c>
      <c r="Y329">
        <v>8.9</v>
      </c>
      <c r="Z329">
        <v>8.9</v>
      </c>
      <c r="AA329">
        <v>20</v>
      </c>
      <c r="AB329">
        <v>26</v>
      </c>
      <c r="AC329">
        <v>0.53700000000000003</v>
      </c>
      <c r="AD329">
        <v>67</v>
      </c>
      <c r="AE329">
        <v>8.5346471710108077E-2</v>
      </c>
      <c r="AF329">
        <v>2.86</v>
      </c>
      <c r="AG329" t="s">
        <v>1161</v>
      </c>
      <c r="AH329" t="s">
        <v>1159</v>
      </c>
      <c r="AI329">
        <v>30</v>
      </c>
      <c r="AJ329">
        <v>0.01</v>
      </c>
      <c r="AK329">
        <v>10</v>
      </c>
      <c r="AL329" t="s">
        <v>1534</v>
      </c>
      <c r="AM329">
        <v>94446.42677539539</v>
      </c>
      <c r="AN329">
        <v>1.67</v>
      </c>
      <c r="AO329">
        <v>0.09</v>
      </c>
      <c r="AP329">
        <v>0.19</v>
      </c>
      <c r="AQ329">
        <v>1.39</v>
      </c>
      <c r="AR329">
        <v>1.32</v>
      </c>
      <c r="AS329">
        <v>0.04</v>
      </c>
      <c r="AT329">
        <v>0.03</v>
      </c>
      <c r="AU329">
        <v>0.02</v>
      </c>
      <c r="AV329">
        <v>2.78</v>
      </c>
      <c r="AW329">
        <v>1.78</v>
      </c>
      <c r="AX329">
        <v>0.21</v>
      </c>
      <c r="AY329">
        <v>0.53</v>
      </c>
      <c r="AZ329">
        <v>0</v>
      </c>
      <c r="BA329">
        <v>1.4</v>
      </c>
      <c r="BB329">
        <v>0.08</v>
      </c>
      <c r="BC329">
        <v>0.3</v>
      </c>
      <c r="BD329">
        <v>0.27</v>
      </c>
      <c r="BE329">
        <v>11.83</v>
      </c>
      <c r="BF329">
        <v>11.14</v>
      </c>
      <c r="BG329">
        <v>0.24</v>
      </c>
      <c r="BH329">
        <v>0.45</v>
      </c>
      <c r="BI329">
        <v>0</v>
      </c>
      <c r="BJ329">
        <v>0.04</v>
      </c>
      <c r="BK329">
        <v>11.1</v>
      </c>
      <c r="BL329">
        <v>0</v>
      </c>
      <c r="BM329">
        <v>2.25</v>
      </c>
      <c r="BN329">
        <v>0.21</v>
      </c>
      <c r="BO329">
        <v>0.46</v>
      </c>
      <c r="BP329">
        <v>1.58</v>
      </c>
      <c r="BQ329">
        <v>1.3</v>
      </c>
      <c r="BR329">
        <v>0.06</v>
      </c>
      <c r="BS329">
        <v>0.22</v>
      </c>
      <c r="BT329">
        <v>0</v>
      </c>
      <c r="BU329">
        <v>12.26</v>
      </c>
      <c r="BV329">
        <v>11.2</v>
      </c>
      <c r="BW329">
        <v>0.34</v>
      </c>
      <c r="BX329">
        <v>0.72</v>
      </c>
      <c r="BY329">
        <v>0</v>
      </c>
      <c r="BZ329">
        <v>0.04</v>
      </c>
      <c r="CA329">
        <v>11.16</v>
      </c>
      <c r="CB329">
        <v>0</v>
      </c>
      <c r="CC329">
        <f t="shared" si="10"/>
        <v>2.75</v>
      </c>
      <c r="CD329">
        <v>3.96</v>
      </c>
      <c r="CE329">
        <v>0.34230769230769231</v>
      </c>
      <c r="CF329">
        <v>0.44500000000000001</v>
      </c>
      <c r="CG329">
        <v>0.1492537313432836</v>
      </c>
      <c r="CH329">
        <v>0.1877622377622378</v>
      </c>
      <c r="CI329">
        <v>0</v>
      </c>
      <c r="CJ329">
        <v>19685</v>
      </c>
      <c r="CK329" t="s">
        <v>141</v>
      </c>
      <c r="CL329" t="s">
        <v>1636</v>
      </c>
      <c r="CM329" t="s">
        <v>143</v>
      </c>
      <c r="CN329">
        <v>0.18358664733400001</v>
      </c>
      <c r="CO329">
        <v>58.760587233895983</v>
      </c>
      <c r="CP329">
        <v>328</v>
      </c>
      <c r="CQ329" t="s">
        <v>1424</v>
      </c>
      <c r="CR329">
        <v>144</v>
      </c>
      <c r="CS329" t="s">
        <v>650</v>
      </c>
      <c r="CT329" t="s">
        <v>651</v>
      </c>
      <c r="CU329" t="s">
        <v>640</v>
      </c>
      <c r="CV329" t="s">
        <v>652</v>
      </c>
      <c r="CW329" t="s">
        <v>653</v>
      </c>
      <c r="CX329" t="s">
        <v>654</v>
      </c>
      <c r="CY329" t="s">
        <v>655</v>
      </c>
      <c r="CZ329" t="s">
        <v>645</v>
      </c>
      <c r="DA329" t="s">
        <v>152</v>
      </c>
      <c r="DB329" t="s">
        <v>178</v>
      </c>
      <c r="DC329" t="s">
        <v>656</v>
      </c>
      <c r="DD329" t="s">
        <v>657</v>
      </c>
      <c r="DE329">
        <v>10350</v>
      </c>
      <c r="DF329">
        <v>-84.596498999999994</v>
      </c>
      <c r="DG329">
        <v>38.291331</v>
      </c>
      <c r="DH329">
        <v>4500</v>
      </c>
      <c r="DI329">
        <v>200</v>
      </c>
      <c r="DL329">
        <v>10</v>
      </c>
      <c r="DM329">
        <v>8</v>
      </c>
      <c r="DN329">
        <v>12</v>
      </c>
      <c r="DO329">
        <v>50</v>
      </c>
      <c r="DP329">
        <v>25</v>
      </c>
      <c r="DQ329">
        <v>100</v>
      </c>
      <c r="DS329" t="s">
        <v>658</v>
      </c>
      <c r="DT329">
        <v>1.2500000000000001E-2</v>
      </c>
      <c r="DU329">
        <v>1.2500000000000001E-2</v>
      </c>
      <c r="DV329">
        <v>0.32500000000000001</v>
      </c>
      <c r="DW329">
        <v>0.32500000000000001</v>
      </c>
      <c r="DX329">
        <v>0.32500000000000001</v>
      </c>
      <c r="DY329">
        <v>264.57426625570122</v>
      </c>
      <c r="DZ329" s="4">
        <v>4.0780000000000003</v>
      </c>
      <c r="EA329" s="4" t="s">
        <v>1163</v>
      </c>
      <c r="EB329" s="4" t="s">
        <v>1164</v>
      </c>
      <c r="EC329">
        <v>5.391</v>
      </c>
      <c r="ED329">
        <v>450</v>
      </c>
      <c r="EE329" t="s">
        <v>1534</v>
      </c>
      <c r="EF329">
        <v>0.59696406444053662</v>
      </c>
      <c r="EH329">
        <f t="shared" si="11"/>
        <v>0.58000000000000007</v>
      </c>
      <c r="EI329">
        <v>3.38</v>
      </c>
      <c r="EJ329">
        <v>3.65</v>
      </c>
    </row>
    <row r="330" spans="1:140" x14ac:dyDescent="0.35">
      <c r="A330" s="1">
        <v>328</v>
      </c>
      <c r="B330">
        <v>-71.761745791983984</v>
      </c>
      <c r="C330">
        <v>45.602972716342947</v>
      </c>
      <c r="D330" t="s">
        <v>1637</v>
      </c>
      <c r="E330">
        <v>0.1</v>
      </c>
      <c r="F330" t="s">
        <v>1277</v>
      </c>
      <c r="G330">
        <v>3.7100000000000001E-2</v>
      </c>
      <c r="H330" t="s">
        <v>161</v>
      </c>
      <c r="I330">
        <v>-7988481</v>
      </c>
      <c r="J330">
        <v>5716952</v>
      </c>
      <c r="K330" t="s">
        <v>1436</v>
      </c>
      <c r="L330" t="s">
        <v>1286</v>
      </c>
      <c r="M330">
        <v>4</v>
      </c>
      <c r="N330">
        <v>3.7890000000000001</v>
      </c>
      <c r="O330">
        <v>1</v>
      </c>
      <c r="P330">
        <v>1</v>
      </c>
      <c r="Q330">
        <v>33</v>
      </c>
      <c r="R330">
        <v>7</v>
      </c>
      <c r="S330">
        <v>31262</v>
      </c>
      <c r="T330" t="s">
        <v>1438</v>
      </c>
      <c r="U330">
        <v>10.025909368014631</v>
      </c>
      <c r="V330" t="s">
        <v>1436</v>
      </c>
      <c r="W330">
        <v>0.20610000000000001</v>
      </c>
      <c r="X330">
        <v>10</v>
      </c>
      <c r="Y330">
        <v>8.9</v>
      </c>
      <c r="Z330">
        <v>8.9</v>
      </c>
      <c r="AA330">
        <v>20</v>
      </c>
      <c r="AB330">
        <v>26</v>
      </c>
      <c r="AC330">
        <v>0.28000000000000003</v>
      </c>
      <c r="AD330">
        <v>67</v>
      </c>
      <c r="AE330">
        <v>4.4500953591862687E-2</v>
      </c>
      <c r="AF330">
        <v>2.86</v>
      </c>
      <c r="AG330" t="s">
        <v>1438</v>
      </c>
      <c r="AH330" t="s">
        <v>1436</v>
      </c>
      <c r="AI330">
        <v>27</v>
      </c>
      <c r="AJ330">
        <v>8.9999999999999993E-3</v>
      </c>
      <c r="AK330">
        <v>9</v>
      </c>
      <c r="AL330" t="s">
        <v>1638</v>
      </c>
      <c r="AM330">
        <v>67861.169437921024</v>
      </c>
      <c r="AN330">
        <v>1.94</v>
      </c>
      <c r="AO330">
        <v>0.09</v>
      </c>
      <c r="AP330">
        <v>0.19</v>
      </c>
      <c r="AQ330">
        <v>1.66</v>
      </c>
      <c r="AR330">
        <v>1.58</v>
      </c>
      <c r="AS330">
        <v>0.04</v>
      </c>
      <c r="AT330">
        <v>0.03</v>
      </c>
      <c r="AU330">
        <v>0.02</v>
      </c>
      <c r="AV330">
        <v>3.08</v>
      </c>
      <c r="AW330">
        <v>2.08</v>
      </c>
      <c r="AX330">
        <v>0.21</v>
      </c>
      <c r="AY330">
        <v>0.53</v>
      </c>
      <c r="AZ330">
        <v>0</v>
      </c>
      <c r="BA330">
        <v>1.69</v>
      </c>
      <c r="BB330">
        <v>0.08</v>
      </c>
      <c r="BC330">
        <v>0.32</v>
      </c>
      <c r="BD330">
        <v>0.27</v>
      </c>
      <c r="BE330">
        <v>12.38</v>
      </c>
      <c r="BF330">
        <v>11.69</v>
      </c>
      <c r="BG330">
        <v>0.24</v>
      </c>
      <c r="BH330">
        <v>0.45</v>
      </c>
      <c r="BI330">
        <v>0</v>
      </c>
      <c r="BJ330">
        <v>0.04</v>
      </c>
      <c r="BK330">
        <v>11.65</v>
      </c>
      <c r="BL330">
        <v>0</v>
      </c>
      <c r="BM330">
        <v>2.5299999999999998</v>
      </c>
      <c r="BN330">
        <v>0.21</v>
      </c>
      <c r="BO330">
        <v>0.46</v>
      </c>
      <c r="BP330">
        <v>1.86</v>
      </c>
      <c r="BQ330">
        <v>1.56</v>
      </c>
      <c r="BR330">
        <v>0.06</v>
      </c>
      <c r="BS330">
        <v>0.23</v>
      </c>
      <c r="BT330">
        <v>0</v>
      </c>
      <c r="BU330">
        <v>12.82</v>
      </c>
      <c r="BV330">
        <v>11.76</v>
      </c>
      <c r="BW330">
        <v>0.34</v>
      </c>
      <c r="BX330">
        <v>0.72</v>
      </c>
      <c r="BY330">
        <v>0</v>
      </c>
      <c r="BZ330">
        <v>0.04</v>
      </c>
      <c r="CA330">
        <v>11.72</v>
      </c>
      <c r="CB330">
        <v>0</v>
      </c>
      <c r="CC330">
        <f t="shared" si="10"/>
        <v>2.75</v>
      </c>
      <c r="CD330">
        <v>3.96</v>
      </c>
      <c r="CE330">
        <v>0.34230769230769231</v>
      </c>
      <c r="CF330">
        <v>0.44500000000000001</v>
      </c>
      <c r="CG330">
        <v>0.1492537313432836</v>
      </c>
      <c r="CH330">
        <v>9.7902097902097918E-2</v>
      </c>
      <c r="CI330">
        <v>0</v>
      </c>
      <c r="CJ330">
        <v>21468</v>
      </c>
      <c r="CK330" t="s">
        <v>141</v>
      </c>
      <c r="CL330" t="s">
        <v>1539</v>
      </c>
      <c r="CM330" t="s">
        <v>143</v>
      </c>
      <c r="CN330">
        <v>1.3121933729199999</v>
      </c>
      <c r="CO330">
        <v>59.070580415812969</v>
      </c>
      <c r="CP330">
        <v>329</v>
      </c>
      <c r="CQ330" t="s">
        <v>1424</v>
      </c>
      <c r="CR330">
        <v>144</v>
      </c>
      <c r="CS330" t="s">
        <v>650</v>
      </c>
      <c r="CT330" t="s">
        <v>651</v>
      </c>
      <c r="CU330" t="s">
        <v>640</v>
      </c>
      <c r="CV330" t="s">
        <v>652</v>
      </c>
      <c r="CW330" t="s">
        <v>653</v>
      </c>
      <c r="CX330" t="s">
        <v>654</v>
      </c>
      <c r="CY330" t="s">
        <v>655</v>
      </c>
      <c r="CZ330" t="s">
        <v>645</v>
      </c>
      <c r="DA330" t="s">
        <v>152</v>
      </c>
      <c r="DB330" t="s">
        <v>178</v>
      </c>
      <c r="DC330" t="s">
        <v>656</v>
      </c>
      <c r="DD330" t="s">
        <v>657</v>
      </c>
      <c r="DE330">
        <v>10350</v>
      </c>
      <c r="DF330">
        <v>-84.596498999999994</v>
      </c>
      <c r="DG330">
        <v>38.291331</v>
      </c>
      <c r="DH330">
        <v>4500</v>
      </c>
      <c r="DI330">
        <v>200</v>
      </c>
      <c r="DL330">
        <v>10</v>
      </c>
      <c r="DM330">
        <v>8</v>
      </c>
      <c r="DN330">
        <v>12</v>
      </c>
      <c r="DO330">
        <v>50</v>
      </c>
      <c r="DP330">
        <v>25</v>
      </c>
      <c r="DQ330">
        <v>100</v>
      </c>
      <c r="DS330" t="s">
        <v>658</v>
      </c>
      <c r="DT330">
        <v>1.2500000000000001E-2</v>
      </c>
      <c r="DU330">
        <v>1.2500000000000001E-2</v>
      </c>
      <c r="DV330">
        <v>0.32500000000000001</v>
      </c>
      <c r="DW330">
        <v>0.32500000000000001</v>
      </c>
      <c r="DX330">
        <v>0.32500000000000001</v>
      </c>
      <c r="DY330">
        <v>345.33877243375912</v>
      </c>
      <c r="DZ330" s="4">
        <v>3.859</v>
      </c>
      <c r="EA330" s="4" t="s">
        <v>1441</v>
      </c>
      <c r="EB330" s="4" t="s">
        <v>1442</v>
      </c>
      <c r="EC330">
        <v>5.1139999999999999</v>
      </c>
      <c r="ED330">
        <v>358</v>
      </c>
      <c r="EE330" t="s">
        <v>1638</v>
      </c>
      <c r="EF330">
        <v>0.48453374856094311</v>
      </c>
      <c r="EH330">
        <f t="shared" si="11"/>
        <v>0.58000000000000007</v>
      </c>
      <c r="EI330">
        <v>3.38</v>
      </c>
      <c r="EJ330">
        <v>3.65</v>
      </c>
    </row>
    <row r="331" spans="1:140" x14ac:dyDescent="0.35">
      <c r="A331" s="1">
        <v>329</v>
      </c>
      <c r="B331">
        <v>-69.965115223744945</v>
      </c>
      <c r="C331">
        <v>45.602972716342947</v>
      </c>
      <c r="D331" t="s">
        <v>1639</v>
      </c>
      <c r="E331">
        <v>0.1</v>
      </c>
      <c r="F331" t="s">
        <v>1640</v>
      </c>
      <c r="G331">
        <v>3.7100000000000001E-2</v>
      </c>
      <c r="H331" t="s">
        <v>136</v>
      </c>
      <c r="I331">
        <v>-7788481</v>
      </c>
      <c r="J331">
        <v>5716952</v>
      </c>
      <c r="K331" t="s">
        <v>1444</v>
      </c>
      <c r="L331" t="s">
        <v>1641</v>
      </c>
      <c r="M331">
        <v>13</v>
      </c>
      <c r="N331">
        <v>3.7709999999999999</v>
      </c>
      <c r="O331">
        <v>1</v>
      </c>
      <c r="P331">
        <v>1</v>
      </c>
      <c r="Q331">
        <v>23</v>
      </c>
      <c r="R331">
        <v>25</v>
      </c>
      <c r="S331">
        <v>50472</v>
      </c>
      <c r="T331" t="s">
        <v>1446</v>
      </c>
      <c r="U331">
        <v>9.5443758898908388</v>
      </c>
      <c r="V331" t="s">
        <v>1444</v>
      </c>
      <c r="W331">
        <v>0.1966</v>
      </c>
      <c r="X331">
        <v>10</v>
      </c>
      <c r="Y331">
        <v>8.9</v>
      </c>
      <c r="Z331">
        <v>8.9</v>
      </c>
      <c r="AA331">
        <v>20</v>
      </c>
      <c r="AB331">
        <v>26</v>
      </c>
      <c r="AC331">
        <v>0.48699999999999999</v>
      </c>
      <c r="AD331">
        <v>67</v>
      </c>
      <c r="AE331">
        <v>7.7399872854418295E-2</v>
      </c>
      <c r="AF331">
        <v>2.86</v>
      </c>
      <c r="AG331" t="s">
        <v>1446</v>
      </c>
      <c r="AH331" t="s">
        <v>1444</v>
      </c>
      <c r="AI331">
        <v>24</v>
      </c>
      <c r="AJ331">
        <v>8.0000000000000002E-3</v>
      </c>
      <c r="AK331">
        <v>8</v>
      </c>
      <c r="AL331" t="s">
        <v>1547</v>
      </c>
      <c r="AM331">
        <v>107864.3373493184</v>
      </c>
      <c r="AN331">
        <v>1.86</v>
      </c>
      <c r="AO331">
        <v>0.09</v>
      </c>
      <c r="AP331">
        <v>0.19</v>
      </c>
      <c r="AQ331">
        <v>1.58</v>
      </c>
      <c r="AR331">
        <v>1.51</v>
      </c>
      <c r="AS331">
        <v>0.04</v>
      </c>
      <c r="AT331">
        <v>0.03</v>
      </c>
      <c r="AU331">
        <v>0.02</v>
      </c>
      <c r="AV331">
        <v>2.98</v>
      </c>
      <c r="AW331">
        <v>1.98</v>
      </c>
      <c r="AX331">
        <v>0.21</v>
      </c>
      <c r="AY331">
        <v>0.53</v>
      </c>
      <c r="AZ331">
        <v>0</v>
      </c>
      <c r="BA331">
        <v>1.6</v>
      </c>
      <c r="BB331">
        <v>0.08</v>
      </c>
      <c r="BC331">
        <v>0.3</v>
      </c>
      <c r="BD331">
        <v>0.27</v>
      </c>
      <c r="BE331">
        <v>11.83</v>
      </c>
      <c r="BF331">
        <v>11.14</v>
      </c>
      <c r="BG331">
        <v>0.24</v>
      </c>
      <c r="BH331">
        <v>0.45</v>
      </c>
      <c r="BI331">
        <v>0</v>
      </c>
      <c r="BJ331">
        <v>0.04</v>
      </c>
      <c r="BK331">
        <v>11.1</v>
      </c>
      <c r="BL331">
        <v>0</v>
      </c>
      <c r="BM331">
        <v>2.44</v>
      </c>
      <c r="BN331">
        <v>0.21</v>
      </c>
      <c r="BO331">
        <v>0.46</v>
      </c>
      <c r="BP331">
        <v>1.77</v>
      </c>
      <c r="BQ331">
        <v>1.49</v>
      </c>
      <c r="BR331">
        <v>0.06</v>
      </c>
      <c r="BS331">
        <v>0.22</v>
      </c>
      <c r="BT331">
        <v>0</v>
      </c>
      <c r="BU331">
        <v>12.26</v>
      </c>
      <c r="BV331">
        <v>11.2</v>
      </c>
      <c r="BW331">
        <v>0.34</v>
      </c>
      <c r="BX331">
        <v>0.72</v>
      </c>
      <c r="BY331">
        <v>0</v>
      </c>
      <c r="BZ331">
        <v>0.04</v>
      </c>
      <c r="CA331">
        <v>11.16</v>
      </c>
      <c r="CB331">
        <v>0</v>
      </c>
      <c r="CC331">
        <f t="shared" si="10"/>
        <v>2.75</v>
      </c>
      <c r="CD331">
        <v>3.96</v>
      </c>
      <c r="CE331">
        <v>0.34230769230769231</v>
      </c>
      <c r="CF331">
        <v>0.44500000000000001</v>
      </c>
      <c r="CG331">
        <v>0.1492537313432836</v>
      </c>
      <c r="CH331">
        <v>0.1702797202797203</v>
      </c>
      <c r="CI331">
        <v>0</v>
      </c>
      <c r="CJ331">
        <v>21469</v>
      </c>
      <c r="CK331" t="s">
        <v>141</v>
      </c>
      <c r="CL331" t="s">
        <v>1539</v>
      </c>
      <c r="CM331" t="s">
        <v>143</v>
      </c>
      <c r="CN331">
        <v>0.68699297666299997</v>
      </c>
      <c r="CO331">
        <v>109.9649787004461</v>
      </c>
      <c r="CP331">
        <v>330</v>
      </c>
      <c r="CQ331" t="s">
        <v>1424</v>
      </c>
      <c r="CR331">
        <v>144</v>
      </c>
      <c r="CS331" t="s">
        <v>650</v>
      </c>
      <c r="CT331" t="s">
        <v>651</v>
      </c>
      <c r="CU331" t="s">
        <v>640</v>
      </c>
      <c r="CV331" t="s">
        <v>652</v>
      </c>
      <c r="CW331" t="s">
        <v>653</v>
      </c>
      <c r="CX331" t="s">
        <v>654</v>
      </c>
      <c r="CY331" t="s">
        <v>655</v>
      </c>
      <c r="CZ331" t="s">
        <v>645</v>
      </c>
      <c r="DA331" t="s">
        <v>152</v>
      </c>
      <c r="DB331" t="s">
        <v>178</v>
      </c>
      <c r="DC331" t="s">
        <v>656</v>
      </c>
      <c r="DD331" t="s">
        <v>657</v>
      </c>
      <c r="DE331">
        <v>10350</v>
      </c>
      <c r="DF331">
        <v>-84.596498999999994</v>
      </c>
      <c r="DG331">
        <v>38.291331</v>
      </c>
      <c r="DH331">
        <v>4500</v>
      </c>
      <c r="DI331">
        <v>200</v>
      </c>
      <c r="DL331">
        <v>10</v>
      </c>
      <c r="DM331">
        <v>8</v>
      </c>
      <c r="DN331">
        <v>12</v>
      </c>
      <c r="DO331">
        <v>50</v>
      </c>
      <c r="DP331">
        <v>25</v>
      </c>
      <c r="DQ331">
        <v>100</v>
      </c>
      <c r="DS331" t="s">
        <v>658</v>
      </c>
      <c r="DT331">
        <v>1.2500000000000001E-2</v>
      </c>
      <c r="DU331">
        <v>1.2500000000000001E-2</v>
      </c>
      <c r="DV331">
        <v>0.32500000000000001</v>
      </c>
      <c r="DW331">
        <v>0.32500000000000001</v>
      </c>
      <c r="DX331">
        <v>0.32500000000000001</v>
      </c>
      <c r="DY331">
        <v>441.57740053426699</v>
      </c>
      <c r="DZ331" s="4">
        <v>3.8780000000000001</v>
      </c>
      <c r="EA331" s="4" t="s">
        <v>1449</v>
      </c>
      <c r="EB331" s="4" t="s">
        <v>1450</v>
      </c>
      <c r="EC331">
        <v>5.2030000000000003</v>
      </c>
      <c r="ED331">
        <v>912</v>
      </c>
      <c r="EE331" t="s">
        <v>1547</v>
      </c>
      <c r="EF331">
        <v>0.80734213506225272</v>
      </c>
      <c r="EH331">
        <f t="shared" si="11"/>
        <v>0.58000000000000007</v>
      </c>
      <c r="EI331">
        <v>3.38</v>
      </c>
      <c r="EJ331">
        <v>3.65</v>
      </c>
    </row>
    <row r="332" spans="1:140" x14ac:dyDescent="0.35">
      <c r="A332" s="1">
        <v>330</v>
      </c>
      <c r="B332">
        <v>-68.168484655505907</v>
      </c>
      <c r="C332">
        <v>45.602972716342947</v>
      </c>
      <c r="D332" t="s">
        <v>1642</v>
      </c>
      <c r="E332">
        <v>0.1</v>
      </c>
      <c r="F332" t="s">
        <v>1545</v>
      </c>
      <c r="G332">
        <v>3.7100000000000001E-2</v>
      </c>
      <c r="H332" t="s">
        <v>161</v>
      </c>
      <c r="I332">
        <v>-7588481</v>
      </c>
      <c r="J332">
        <v>5716952</v>
      </c>
      <c r="K332" t="s">
        <v>1444</v>
      </c>
      <c r="L332" t="s">
        <v>1643</v>
      </c>
      <c r="M332">
        <v>10</v>
      </c>
      <c r="N332">
        <v>3.85</v>
      </c>
      <c r="O332">
        <v>1</v>
      </c>
      <c r="P332">
        <v>1</v>
      </c>
      <c r="Q332">
        <v>23</v>
      </c>
      <c r="R332">
        <v>19</v>
      </c>
      <c r="S332">
        <v>152202</v>
      </c>
      <c r="T332" t="s">
        <v>1446</v>
      </c>
      <c r="U332">
        <v>9.5443758898908388</v>
      </c>
      <c r="V332" t="s">
        <v>1444</v>
      </c>
      <c r="W332">
        <v>0.1966</v>
      </c>
      <c r="X332">
        <v>10</v>
      </c>
      <c r="Y332">
        <v>8.9</v>
      </c>
      <c r="Z332">
        <v>8.9</v>
      </c>
      <c r="AA332">
        <v>20</v>
      </c>
      <c r="AB332">
        <v>26</v>
      </c>
      <c r="AC332">
        <v>0.48699999999999999</v>
      </c>
      <c r="AD332">
        <v>67</v>
      </c>
      <c r="AE332">
        <v>7.7399872854418295E-2</v>
      </c>
      <c r="AF332">
        <v>2.86</v>
      </c>
      <c r="AG332" t="s">
        <v>1446</v>
      </c>
      <c r="AH332" t="s">
        <v>1444</v>
      </c>
      <c r="AI332">
        <v>24</v>
      </c>
      <c r="AJ332">
        <v>8.0000000000000002E-3</v>
      </c>
      <c r="AK332">
        <v>8</v>
      </c>
      <c r="AL332" t="s">
        <v>1547</v>
      </c>
      <c r="AM332">
        <v>0</v>
      </c>
      <c r="AN332">
        <v>1.86</v>
      </c>
      <c r="AO332">
        <v>0.09</v>
      </c>
      <c r="AP332">
        <v>0.19</v>
      </c>
      <c r="AQ332">
        <v>1.58</v>
      </c>
      <c r="AR332">
        <v>1.51</v>
      </c>
      <c r="AS332">
        <v>0.04</v>
      </c>
      <c r="AT332">
        <v>0.03</v>
      </c>
      <c r="AU332">
        <v>0.02</v>
      </c>
      <c r="AV332">
        <v>2.98</v>
      </c>
      <c r="AW332">
        <v>1.98</v>
      </c>
      <c r="AX332">
        <v>0.21</v>
      </c>
      <c r="AY332">
        <v>0.53</v>
      </c>
      <c r="AZ332">
        <v>0</v>
      </c>
      <c r="BA332">
        <v>1.6</v>
      </c>
      <c r="BB332">
        <v>0.08</v>
      </c>
      <c r="BC332">
        <v>0.3</v>
      </c>
      <c r="BD332">
        <v>0.27</v>
      </c>
      <c r="BE332">
        <v>11.83</v>
      </c>
      <c r="BF332">
        <v>11.14</v>
      </c>
      <c r="BG332">
        <v>0.24</v>
      </c>
      <c r="BH332">
        <v>0.45</v>
      </c>
      <c r="BI332">
        <v>0</v>
      </c>
      <c r="BJ332">
        <v>0.04</v>
      </c>
      <c r="BK332">
        <v>11.1</v>
      </c>
      <c r="BL332">
        <v>0</v>
      </c>
      <c r="BM332">
        <v>2.44</v>
      </c>
      <c r="BN332">
        <v>0.21</v>
      </c>
      <c r="BO332">
        <v>0.46</v>
      </c>
      <c r="BP332">
        <v>1.77</v>
      </c>
      <c r="BQ332">
        <v>1.49</v>
      </c>
      <c r="BR332">
        <v>0.06</v>
      </c>
      <c r="BS332">
        <v>0.22</v>
      </c>
      <c r="BT332">
        <v>0</v>
      </c>
      <c r="BU332">
        <v>12.26</v>
      </c>
      <c r="BV332">
        <v>11.2</v>
      </c>
      <c r="BW332">
        <v>0.34</v>
      </c>
      <c r="BX332">
        <v>0.72</v>
      </c>
      <c r="BY332">
        <v>0</v>
      </c>
      <c r="BZ332">
        <v>0.04</v>
      </c>
      <c r="CA332">
        <v>11.16</v>
      </c>
      <c r="CB332">
        <v>0</v>
      </c>
      <c r="CC332">
        <f t="shared" si="10"/>
        <v>2.75</v>
      </c>
      <c r="CD332">
        <v>3.96</v>
      </c>
      <c r="CE332">
        <v>0.34230769230769231</v>
      </c>
      <c r="CF332">
        <v>0.44500000000000001</v>
      </c>
      <c r="CG332">
        <v>0.1492537313432836</v>
      </c>
      <c r="CH332">
        <v>0.1702797202797203</v>
      </c>
      <c r="CI332">
        <v>0</v>
      </c>
      <c r="CJ332">
        <v>10778</v>
      </c>
      <c r="CK332" t="s">
        <v>141</v>
      </c>
      <c r="CL332" t="s">
        <v>1543</v>
      </c>
      <c r="CM332" t="s">
        <v>143</v>
      </c>
      <c r="CN332">
        <v>3.7188005066800001</v>
      </c>
      <c r="CO332">
        <v>57.882288845116257</v>
      </c>
      <c r="CP332">
        <v>331</v>
      </c>
      <c r="CQ332" t="s">
        <v>1424</v>
      </c>
      <c r="CR332">
        <v>144</v>
      </c>
      <c r="CS332" t="s">
        <v>650</v>
      </c>
      <c r="CT332" t="s">
        <v>651</v>
      </c>
      <c r="CU332" t="s">
        <v>640</v>
      </c>
      <c r="CV332" t="s">
        <v>652</v>
      </c>
      <c r="CW332" t="s">
        <v>653</v>
      </c>
      <c r="CX332" t="s">
        <v>654</v>
      </c>
      <c r="CY332" t="s">
        <v>655</v>
      </c>
      <c r="CZ332" t="s">
        <v>645</v>
      </c>
      <c r="DA332" t="s">
        <v>152</v>
      </c>
      <c r="DB332" t="s">
        <v>178</v>
      </c>
      <c r="DC332" t="s">
        <v>656</v>
      </c>
      <c r="DD332" t="s">
        <v>657</v>
      </c>
      <c r="DE332">
        <v>10350</v>
      </c>
      <c r="DF332">
        <v>-84.596498999999994</v>
      </c>
      <c r="DG332">
        <v>38.291331</v>
      </c>
      <c r="DH332">
        <v>4500</v>
      </c>
      <c r="DI332">
        <v>200</v>
      </c>
      <c r="DL332">
        <v>10</v>
      </c>
      <c r="DM332">
        <v>8</v>
      </c>
      <c r="DN332">
        <v>12</v>
      </c>
      <c r="DO332">
        <v>50</v>
      </c>
      <c r="DP332">
        <v>25</v>
      </c>
      <c r="DQ332">
        <v>100</v>
      </c>
      <c r="DS332" t="s">
        <v>658</v>
      </c>
      <c r="DT332">
        <v>1.2500000000000001E-2</v>
      </c>
      <c r="DU332">
        <v>1.2500000000000001E-2</v>
      </c>
      <c r="DV332">
        <v>0.32500000000000001</v>
      </c>
      <c r="DW332">
        <v>0.32500000000000001</v>
      </c>
      <c r="DX332">
        <v>0.32500000000000001</v>
      </c>
      <c r="DY332">
        <v>548.74788286767421</v>
      </c>
      <c r="DZ332" s="4">
        <v>3.8780000000000001</v>
      </c>
      <c r="EA332" s="4" t="s">
        <v>1449</v>
      </c>
      <c r="EB332" s="4" t="s">
        <v>1450</v>
      </c>
      <c r="EC332">
        <v>5.2030000000000003</v>
      </c>
      <c r="ED332">
        <v>912</v>
      </c>
      <c r="EE332" t="s">
        <v>1547</v>
      </c>
      <c r="EF332">
        <v>0</v>
      </c>
      <c r="EH332">
        <f t="shared" si="11"/>
        <v>0.58000000000000007</v>
      </c>
      <c r="EI332">
        <v>3.38</v>
      </c>
      <c r="EJ332">
        <v>3.65</v>
      </c>
    </row>
    <row r="333" spans="1:140" x14ac:dyDescent="0.35">
      <c r="A333" s="1">
        <v>331</v>
      </c>
      <c r="B333">
        <v>-123.8640322709162</v>
      </c>
      <c r="C333">
        <v>46.845868028825493</v>
      </c>
      <c r="D333" t="s">
        <v>1644</v>
      </c>
      <c r="E333">
        <v>0.02</v>
      </c>
      <c r="F333" t="s">
        <v>160</v>
      </c>
      <c r="G333">
        <v>7.3200000000000001E-2</v>
      </c>
      <c r="H333" t="s">
        <v>161</v>
      </c>
      <c r="I333">
        <v>-13788481</v>
      </c>
      <c r="J333">
        <v>5916952</v>
      </c>
      <c r="K333" t="s">
        <v>1433</v>
      </c>
      <c r="L333" t="s">
        <v>1645</v>
      </c>
      <c r="M333">
        <v>14</v>
      </c>
      <c r="N333">
        <v>5.2140000000000004</v>
      </c>
      <c r="O333">
        <v>4</v>
      </c>
      <c r="P333">
        <v>9</v>
      </c>
      <c r="Q333">
        <v>53</v>
      </c>
      <c r="R333">
        <v>27</v>
      </c>
      <c r="S333">
        <v>75636</v>
      </c>
      <c r="T333" t="s">
        <v>1646</v>
      </c>
      <c r="U333">
        <v>8.5625160875160873</v>
      </c>
      <c r="V333" t="s">
        <v>1433</v>
      </c>
      <c r="W333">
        <v>0.1013</v>
      </c>
      <c r="X333">
        <v>10</v>
      </c>
      <c r="Y333">
        <v>8.9</v>
      </c>
      <c r="Z333">
        <v>8.9</v>
      </c>
      <c r="AA333">
        <v>20</v>
      </c>
      <c r="AB333">
        <v>26</v>
      </c>
      <c r="AC333">
        <v>0.249</v>
      </c>
      <c r="AD333">
        <v>67</v>
      </c>
      <c r="AE333">
        <v>3.9574062301335033E-2</v>
      </c>
      <c r="AF333">
        <v>2.86</v>
      </c>
      <c r="AG333" t="s">
        <v>1646</v>
      </c>
      <c r="AH333" t="s">
        <v>1433</v>
      </c>
      <c r="AI333">
        <v>75</v>
      </c>
      <c r="AJ333">
        <v>2.5000000000000001E-2</v>
      </c>
      <c r="AK333">
        <v>25</v>
      </c>
      <c r="AL333" t="s">
        <v>1647</v>
      </c>
      <c r="AM333">
        <v>0</v>
      </c>
      <c r="AN333">
        <v>1.74</v>
      </c>
      <c r="AO333">
        <v>0.09</v>
      </c>
      <c r="AP333">
        <v>0.19</v>
      </c>
      <c r="AQ333">
        <v>1.45</v>
      </c>
      <c r="AR333">
        <v>1.35</v>
      </c>
      <c r="AS333">
        <v>0.09</v>
      </c>
      <c r="AT333">
        <v>0.01</v>
      </c>
      <c r="AU333">
        <v>0.02</v>
      </c>
      <c r="AV333">
        <v>2.75</v>
      </c>
      <c r="AW333">
        <v>1.75</v>
      </c>
      <c r="AX333">
        <v>0.21</v>
      </c>
      <c r="AY333">
        <v>0.53</v>
      </c>
      <c r="AZ333">
        <v>0</v>
      </c>
      <c r="BA333">
        <v>1.44</v>
      </c>
      <c r="BB333">
        <v>0.16</v>
      </c>
      <c r="BC333">
        <v>0.15</v>
      </c>
      <c r="BD333">
        <v>0.27</v>
      </c>
      <c r="BE333">
        <v>6.31</v>
      </c>
      <c r="BF333">
        <v>5.63</v>
      </c>
      <c r="BG333">
        <v>0.24</v>
      </c>
      <c r="BH333">
        <v>0.45</v>
      </c>
      <c r="BI333">
        <v>0</v>
      </c>
      <c r="BJ333">
        <v>0.08</v>
      </c>
      <c r="BK333">
        <v>5.55</v>
      </c>
      <c r="BL333">
        <v>0</v>
      </c>
      <c r="BM333">
        <v>2.23</v>
      </c>
      <c r="BN333">
        <v>0.21</v>
      </c>
      <c r="BO333">
        <v>0.46</v>
      </c>
      <c r="BP333">
        <v>1.56</v>
      </c>
      <c r="BQ333">
        <v>1.34</v>
      </c>
      <c r="BR333">
        <v>0.12</v>
      </c>
      <c r="BS333">
        <v>0.11</v>
      </c>
      <c r="BT333">
        <v>0</v>
      </c>
      <c r="BU333">
        <v>6.72</v>
      </c>
      <c r="BV333">
        <v>5.66</v>
      </c>
      <c r="BW333">
        <v>0.34</v>
      </c>
      <c r="BX333">
        <v>0.72</v>
      </c>
      <c r="BY333">
        <v>0</v>
      </c>
      <c r="BZ333">
        <v>0.08</v>
      </c>
      <c r="CA333">
        <v>5.58</v>
      </c>
      <c r="CB333">
        <v>0</v>
      </c>
      <c r="CC333">
        <f t="shared" si="10"/>
        <v>2.75</v>
      </c>
      <c r="CD333">
        <v>3.96</v>
      </c>
      <c r="CE333">
        <v>0.34230769230769231</v>
      </c>
      <c r="CF333">
        <v>0.44500000000000001</v>
      </c>
      <c r="CG333">
        <v>0.1492537313432836</v>
      </c>
      <c r="CH333">
        <v>8.7062937062937065E-2</v>
      </c>
      <c r="CI333">
        <v>0</v>
      </c>
      <c r="CJ333">
        <v>16303</v>
      </c>
      <c r="CK333" t="s">
        <v>141</v>
      </c>
      <c r="CL333" t="s">
        <v>845</v>
      </c>
      <c r="CM333" t="s">
        <v>143</v>
      </c>
      <c r="CN333">
        <v>0.29311296456800001</v>
      </c>
      <c r="CO333">
        <v>30.087469706757361</v>
      </c>
      <c r="CP333">
        <v>332</v>
      </c>
      <c r="CQ333" t="s">
        <v>1648</v>
      </c>
      <c r="CR333">
        <v>223</v>
      </c>
      <c r="CS333" t="s">
        <v>717</v>
      </c>
      <c r="CT333" t="s">
        <v>718</v>
      </c>
      <c r="CU333" t="s">
        <v>315</v>
      </c>
      <c r="CV333" t="s">
        <v>719</v>
      </c>
      <c r="CW333" t="s">
        <v>720</v>
      </c>
      <c r="CX333" t="s">
        <v>721</v>
      </c>
      <c r="CY333" t="s">
        <v>551</v>
      </c>
      <c r="CZ333" t="s">
        <v>319</v>
      </c>
      <c r="DA333" t="s">
        <v>152</v>
      </c>
      <c r="DB333" t="s">
        <v>178</v>
      </c>
      <c r="DC333" t="s">
        <v>207</v>
      </c>
      <c r="DD333" t="s">
        <v>155</v>
      </c>
      <c r="DE333">
        <v>2069</v>
      </c>
      <c r="DF333">
        <v>-121.36967300000001</v>
      </c>
      <c r="DG333">
        <v>38.049534000000001</v>
      </c>
      <c r="DH333">
        <v>7600</v>
      </c>
      <c r="DI333">
        <v>1000</v>
      </c>
      <c r="DL333">
        <v>18</v>
      </c>
      <c r="DM333">
        <v>15</v>
      </c>
      <c r="DN333">
        <v>30</v>
      </c>
      <c r="DO333">
        <v>5</v>
      </c>
      <c r="DP333">
        <v>10</v>
      </c>
      <c r="DQ333">
        <v>1700</v>
      </c>
      <c r="DS333" t="s">
        <v>322</v>
      </c>
      <c r="DT333">
        <v>1.2500000000000001E-2</v>
      </c>
      <c r="DU333">
        <v>1.2500000000000001E-2</v>
      </c>
      <c r="DV333">
        <v>0.32500000000000001</v>
      </c>
      <c r="DW333">
        <v>0.32500000000000001</v>
      </c>
      <c r="DX333">
        <v>0.32500000000000001</v>
      </c>
      <c r="DY333">
        <v>0</v>
      </c>
      <c r="DZ333" s="4">
        <v>4.9960000000000004</v>
      </c>
      <c r="EA333" s="4" t="s">
        <v>1649</v>
      </c>
      <c r="EB333" s="4" t="s">
        <v>1650</v>
      </c>
      <c r="EC333">
        <v>5.8609999999999998</v>
      </c>
      <c r="ED333">
        <v>180</v>
      </c>
      <c r="EE333" t="s">
        <v>1647</v>
      </c>
      <c r="EF333">
        <v>0</v>
      </c>
      <c r="EH333">
        <f t="shared" si="11"/>
        <v>0.58000000000000007</v>
      </c>
      <c r="EI333">
        <v>3.38</v>
      </c>
      <c r="EJ333">
        <v>3.65</v>
      </c>
    </row>
    <row r="334" spans="1:140" x14ac:dyDescent="0.35">
      <c r="A334" s="1">
        <v>332</v>
      </c>
      <c r="B334">
        <v>-122.0674017026772</v>
      </c>
      <c r="C334">
        <v>46.845868028825493</v>
      </c>
      <c r="D334" t="s">
        <v>1651</v>
      </c>
      <c r="E334">
        <v>0.02</v>
      </c>
      <c r="F334" t="s">
        <v>160</v>
      </c>
      <c r="G334">
        <v>0.1956</v>
      </c>
      <c r="H334" t="s">
        <v>161</v>
      </c>
      <c r="I334">
        <v>-13588481</v>
      </c>
      <c r="J334">
        <v>5916952</v>
      </c>
      <c r="K334" t="s">
        <v>1433</v>
      </c>
      <c r="L334" t="s">
        <v>1652</v>
      </c>
      <c r="M334">
        <v>27</v>
      </c>
      <c r="N334">
        <v>5.0439999999999996</v>
      </c>
      <c r="O334">
        <v>4</v>
      </c>
      <c r="P334">
        <v>9</v>
      </c>
      <c r="Q334">
        <v>53</v>
      </c>
      <c r="R334">
        <v>53</v>
      </c>
      <c r="S334">
        <v>921137</v>
      </c>
      <c r="T334" t="s">
        <v>1646</v>
      </c>
      <c r="U334">
        <v>8.5625160875160873</v>
      </c>
      <c r="V334" t="s">
        <v>1433</v>
      </c>
      <c r="W334">
        <v>0.1013</v>
      </c>
      <c r="X334">
        <v>10</v>
      </c>
      <c r="Y334">
        <v>8.9</v>
      </c>
      <c r="Z334">
        <v>8.9</v>
      </c>
      <c r="AA334">
        <v>20</v>
      </c>
      <c r="AB334">
        <v>26</v>
      </c>
      <c r="AC334">
        <v>0.249</v>
      </c>
      <c r="AD334">
        <v>67</v>
      </c>
      <c r="AE334">
        <v>3.9574062301335033E-2</v>
      </c>
      <c r="AF334">
        <v>2.86</v>
      </c>
      <c r="AG334" t="s">
        <v>1646</v>
      </c>
      <c r="AH334" t="s">
        <v>1433</v>
      </c>
      <c r="AI334">
        <v>75</v>
      </c>
      <c r="AJ334">
        <v>2.5000000000000001E-2</v>
      </c>
      <c r="AK334">
        <v>25</v>
      </c>
      <c r="AL334" t="s">
        <v>1653</v>
      </c>
      <c r="AM334">
        <v>0</v>
      </c>
      <c r="AN334">
        <v>1.74</v>
      </c>
      <c r="AO334">
        <v>0.09</v>
      </c>
      <c r="AP334">
        <v>0.19</v>
      </c>
      <c r="AQ334">
        <v>1.45</v>
      </c>
      <c r="AR334">
        <v>1.35</v>
      </c>
      <c r="AS334">
        <v>0.09</v>
      </c>
      <c r="AT334">
        <v>0.01</v>
      </c>
      <c r="AU334">
        <v>0.02</v>
      </c>
      <c r="AV334">
        <v>2.75</v>
      </c>
      <c r="AW334">
        <v>1.75</v>
      </c>
      <c r="AX334">
        <v>0.21</v>
      </c>
      <c r="AY334">
        <v>0.53</v>
      </c>
      <c r="AZ334">
        <v>0</v>
      </c>
      <c r="BA334">
        <v>1.44</v>
      </c>
      <c r="BB334">
        <v>0.16</v>
      </c>
      <c r="BC334">
        <v>0.15</v>
      </c>
      <c r="BD334">
        <v>0.27</v>
      </c>
      <c r="BE334">
        <v>6.31</v>
      </c>
      <c r="BF334">
        <v>5.63</v>
      </c>
      <c r="BG334">
        <v>0.24</v>
      </c>
      <c r="BH334">
        <v>0.45</v>
      </c>
      <c r="BI334">
        <v>0</v>
      </c>
      <c r="BJ334">
        <v>0.08</v>
      </c>
      <c r="BK334">
        <v>5.55</v>
      </c>
      <c r="BL334">
        <v>0</v>
      </c>
      <c r="BM334">
        <v>2.23</v>
      </c>
      <c r="BN334">
        <v>0.21</v>
      </c>
      <c r="BO334">
        <v>0.46</v>
      </c>
      <c r="BP334">
        <v>1.56</v>
      </c>
      <c r="BQ334">
        <v>1.34</v>
      </c>
      <c r="BR334">
        <v>0.12</v>
      </c>
      <c r="BS334">
        <v>0.11</v>
      </c>
      <c r="BT334">
        <v>0</v>
      </c>
      <c r="BU334">
        <v>6.72</v>
      </c>
      <c r="BV334">
        <v>5.66</v>
      </c>
      <c r="BW334">
        <v>0.34</v>
      </c>
      <c r="BX334">
        <v>0.72</v>
      </c>
      <c r="BY334">
        <v>0</v>
      </c>
      <c r="BZ334">
        <v>0.08</v>
      </c>
      <c r="CA334">
        <v>5.58</v>
      </c>
      <c r="CB334">
        <v>0</v>
      </c>
      <c r="CC334">
        <f t="shared" si="10"/>
        <v>2.75</v>
      </c>
      <c r="CD334">
        <v>3.96</v>
      </c>
      <c r="CE334">
        <v>0.34230769230769231</v>
      </c>
      <c r="CF334">
        <v>0.44500000000000001</v>
      </c>
      <c r="CG334">
        <v>0.1492537313432836</v>
      </c>
      <c r="CH334">
        <v>8.7062937062937065E-2</v>
      </c>
      <c r="CI334">
        <v>0</v>
      </c>
      <c r="CJ334">
        <v>16242</v>
      </c>
      <c r="CK334" t="s">
        <v>141</v>
      </c>
      <c r="CL334" t="s">
        <v>845</v>
      </c>
      <c r="CM334" t="s">
        <v>143</v>
      </c>
      <c r="CN334">
        <v>0.41308457995600001</v>
      </c>
      <c r="CO334">
        <v>30.89015065303699</v>
      </c>
      <c r="CP334">
        <v>333</v>
      </c>
      <c r="CQ334" t="s">
        <v>1557</v>
      </c>
      <c r="CR334">
        <v>49</v>
      </c>
      <c r="CS334" t="s">
        <v>1558</v>
      </c>
      <c r="CT334" t="s">
        <v>1559</v>
      </c>
      <c r="CU334" t="s">
        <v>1560</v>
      </c>
      <c r="CV334" t="s">
        <v>1561</v>
      </c>
      <c r="CW334" t="s">
        <v>1562</v>
      </c>
      <c r="CX334" t="s">
        <v>1563</v>
      </c>
      <c r="CY334" t="s">
        <v>1564</v>
      </c>
      <c r="CZ334" t="s">
        <v>1339</v>
      </c>
      <c r="DA334" t="s">
        <v>152</v>
      </c>
      <c r="DB334" t="s">
        <v>153</v>
      </c>
      <c r="DC334" t="s">
        <v>459</v>
      </c>
      <c r="DD334" t="s">
        <v>1565</v>
      </c>
      <c r="DE334">
        <v>4809</v>
      </c>
      <c r="DF334">
        <v>-111.57566799999999</v>
      </c>
      <c r="DG334">
        <v>48.433261000000002</v>
      </c>
      <c r="DH334">
        <v>3400</v>
      </c>
      <c r="DI334">
        <v>400</v>
      </c>
      <c r="DL334">
        <v>7</v>
      </c>
      <c r="DM334">
        <v>5</v>
      </c>
      <c r="DN334">
        <v>10</v>
      </c>
      <c r="DO334">
        <v>10</v>
      </c>
      <c r="DP334">
        <v>1</v>
      </c>
      <c r="DQ334">
        <v>50</v>
      </c>
      <c r="DR334" t="s">
        <v>866</v>
      </c>
      <c r="DS334" t="s">
        <v>1566</v>
      </c>
      <c r="DT334">
        <v>1.2500000000000001E-2</v>
      </c>
      <c r="DU334">
        <v>1.2500000000000001E-2</v>
      </c>
      <c r="DV334">
        <v>0.32500000000000001</v>
      </c>
      <c r="DW334">
        <v>0.32500000000000001</v>
      </c>
      <c r="DX334">
        <v>0.32500000000000001</v>
      </c>
      <c r="DY334">
        <v>0</v>
      </c>
      <c r="DZ334" s="4">
        <v>4.9960000000000004</v>
      </c>
      <c r="EA334" s="4" t="s">
        <v>1649</v>
      </c>
      <c r="EB334" s="4" t="s">
        <v>1650</v>
      </c>
      <c r="EC334">
        <v>5.8609999999999998</v>
      </c>
      <c r="ED334">
        <v>94</v>
      </c>
      <c r="EE334" t="s">
        <v>1653</v>
      </c>
      <c r="EF334">
        <v>0</v>
      </c>
      <c r="EH334">
        <f t="shared" si="11"/>
        <v>0.58000000000000007</v>
      </c>
      <c r="EI334">
        <v>3.38</v>
      </c>
      <c r="EJ334">
        <v>3.65</v>
      </c>
    </row>
    <row r="335" spans="1:140" x14ac:dyDescent="0.35">
      <c r="A335" s="1">
        <v>333</v>
      </c>
      <c r="B335">
        <v>-120.27077113443811</v>
      </c>
      <c r="C335">
        <v>46.845868028825493</v>
      </c>
      <c r="D335" t="s">
        <v>1654</v>
      </c>
      <c r="E335">
        <v>0.1</v>
      </c>
      <c r="F335" t="s">
        <v>135</v>
      </c>
      <c r="G335">
        <v>0.1956</v>
      </c>
      <c r="H335" t="s">
        <v>161</v>
      </c>
      <c r="I335">
        <v>-13388481</v>
      </c>
      <c r="J335">
        <v>5916952</v>
      </c>
      <c r="K335" t="s">
        <v>1433</v>
      </c>
      <c r="L335" t="s">
        <v>1655</v>
      </c>
      <c r="M335">
        <v>19</v>
      </c>
      <c r="N335">
        <v>4.7469999999999999</v>
      </c>
      <c r="O335">
        <v>4</v>
      </c>
      <c r="P335">
        <v>9</v>
      </c>
      <c r="Q335">
        <v>53</v>
      </c>
      <c r="R335">
        <v>37</v>
      </c>
      <c r="S335">
        <v>44342</v>
      </c>
      <c r="T335" t="s">
        <v>1646</v>
      </c>
      <c r="U335">
        <v>8.5625160875160873</v>
      </c>
      <c r="V335" t="s">
        <v>1433</v>
      </c>
      <c r="W335">
        <v>0.1013</v>
      </c>
      <c r="X335">
        <v>10</v>
      </c>
      <c r="Y335">
        <v>8.9</v>
      </c>
      <c r="Z335">
        <v>8.9</v>
      </c>
      <c r="AA335">
        <v>20</v>
      </c>
      <c r="AB335">
        <v>26</v>
      </c>
      <c r="AC335">
        <v>0.249</v>
      </c>
      <c r="AD335">
        <v>67</v>
      </c>
      <c r="AE335">
        <v>3.9574062301335033E-2</v>
      </c>
      <c r="AF335">
        <v>2.86</v>
      </c>
      <c r="AG335" t="s">
        <v>1646</v>
      </c>
      <c r="AH335" t="s">
        <v>1433</v>
      </c>
      <c r="AI335">
        <v>75</v>
      </c>
      <c r="AJ335">
        <v>2.5000000000000001E-2</v>
      </c>
      <c r="AK335">
        <v>25</v>
      </c>
      <c r="AL335" t="s">
        <v>1656</v>
      </c>
      <c r="AM335">
        <v>0</v>
      </c>
      <c r="AN335">
        <v>1.74</v>
      </c>
      <c r="AO335">
        <v>0.09</v>
      </c>
      <c r="AP335">
        <v>0.19</v>
      </c>
      <c r="AQ335">
        <v>1.45</v>
      </c>
      <c r="AR335">
        <v>1.35</v>
      </c>
      <c r="AS335">
        <v>0.09</v>
      </c>
      <c r="AT335">
        <v>0.01</v>
      </c>
      <c r="AU335">
        <v>0.02</v>
      </c>
      <c r="AV335">
        <v>2.75</v>
      </c>
      <c r="AW335">
        <v>1.75</v>
      </c>
      <c r="AX335">
        <v>0.21</v>
      </c>
      <c r="AY335">
        <v>0.53</v>
      </c>
      <c r="AZ335">
        <v>0</v>
      </c>
      <c r="BA335">
        <v>1.44</v>
      </c>
      <c r="BB335">
        <v>0.16</v>
      </c>
      <c r="BC335">
        <v>0.15</v>
      </c>
      <c r="BD335">
        <v>0.27</v>
      </c>
      <c r="BE335">
        <v>6.31</v>
      </c>
      <c r="BF335">
        <v>5.63</v>
      </c>
      <c r="BG335">
        <v>0.24</v>
      </c>
      <c r="BH335">
        <v>0.45</v>
      </c>
      <c r="BI335">
        <v>0</v>
      </c>
      <c r="BJ335">
        <v>0.08</v>
      </c>
      <c r="BK335">
        <v>5.55</v>
      </c>
      <c r="BL335">
        <v>0</v>
      </c>
      <c r="BM335">
        <v>2.23</v>
      </c>
      <c r="BN335">
        <v>0.21</v>
      </c>
      <c r="BO335">
        <v>0.46</v>
      </c>
      <c r="BP335">
        <v>1.56</v>
      </c>
      <c r="BQ335">
        <v>1.34</v>
      </c>
      <c r="BR335">
        <v>0.12</v>
      </c>
      <c r="BS335">
        <v>0.11</v>
      </c>
      <c r="BT335">
        <v>0</v>
      </c>
      <c r="BU335">
        <v>6.72</v>
      </c>
      <c r="BV335">
        <v>5.66</v>
      </c>
      <c r="BW335">
        <v>0.34</v>
      </c>
      <c r="BX335">
        <v>0.72</v>
      </c>
      <c r="BY335">
        <v>0</v>
      </c>
      <c r="BZ335">
        <v>0.08</v>
      </c>
      <c r="CA335">
        <v>5.58</v>
      </c>
      <c r="CB335">
        <v>0</v>
      </c>
      <c r="CC335">
        <f t="shared" si="10"/>
        <v>2.75</v>
      </c>
      <c r="CD335">
        <v>3.96</v>
      </c>
      <c r="CE335">
        <v>0.34230769230769231</v>
      </c>
      <c r="CF335">
        <v>0.44500000000000001</v>
      </c>
      <c r="CG335">
        <v>0.1492537313432836</v>
      </c>
      <c r="CH335">
        <v>8.7062937062937065E-2</v>
      </c>
      <c r="CI335">
        <v>0</v>
      </c>
      <c r="CJ335">
        <v>16217</v>
      </c>
      <c r="CK335" t="s">
        <v>141</v>
      </c>
      <c r="CL335" t="s">
        <v>845</v>
      </c>
      <c r="CM335" t="s">
        <v>143</v>
      </c>
      <c r="CN335">
        <v>1.0591809847</v>
      </c>
      <c r="CO335">
        <v>19.769525370845908</v>
      </c>
      <c r="CP335">
        <v>334</v>
      </c>
      <c r="CQ335" t="s">
        <v>1657</v>
      </c>
      <c r="CR335">
        <v>49</v>
      </c>
      <c r="CS335" t="s">
        <v>1558</v>
      </c>
      <c r="CT335" t="s">
        <v>1559</v>
      </c>
      <c r="CU335" t="s">
        <v>1560</v>
      </c>
      <c r="CV335" t="s">
        <v>1561</v>
      </c>
      <c r="CW335" t="s">
        <v>1562</v>
      </c>
      <c r="CX335" t="s">
        <v>1563</v>
      </c>
      <c r="CY335" t="s">
        <v>1564</v>
      </c>
      <c r="CZ335" t="s">
        <v>1339</v>
      </c>
      <c r="DA335" t="s">
        <v>152</v>
      </c>
      <c r="DB335" t="s">
        <v>153</v>
      </c>
      <c r="DC335" t="s">
        <v>459</v>
      </c>
      <c r="DD335" t="s">
        <v>1565</v>
      </c>
      <c r="DE335">
        <v>4809</v>
      </c>
      <c r="DF335">
        <v>-111.57566799999999</v>
      </c>
      <c r="DG335">
        <v>48.433261000000002</v>
      </c>
      <c r="DH335">
        <v>3400</v>
      </c>
      <c r="DI335">
        <v>400</v>
      </c>
      <c r="DL335">
        <v>7</v>
      </c>
      <c r="DM335">
        <v>5</v>
      </c>
      <c r="DN335">
        <v>10</v>
      </c>
      <c r="DO335">
        <v>10</v>
      </c>
      <c r="DP335">
        <v>1</v>
      </c>
      <c r="DQ335">
        <v>50</v>
      </c>
      <c r="DR335" t="s">
        <v>866</v>
      </c>
      <c r="DS335" t="s">
        <v>1566</v>
      </c>
      <c r="DT335">
        <v>1.2500000000000001E-2</v>
      </c>
      <c r="DU335">
        <v>1.2500000000000001E-2</v>
      </c>
      <c r="DV335">
        <v>0.32500000000000001</v>
      </c>
      <c r="DW335">
        <v>0.32500000000000001</v>
      </c>
      <c r="DX335">
        <v>0.32500000000000001</v>
      </c>
      <c r="DY335">
        <v>40.815607614957102</v>
      </c>
      <c r="DZ335" s="4">
        <v>4.9960000000000004</v>
      </c>
      <c r="EA335" s="4" t="s">
        <v>1649</v>
      </c>
      <c r="EB335" s="4" t="s">
        <v>1650</v>
      </c>
      <c r="EC335">
        <v>5.8609999999999998</v>
      </c>
      <c r="ED335">
        <v>245</v>
      </c>
      <c r="EE335" t="s">
        <v>1656</v>
      </c>
      <c r="EF335">
        <v>0</v>
      </c>
      <c r="EH335">
        <f t="shared" si="11"/>
        <v>0.58000000000000007</v>
      </c>
      <c r="EI335">
        <v>3.38</v>
      </c>
      <c r="EJ335">
        <v>3.65</v>
      </c>
    </row>
    <row r="336" spans="1:140" x14ac:dyDescent="0.35">
      <c r="A336" s="1">
        <v>334</v>
      </c>
      <c r="B336">
        <v>-118.4741405661991</v>
      </c>
      <c r="C336">
        <v>46.845868028825493</v>
      </c>
      <c r="D336" t="s">
        <v>1658</v>
      </c>
      <c r="E336">
        <v>0.1</v>
      </c>
      <c r="F336" t="s">
        <v>306</v>
      </c>
      <c r="G336">
        <v>0.1956</v>
      </c>
      <c r="H336" t="s">
        <v>161</v>
      </c>
      <c r="I336">
        <v>-13188481</v>
      </c>
      <c r="J336">
        <v>5916952</v>
      </c>
      <c r="K336" t="s">
        <v>1433</v>
      </c>
      <c r="L336" t="s">
        <v>1659</v>
      </c>
      <c r="M336">
        <v>1</v>
      </c>
      <c r="N336">
        <v>4.9080000000000004</v>
      </c>
      <c r="O336">
        <v>4</v>
      </c>
      <c r="P336">
        <v>9</v>
      </c>
      <c r="Q336">
        <v>53</v>
      </c>
      <c r="R336">
        <v>1</v>
      </c>
      <c r="S336">
        <v>20612</v>
      </c>
      <c r="T336" t="s">
        <v>1646</v>
      </c>
      <c r="U336">
        <v>8.5625160875160873</v>
      </c>
      <c r="V336" t="s">
        <v>1433</v>
      </c>
      <c r="W336">
        <v>0.1013</v>
      </c>
      <c r="X336">
        <v>10</v>
      </c>
      <c r="Y336">
        <v>8.9</v>
      </c>
      <c r="Z336">
        <v>8.9</v>
      </c>
      <c r="AA336">
        <v>20</v>
      </c>
      <c r="AB336">
        <v>26</v>
      </c>
      <c r="AC336">
        <v>0.249</v>
      </c>
      <c r="AD336">
        <v>67</v>
      </c>
      <c r="AE336">
        <v>3.9574062301335033E-2</v>
      </c>
      <c r="AF336">
        <v>2.86</v>
      </c>
      <c r="AG336" t="s">
        <v>1646</v>
      </c>
      <c r="AH336" t="s">
        <v>1433</v>
      </c>
      <c r="AI336">
        <v>75</v>
      </c>
      <c r="AJ336">
        <v>2.5000000000000001E-2</v>
      </c>
      <c r="AK336">
        <v>25</v>
      </c>
      <c r="AL336" t="s">
        <v>1660</v>
      </c>
      <c r="AM336">
        <v>0</v>
      </c>
      <c r="AN336">
        <v>1.74</v>
      </c>
      <c r="AO336">
        <v>0.09</v>
      </c>
      <c r="AP336">
        <v>0.19</v>
      </c>
      <c r="AQ336">
        <v>1.45</v>
      </c>
      <c r="AR336">
        <v>1.35</v>
      </c>
      <c r="AS336">
        <v>0.09</v>
      </c>
      <c r="AT336">
        <v>0.01</v>
      </c>
      <c r="AU336">
        <v>0.02</v>
      </c>
      <c r="AV336">
        <v>2.75</v>
      </c>
      <c r="AW336">
        <v>1.75</v>
      </c>
      <c r="AX336">
        <v>0.21</v>
      </c>
      <c r="AY336">
        <v>0.53</v>
      </c>
      <c r="AZ336">
        <v>0</v>
      </c>
      <c r="BA336">
        <v>1.44</v>
      </c>
      <c r="BB336">
        <v>0.16</v>
      </c>
      <c r="BC336">
        <v>0.15</v>
      </c>
      <c r="BD336">
        <v>0.27</v>
      </c>
      <c r="BE336">
        <v>6.31</v>
      </c>
      <c r="BF336">
        <v>5.63</v>
      </c>
      <c r="BG336">
        <v>0.24</v>
      </c>
      <c r="BH336">
        <v>0.45</v>
      </c>
      <c r="BI336">
        <v>0</v>
      </c>
      <c r="BJ336">
        <v>0.08</v>
      </c>
      <c r="BK336">
        <v>5.55</v>
      </c>
      <c r="BL336">
        <v>0</v>
      </c>
      <c r="BM336">
        <v>2.23</v>
      </c>
      <c r="BN336">
        <v>0.21</v>
      </c>
      <c r="BO336">
        <v>0.46</v>
      </c>
      <c r="BP336">
        <v>1.56</v>
      </c>
      <c r="BQ336">
        <v>1.34</v>
      </c>
      <c r="BR336">
        <v>0.12</v>
      </c>
      <c r="BS336">
        <v>0.11</v>
      </c>
      <c r="BT336">
        <v>0</v>
      </c>
      <c r="BU336">
        <v>6.72</v>
      </c>
      <c r="BV336">
        <v>5.66</v>
      </c>
      <c r="BW336">
        <v>0.34</v>
      </c>
      <c r="BX336">
        <v>0.72</v>
      </c>
      <c r="BY336">
        <v>0</v>
      </c>
      <c r="BZ336">
        <v>0.08</v>
      </c>
      <c r="CA336">
        <v>5.58</v>
      </c>
      <c r="CB336">
        <v>0</v>
      </c>
      <c r="CC336">
        <f t="shared" si="10"/>
        <v>2.75</v>
      </c>
      <c r="CD336">
        <v>3.96</v>
      </c>
      <c r="CE336">
        <v>0.34230769230769231</v>
      </c>
      <c r="CF336">
        <v>0.44500000000000001</v>
      </c>
      <c r="CG336">
        <v>0.1492537313432836</v>
      </c>
      <c r="CH336">
        <v>8.7062937062937065E-2</v>
      </c>
      <c r="CI336">
        <v>0</v>
      </c>
      <c r="CJ336">
        <v>16263</v>
      </c>
      <c r="CK336" t="s">
        <v>141</v>
      </c>
      <c r="CL336" t="s">
        <v>845</v>
      </c>
      <c r="CM336" t="s">
        <v>143</v>
      </c>
      <c r="CN336">
        <v>2.0116759069399999</v>
      </c>
      <c r="CO336">
        <v>5.684854772601291</v>
      </c>
      <c r="CP336">
        <v>335</v>
      </c>
      <c r="CQ336" t="s">
        <v>1657</v>
      </c>
      <c r="CR336">
        <v>49</v>
      </c>
      <c r="CS336" t="s">
        <v>1558</v>
      </c>
      <c r="CT336" t="s">
        <v>1559</v>
      </c>
      <c r="CU336" t="s">
        <v>1560</v>
      </c>
      <c r="CV336" t="s">
        <v>1561</v>
      </c>
      <c r="CW336" t="s">
        <v>1562</v>
      </c>
      <c r="CX336" t="s">
        <v>1563</v>
      </c>
      <c r="CY336" t="s">
        <v>1564</v>
      </c>
      <c r="CZ336" t="s">
        <v>1339</v>
      </c>
      <c r="DA336" t="s">
        <v>152</v>
      </c>
      <c r="DB336" t="s">
        <v>153</v>
      </c>
      <c r="DC336" t="s">
        <v>459</v>
      </c>
      <c r="DD336" t="s">
        <v>1565</v>
      </c>
      <c r="DE336">
        <v>4809</v>
      </c>
      <c r="DF336">
        <v>-111.57566799999999</v>
      </c>
      <c r="DG336">
        <v>48.433261000000002</v>
      </c>
      <c r="DH336">
        <v>3400</v>
      </c>
      <c r="DI336">
        <v>400</v>
      </c>
      <c r="DL336">
        <v>7</v>
      </c>
      <c r="DM336">
        <v>5</v>
      </c>
      <c r="DN336">
        <v>10</v>
      </c>
      <c r="DO336">
        <v>10</v>
      </c>
      <c r="DP336">
        <v>1</v>
      </c>
      <c r="DQ336">
        <v>50</v>
      </c>
      <c r="DR336" t="s">
        <v>866</v>
      </c>
      <c r="DS336" t="s">
        <v>1566</v>
      </c>
      <c r="DT336">
        <v>1.2500000000000001E-2</v>
      </c>
      <c r="DU336">
        <v>1.2500000000000001E-2</v>
      </c>
      <c r="DV336">
        <v>0.32500000000000001</v>
      </c>
      <c r="DW336">
        <v>0.32500000000000001</v>
      </c>
      <c r="DX336">
        <v>0.32500000000000001</v>
      </c>
      <c r="DY336">
        <v>123.7138238567648</v>
      </c>
      <c r="DZ336" s="4">
        <v>4.9960000000000004</v>
      </c>
      <c r="EA336" s="4" t="s">
        <v>1649</v>
      </c>
      <c r="EB336" s="4" t="s">
        <v>1650</v>
      </c>
      <c r="EC336">
        <v>5.8609999999999998</v>
      </c>
      <c r="ED336">
        <v>506</v>
      </c>
      <c r="EE336" t="s">
        <v>1660</v>
      </c>
      <c r="EF336">
        <v>0</v>
      </c>
      <c r="EH336">
        <f t="shared" si="11"/>
        <v>0.58000000000000007</v>
      </c>
      <c r="EI336">
        <v>3.38</v>
      </c>
      <c r="EJ336">
        <v>3.65</v>
      </c>
    </row>
    <row r="337" spans="1:140" x14ac:dyDescent="0.35">
      <c r="A337" s="1">
        <v>335</v>
      </c>
      <c r="B337">
        <v>-116.6775099979601</v>
      </c>
      <c r="C337">
        <v>46.845868028825493</v>
      </c>
      <c r="D337" t="s">
        <v>1661</v>
      </c>
      <c r="E337">
        <v>0.1</v>
      </c>
      <c r="F337" t="s">
        <v>326</v>
      </c>
      <c r="G337">
        <v>0.1956</v>
      </c>
      <c r="H337" t="s">
        <v>161</v>
      </c>
      <c r="I337">
        <v>-12988481</v>
      </c>
      <c r="J337">
        <v>5916952</v>
      </c>
      <c r="K337" t="s">
        <v>1304</v>
      </c>
      <c r="L337" t="s">
        <v>1662</v>
      </c>
      <c r="M337">
        <v>29</v>
      </c>
      <c r="N337">
        <v>4.0810000000000004</v>
      </c>
      <c r="O337">
        <v>4</v>
      </c>
      <c r="P337">
        <v>8</v>
      </c>
      <c r="Q337">
        <v>16</v>
      </c>
      <c r="R337">
        <v>57</v>
      </c>
      <c r="S337">
        <v>39518</v>
      </c>
      <c r="T337" t="s">
        <v>1306</v>
      </c>
      <c r="U337">
        <v>5.8816805527331848</v>
      </c>
      <c r="V337" t="s">
        <v>1304</v>
      </c>
      <c r="W337">
        <v>9.5100000000000004E-2</v>
      </c>
      <c r="X337">
        <v>10</v>
      </c>
      <c r="Y337">
        <v>8.9</v>
      </c>
      <c r="Z337">
        <v>8.9</v>
      </c>
      <c r="AA337">
        <v>20</v>
      </c>
      <c r="AB337">
        <v>26</v>
      </c>
      <c r="AC337">
        <v>0.38200000000000001</v>
      </c>
      <c r="AD337">
        <v>67</v>
      </c>
      <c r="AE337">
        <v>6.0712015257469797E-2</v>
      </c>
      <c r="AF337">
        <v>2.86</v>
      </c>
      <c r="AG337" t="s">
        <v>1306</v>
      </c>
      <c r="AH337" t="s">
        <v>1304</v>
      </c>
      <c r="AI337">
        <v>38</v>
      </c>
      <c r="AJ337">
        <v>1.266666666666667E-2</v>
      </c>
      <c r="AK337">
        <v>12.66666666666667</v>
      </c>
      <c r="AL337" t="s">
        <v>1663</v>
      </c>
      <c r="AM337">
        <v>0</v>
      </c>
      <c r="AN337">
        <v>1.27</v>
      </c>
      <c r="AO337">
        <v>0.09</v>
      </c>
      <c r="AP337">
        <v>0.19</v>
      </c>
      <c r="AQ337">
        <v>0.99</v>
      </c>
      <c r="AR337">
        <v>0.93</v>
      </c>
      <c r="AS337">
        <v>0.04</v>
      </c>
      <c r="AT337">
        <v>0.01</v>
      </c>
      <c r="AU337">
        <v>0.02</v>
      </c>
      <c r="AV337">
        <v>2.2200000000000002</v>
      </c>
      <c r="AW337">
        <v>1.22</v>
      </c>
      <c r="AX337">
        <v>0.21</v>
      </c>
      <c r="AY337">
        <v>0.53</v>
      </c>
      <c r="AZ337">
        <v>0</v>
      </c>
      <c r="BA337">
        <v>0.99</v>
      </c>
      <c r="BB337">
        <v>0.08</v>
      </c>
      <c r="BC337">
        <v>0.15</v>
      </c>
      <c r="BD337">
        <v>0.27</v>
      </c>
      <c r="BE337">
        <v>6.28</v>
      </c>
      <c r="BF337">
        <v>5.59</v>
      </c>
      <c r="BG337">
        <v>0.24</v>
      </c>
      <c r="BH337">
        <v>0.45</v>
      </c>
      <c r="BI337">
        <v>0</v>
      </c>
      <c r="BJ337">
        <v>0.04</v>
      </c>
      <c r="BK337">
        <v>5.55</v>
      </c>
      <c r="BL337">
        <v>0</v>
      </c>
      <c r="BM337">
        <v>1.76</v>
      </c>
      <c r="BN337">
        <v>0.21</v>
      </c>
      <c r="BO337">
        <v>0.46</v>
      </c>
      <c r="BP337">
        <v>1.0900000000000001</v>
      </c>
      <c r="BQ337">
        <v>0.92</v>
      </c>
      <c r="BR337">
        <v>0.06</v>
      </c>
      <c r="BS337">
        <v>0.11</v>
      </c>
      <c r="BT337">
        <v>0</v>
      </c>
      <c r="BU337">
        <v>6.68</v>
      </c>
      <c r="BV337">
        <v>5.62</v>
      </c>
      <c r="BW337">
        <v>0.34</v>
      </c>
      <c r="BX337">
        <v>0.72</v>
      </c>
      <c r="BY337">
        <v>0</v>
      </c>
      <c r="BZ337">
        <v>0.04</v>
      </c>
      <c r="CA337">
        <v>5.58</v>
      </c>
      <c r="CB337">
        <v>0</v>
      </c>
      <c r="CC337">
        <f t="shared" si="10"/>
        <v>2.75</v>
      </c>
      <c r="CD337">
        <v>3.96</v>
      </c>
      <c r="CE337">
        <v>0.34230769230769231</v>
      </c>
      <c r="CF337">
        <v>0.44500000000000001</v>
      </c>
      <c r="CG337">
        <v>0.1492537313432836</v>
      </c>
      <c r="CH337">
        <v>0.13356643356643361</v>
      </c>
      <c r="CI337">
        <v>0</v>
      </c>
      <c r="CJ337">
        <v>16279</v>
      </c>
      <c r="CK337" t="s">
        <v>141</v>
      </c>
      <c r="CL337" t="s">
        <v>845</v>
      </c>
      <c r="CM337" t="s">
        <v>143</v>
      </c>
      <c r="CN337">
        <v>2.0534695444500001E-2</v>
      </c>
      <c r="CO337">
        <v>26.768446337080071</v>
      </c>
      <c r="CP337">
        <v>336</v>
      </c>
      <c r="CQ337" t="s">
        <v>908</v>
      </c>
      <c r="CR337">
        <v>49</v>
      </c>
      <c r="CS337" t="s">
        <v>1558</v>
      </c>
      <c r="CT337" t="s">
        <v>1559</v>
      </c>
      <c r="CU337" t="s">
        <v>1560</v>
      </c>
      <c r="CV337" t="s">
        <v>1561</v>
      </c>
      <c r="CW337" t="s">
        <v>1562</v>
      </c>
      <c r="CX337" t="s">
        <v>1563</v>
      </c>
      <c r="CY337" t="s">
        <v>1564</v>
      </c>
      <c r="CZ337" t="s">
        <v>1339</v>
      </c>
      <c r="DA337" t="s">
        <v>152</v>
      </c>
      <c r="DB337" t="s">
        <v>153</v>
      </c>
      <c r="DC337" t="s">
        <v>459</v>
      </c>
      <c r="DD337" t="s">
        <v>1565</v>
      </c>
      <c r="DE337">
        <v>4809</v>
      </c>
      <c r="DF337">
        <v>-111.57566799999999</v>
      </c>
      <c r="DG337">
        <v>48.433261000000002</v>
      </c>
      <c r="DH337">
        <v>3400</v>
      </c>
      <c r="DI337">
        <v>400</v>
      </c>
      <c r="DL337">
        <v>7</v>
      </c>
      <c r="DM337">
        <v>5</v>
      </c>
      <c r="DN337">
        <v>10</v>
      </c>
      <c r="DO337">
        <v>10</v>
      </c>
      <c r="DP337">
        <v>1</v>
      </c>
      <c r="DQ337">
        <v>50</v>
      </c>
      <c r="DR337" t="s">
        <v>866</v>
      </c>
      <c r="DS337" t="s">
        <v>1566</v>
      </c>
      <c r="DT337">
        <v>1.2500000000000001E-2</v>
      </c>
      <c r="DU337">
        <v>1.2500000000000001E-2</v>
      </c>
      <c r="DV337">
        <v>0.32500000000000001</v>
      </c>
      <c r="DW337">
        <v>0.32500000000000001</v>
      </c>
      <c r="DX337">
        <v>0.32500000000000001</v>
      </c>
      <c r="DY337">
        <v>234.32674705751009</v>
      </c>
      <c r="DZ337" s="4">
        <v>4.016</v>
      </c>
      <c r="EA337" s="4" t="s">
        <v>1309</v>
      </c>
      <c r="EB337" s="4" t="s">
        <v>1310</v>
      </c>
      <c r="EC337">
        <v>4.6689999999999996</v>
      </c>
      <c r="ED337">
        <v>783</v>
      </c>
      <c r="EE337" t="s">
        <v>1663</v>
      </c>
      <c r="EF337">
        <v>0</v>
      </c>
      <c r="EH337">
        <f t="shared" si="11"/>
        <v>0.58000000000000007</v>
      </c>
      <c r="EI337">
        <v>3.38</v>
      </c>
      <c r="EJ337">
        <v>3.65</v>
      </c>
    </row>
    <row r="338" spans="1:140" x14ac:dyDescent="0.35">
      <c r="A338" s="1">
        <v>336</v>
      </c>
      <c r="B338">
        <v>-114.88087942972101</v>
      </c>
      <c r="C338">
        <v>46.845868028825493</v>
      </c>
      <c r="D338" t="s">
        <v>1664</v>
      </c>
      <c r="E338">
        <v>0.1</v>
      </c>
      <c r="F338" t="s">
        <v>306</v>
      </c>
      <c r="G338">
        <v>0.1956</v>
      </c>
      <c r="H338" t="s">
        <v>161</v>
      </c>
      <c r="I338">
        <v>-12788481</v>
      </c>
      <c r="J338">
        <v>5916952</v>
      </c>
      <c r="K338" t="s">
        <v>1578</v>
      </c>
      <c r="L338" t="s">
        <v>946</v>
      </c>
      <c r="M338">
        <v>31</v>
      </c>
      <c r="N338">
        <v>4.0620000000000003</v>
      </c>
      <c r="O338">
        <v>4</v>
      </c>
      <c r="P338">
        <v>8</v>
      </c>
      <c r="Q338">
        <v>30</v>
      </c>
      <c r="R338">
        <v>61</v>
      </c>
      <c r="S338">
        <v>4529</v>
      </c>
      <c r="T338" t="s">
        <v>1560</v>
      </c>
      <c r="U338">
        <v>7.1869284698232052</v>
      </c>
      <c r="V338" t="s">
        <v>1578</v>
      </c>
      <c r="W338">
        <v>0.10829999999999999</v>
      </c>
      <c r="X338">
        <v>10</v>
      </c>
      <c r="Y338">
        <v>8.9</v>
      </c>
      <c r="Z338">
        <v>8.9</v>
      </c>
      <c r="AA338">
        <v>20</v>
      </c>
      <c r="AB338">
        <v>26</v>
      </c>
      <c r="AC338">
        <v>0.96899999999999997</v>
      </c>
      <c r="AD338">
        <v>67</v>
      </c>
      <c r="AE338">
        <v>0.15400508582326761</v>
      </c>
      <c r="AF338">
        <v>2.86</v>
      </c>
      <c r="AG338" t="s">
        <v>1560</v>
      </c>
      <c r="AH338" t="s">
        <v>1578</v>
      </c>
      <c r="AI338">
        <v>38</v>
      </c>
      <c r="AJ338">
        <v>1.266666666666667E-2</v>
      </c>
      <c r="AK338">
        <v>12.66666666666667</v>
      </c>
      <c r="AL338" t="s">
        <v>1576</v>
      </c>
      <c r="AM338">
        <v>27963.112444415809</v>
      </c>
      <c r="AN338">
        <v>1.48</v>
      </c>
      <c r="AO338">
        <v>0.09</v>
      </c>
      <c r="AP338">
        <v>0.19</v>
      </c>
      <c r="AQ338">
        <v>1.19</v>
      </c>
      <c r="AR338">
        <v>1.1399999999999999</v>
      </c>
      <c r="AS338">
        <v>0.04</v>
      </c>
      <c r="AT338">
        <v>0.01</v>
      </c>
      <c r="AU338">
        <v>0.02</v>
      </c>
      <c r="AV338">
        <v>2.4500000000000002</v>
      </c>
      <c r="AW338">
        <v>1.45</v>
      </c>
      <c r="AX338">
        <v>0.21</v>
      </c>
      <c r="AY338">
        <v>0.53</v>
      </c>
      <c r="AZ338">
        <v>0</v>
      </c>
      <c r="BA338">
        <v>1.21</v>
      </c>
      <c r="BB338">
        <v>0.08</v>
      </c>
      <c r="BC338">
        <v>0.17</v>
      </c>
      <c r="BD338">
        <v>0.27</v>
      </c>
      <c r="BE338">
        <v>6.83</v>
      </c>
      <c r="BF338">
        <v>6.14</v>
      </c>
      <c r="BG338">
        <v>0.24</v>
      </c>
      <c r="BH338">
        <v>0.45</v>
      </c>
      <c r="BI338">
        <v>0</v>
      </c>
      <c r="BJ338">
        <v>0.04</v>
      </c>
      <c r="BK338">
        <v>6.1</v>
      </c>
      <c r="BL338">
        <v>0</v>
      </c>
      <c r="BM338">
        <v>1.97</v>
      </c>
      <c r="BN338">
        <v>0.21</v>
      </c>
      <c r="BO338">
        <v>0.46</v>
      </c>
      <c r="BP338">
        <v>1.3</v>
      </c>
      <c r="BQ338">
        <v>1.1200000000000001</v>
      </c>
      <c r="BR338">
        <v>0.06</v>
      </c>
      <c r="BS338">
        <v>0.12</v>
      </c>
      <c r="BT338">
        <v>0</v>
      </c>
      <c r="BU338">
        <v>7.24</v>
      </c>
      <c r="BV338">
        <v>6.18</v>
      </c>
      <c r="BW338">
        <v>0.34</v>
      </c>
      <c r="BX338">
        <v>0.72</v>
      </c>
      <c r="BY338">
        <v>0</v>
      </c>
      <c r="BZ338">
        <v>0.04</v>
      </c>
      <c r="CA338">
        <v>6.14</v>
      </c>
      <c r="CB338">
        <v>0</v>
      </c>
      <c r="CC338">
        <f t="shared" si="10"/>
        <v>2.75</v>
      </c>
      <c r="CD338">
        <v>3.96</v>
      </c>
      <c r="CE338">
        <v>0.34230769230769231</v>
      </c>
      <c r="CF338">
        <v>0.44500000000000001</v>
      </c>
      <c r="CG338">
        <v>0.1492537313432836</v>
      </c>
      <c r="CH338">
        <v>0.33881118881118882</v>
      </c>
      <c r="CI338">
        <v>0</v>
      </c>
      <c r="CJ338">
        <v>16075</v>
      </c>
      <c r="CK338" t="s">
        <v>169</v>
      </c>
      <c r="CL338" t="s">
        <v>1467</v>
      </c>
      <c r="CM338" t="s">
        <v>143</v>
      </c>
      <c r="CN338">
        <v>0.38298798072700002</v>
      </c>
      <c r="CO338">
        <v>48.671694740800383</v>
      </c>
      <c r="CP338">
        <v>337</v>
      </c>
      <c r="CQ338" t="s">
        <v>908</v>
      </c>
      <c r="CR338">
        <v>49</v>
      </c>
      <c r="CS338" t="s">
        <v>1558</v>
      </c>
      <c r="CT338" t="s">
        <v>1559</v>
      </c>
      <c r="CU338" t="s">
        <v>1560</v>
      </c>
      <c r="CV338" t="s">
        <v>1561</v>
      </c>
      <c r="CW338" t="s">
        <v>1562</v>
      </c>
      <c r="CX338" t="s">
        <v>1563</v>
      </c>
      <c r="CY338" t="s">
        <v>1564</v>
      </c>
      <c r="CZ338" t="s">
        <v>1339</v>
      </c>
      <c r="DA338" t="s">
        <v>152</v>
      </c>
      <c r="DB338" t="s">
        <v>153</v>
      </c>
      <c r="DC338" t="s">
        <v>459</v>
      </c>
      <c r="DD338" t="s">
        <v>1565</v>
      </c>
      <c r="DE338">
        <v>4809</v>
      </c>
      <c r="DF338">
        <v>-111.57566799999999</v>
      </c>
      <c r="DG338">
        <v>48.433261000000002</v>
      </c>
      <c r="DH338">
        <v>3400</v>
      </c>
      <c r="DI338">
        <v>400</v>
      </c>
      <c r="DL338">
        <v>7</v>
      </c>
      <c r="DM338">
        <v>5</v>
      </c>
      <c r="DN338">
        <v>10</v>
      </c>
      <c r="DO338">
        <v>10</v>
      </c>
      <c r="DP338">
        <v>1</v>
      </c>
      <c r="DQ338">
        <v>50</v>
      </c>
      <c r="DR338" t="s">
        <v>866</v>
      </c>
      <c r="DS338" t="s">
        <v>1566</v>
      </c>
      <c r="DT338">
        <v>1.2500000000000001E-2</v>
      </c>
      <c r="DU338">
        <v>1.2500000000000001E-2</v>
      </c>
      <c r="DV338">
        <v>0.32500000000000001</v>
      </c>
      <c r="DW338">
        <v>0.32500000000000001</v>
      </c>
      <c r="DX338">
        <v>0.32500000000000001</v>
      </c>
      <c r="DY338">
        <v>112.06224315172049</v>
      </c>
      <c r="DZ338" s="4">
        <v>3.9159999999999999</v>
      </c>
      <c r="EA338" s="4" t="s">
        <v>1581</v>
      </c>
      <c r="EB338" s="4" t="s">
        <v>1582</v>
      </c>
      <c r="EC338">
        <v>4.3879999999999999</v>
      </c>
      <c r="ED338">
        <v>416</v>
      </c>
      <c r="EE338" t="s">
        <v>1576</v>
      </c>
      <c r="EF338">
        <v>0.22827707487542301</v>
      </c>
      <c r="EH338">
        <f t="shared" si="11"/>
        <v>0.58000000000000007</v>
      </c>
      <c r="EI338">
        <v>3.38</v>
      </c>
      <c r="EJ338">
        <v>3.65</v>
      </c>
    </row>
    <row r="339" spans="1:140" x14ac:dyDescent="0.35">
      <c r="A339" s="1">
        <v>337</v>
      </c>
      <c r="B339">
        <v>-113.084248861482</v>
      </c>
      <c r="C339">
        <v>46.845868028825493</v>
      </c>
      <c r="D339" t="s">
        <v>1665</v>
      </c>
      <c r="E339">
        <v>0.1</v>
      </c>
      <c r="F339" t="s">
        <v>135</v>
      </c>
      <c r="G339">
        <v>0.1956</v>
      </c>
      <c r="H339" t="s">
        <v>161</v>
      </c>
      <c r="I339">
        <v>-12588481</v>
      </c>
      <c r="J339">
        <v>5916952</v>
      </c>
      <c r="K339" t="s">
        <v>1578</v>
      </c>
      <c r="L339" t="s">
        <v>1666</v>
      </c>
      <c r="M339">
        <v>39</v>
      </c>
      <c r="N339">
        <v>3.9089999999999998</v>
      </c>
      <c r="O339">
        <v>4</v>
      </c>
      <c r="P339">
        <v>8</v>
      </c>
      <c r="Q339">
        <v>30</v>
      </c>
      <c r="R339">
        <v>77</v>
      </c>
      <c r="S339">
        <v>6944</v>
      </c>
      <c r="T339" t="s">
        <v>1560</v>
      </c>
      <c r="U339">
        <v>7.1869284698232052</v>
      </c>
      <c r="V339" t="s">
        <v>1578</v>
      </c>
      <c r="W339">
        <v>0.10829999999999999</v>
      </c>
      <c r="X339">
        <v>10</v>
      </c>
      <c r="Y339">
        <v>8.9</v>
      </c>
      <c r="Z339">
        <v>8.9</v>
      </c>
      <c r="AA339">
        <v>20</v>
      </c>
      <c r="AB339">
        <v>26</v>
      </c>
      <c r="AC339">
        <v>0.96899999999999997</v>
      </c>
      <c r="AD339">
        <v>67</v>
      </c>
      <c r="AE339">
        <v>0.15400508582326761</v>
      </c>
      <c r="AF339">
        <v>2.86</v>
      </c>
      <c r="AG339" t="s">
        <v>1560</v>
      </c>
      <c r="AH339" t="s">
        <v>1578</v>
      </c>
      <c r="AI339">
        <v>38</v>
      </c>
      <c r="AJ339">
        <v>1.266666666666667E-2</v>
      </c>
      <c r="AK339">
        <v>12.66666666666667</v>
      </c>
      <c r="AL339" t="s">
        <v>1576</v>
      </c>
      <c r="AM339">
        <v>24343.385566856341</v>
      </c>
      <c r="AN339">
        <v>1.48</v>
      </c>
      <c r="AO339">
        <v>0.09</v>
      </c>
      <c r="AP339">
        <v>0.19</v>
      </c>
      <c r="AQ339">
        <v>1.19</v>
      </c>
      <c r="AR339">
        <v>1.1399999999999999</v>
      </c>
      <c r="AS339">
        <v>0.04</v>
      </c>
      <c r="AT339">
        <v>0.01</v>
      </c>
      <c r="AU339">
        <v>0.02</v>
      </c>
      <c r="AV339">
        <v>2.4500000000000002</v>
      </c>
      <c r="AW339">
        <v>1.45</v>
      </c>
      <c r="AX339">
        <v>0.21</v>
      </c>
      <c r="AY339">
        <v>0.53</v>
      </c>
      <c r="AZ339">
        <v>0</v>
      </c>
      <c r="BA339">
        <v>1.21</v>
      </c>
      <c r="BB339">
        <v>0.08</v>
      </c>
      <c r="BC339">
        <v>0.17</v>
      </c>
      <c r="BD339">
        <v>0.27</v>
      </c>
      <c r="BE339">
        <v>6.83</v>
      </c>
      <c r="BF339">
        <v>6.14</v>
      </c>
      <c r="BG339">
        <v>0.24</v>
      </c>
      <c r="BH339">
        <v>0.45</v>
      </c>
      <c r="BI339">
        <v>0</v>
      </c>
      <c r="BJ339">
        <v>0.04</v>
      </c>
      <c r="BK339">
        <v>6.1</v>
      </c>
      <c r="BL339">
        <v>0</v>
      </c>
      <c r="BM339">
        <v>1.97</v>
      </c>
      <c r="BN339">
        <v>0.21</v>
      </c>
      <c r="BO339">
        <v>0.46</v>
      </c>
      <c r="BP339">
        <v>1.3</v>
      </c>
      <c r="BQ339">
        <v>1.1200000000000001</v>
      </c>
      <c r="BR339">
        <v>0.06</v>
      </c>
      <c r="BS339">
        <v>0.12</v>
      </c>
      <c r="BT339">
        <v>0</v>
      </c>
      <c r="BU339">
        <v>7.24</v>
      </c>
      <c r="BV339">
        <v>6.18</v>
      </c>
      <c r="BW339">
        <v>0.34</v>
      </c>
      <c r="BX339">
        <v>0.72</v>
      </c>
      <c r="BY339">
        <v>0</v>
      </c>
      <c r="BZ339">
        <v>0.04</v>
      </c>
      <c r="CA339">
        <v>6.14</v>
      </c>
      <c r="CB339">
        <v>0</v>
      </c>
      <c r="CC339">
        <f t="shared" si="10"/>
        <v>2.75</v>
      </c>
      <c r="CD339">
        <v>3.96</v>
      </c>
      <c r="CE339">
        <v>0.34230769230769231</v>
      </c>
      <c r="CF339">
        <v>0.44500000000000001</v>
      </c>
      <c r="CG339">
        <v>0.1492537313432836</v>
      </c>
      <c r="CH339">
        <v>0.33881118881118882</v>
      </c>
      <c r="CI339">
        <v>0</v>
      </c>
      <c r="CJ339">
        <v>16080</v>
      </c>
      <c r="CK339" t="s">
        <v>169</v>
      </c>
      <c r="CL339" t="s">
        <v>1467</v>
      </c>
      <c r="CM339" t="s">
        <v>143</v>
      </c>
      <c r="CN339">
        <v>0.417533722946</v>
      </c>
      <c r="CO339">
        <v>18.641961624776549</v>
      </c>
      <c r="CP339">
        <v>338</v>
      </c>
      <c r="CQ339" t="s">
        <v>908</v>
      </c>
      <c r="CR339">
        <v>49</v>
      </c>
      <c r="CS339" t="s">
        <v>1558</v>
      </c>
      <c r="CT339" t="s">
        <v>1559</v>
      </c>
      <c r="CU339" t="s">
        <v>1560</v>
      </c>
      <c r="CV339" t="s">
        <v>1561</v>
      </c>
      <c r="CW339" t="s">
        <v>1562</v>
      </c>
      <c r="CX339" t="s">
        <v>1563</v>
      </c>
      <c r="CY339" t="s">
        <v>1564</v>
      </c>
      <c r="CZ339" t="s">
        <v>1339</v>
      </c>
      <c r="DA339" t="s">
        <v>152</v>
      </c>
      <c r="DB339" t="s">
        <v>153</v>
      </c>
      <c r="DC339" t="s">
        <v>459</v>
      </c>
      <c r="DD339" t="s">
        <v>1565</v>
      </c>
      <c r="DE339">
        <v>4809</v>
      </c>
      <c r="DF339">
        <v>-111.57566799999999</v>
      </c>
      <c r="DG339">
        <v>48.433261000000002</v>
      </c>
      <c r="DH339">
        <v>3400</v>
      </c>
      <c r="DI339">
        <v>400</v>
      </c>
      <c r="DL339">
        <v>7</v>
      </c>
      <c r="DM339">
        <v>5</v>
      </c>
      <c r="DN339">
        <v>10</v>
      </c>
      <c r="DO339">
        <v>10</v>
      </c>
      <c r="DP339">
        <v>1</v>
      </c>
      <c r="DQ339">
        <v>50</v>
      </c>
      <c r="DR339" t="s">
        <v>866</v>
      </c>
      <c r="DS339" t="s">
        <v>1566</v>
      </c>
      <c r="DT339">
        <v>1.2500000000000001E-2</v>
      </c>
      <c r="DU339">
        <v>1.2500000000000001E-2</v>
      </c>
      <c r="DV339">
        <v>0.32500000000000001</v>
      </c>
      <c r="DW339">
        <v>0.32500000000000001</v>
      </c>
      <c r="DX339">
        <v>0.32500000000000001</v>
      </c>
      <c r="DY339">
        <v>1.1099518078112709</v>
      </c>
      <c r="DZ339" s="4">
        <v>3.9159999999999999</v>
      </c>
      <c r="EA339" s="4" t="s">
        <v>1581</v>
      </c>
      <c r="EB339" s="4" t="s">
        <v>1582</v>
      </c>
      <c r="EC339">
        <v>4.3879999999999999</v>
      </c>
      <c r="ED339">
        <v>416</v>
      </c>
      <c r="EE339" t="s">
        <v>1576</v>
      </c>
      <c r="EF339">
        <v>0.21868016544464569</v>
      </c>
      <c r="EH339">
        <f t="shared" si="11"/>
        <v>0.58000000000000007</v>
      </c>
      <c r="EI339">
        <v>3.38</v>
      </c>
      <c r="EJ339">
        <v>3.65</v>
      </c>
    </row>
    <row r="340" spans="1:140" x14ac:dyDescent="0.35">
      <c r="A340" s="1">
        <v>338</v>
      </c>
      <c r="B340">
        <v>-111.2876182932429</v>
      </c>
      <c r="C340">
        <v>46.845868028825493</v>
      </c>
      <c r="D340" t="s">
        <v>1667</v>
      </c>
      <c r="E340">
        <v>0.02</v>
      </c>
      <c r="F340" t="s">
        <v>160</v>
      </c>
      <c r="G340">
        <v>0.1956</v>
      </c>
      <c r="H340" t="s">
        <v>161</v>
      </c>
      <c r="I340">
        <v>-12388481</v>
      </c>
      <c r="J340">
        <v>5916952</v>
      </c>
      <c r="K340" t="s">
        <v>1578</v>
      </c>
      <c r="L340" t="s">
        <v>1668</v>
      </c>
      <c r="M340">
        <v>30</v>
      </c>
      <c r="N340">
        <v>3.964</v>
      </c>
      <c r="O340">
        <v>4</v>
      </c>
      <c r="P340">
        <v>8</v>
      </c>
      <c r="Q340">
        <v>30</v>
      </c>
      <c r="R340">
        <v>59</v>
      </c>
      <c r="S340">
        <v>1926</v>
      </c>
      <c r="T340" t="s">
        <v>1560</v>
      </c>
      <c r="U340">
        <v>7.1869284698232052</v>
      </c>
      <c r="V340" t="s">
        <v>1578</v>
      </c>
      <c r="W340">
        <v>0.10829999999999999</v>
      </c>
      <c r="X340">
        <v>10</v>
      </c>
      <c r="Y340">
        <v>8.9</v>
      </c>
      <c r="Z340">
        <v>8.9</v>
      </c>
      <c r="AA340">
        <v>20</v>
      </c>
      <c r="AB340">
        <v>26</v>
      </c>
      <c r="AC340">
        <v>0.96899999999999997</v>
      </c>
      <c r="AD340">
        <v>67</v>
      </c>
      <c r="AE340">
        <v>0.15400508582326761</v>
      </c>
      <c r="AF340">
        <v>2.86</v>
      </c>
      <c r="AG340" t="s">
        <v>1560</v>
      </c>
      <c r="AH340" t="s">
        <v>1578</v>
      </c>
      <c r="AI340">
        <v>38</v>
      </c>
      <c r="AJ340">
        <v>1.266666666666667E-2</v>
      </c>
      <c r="AK340">
        <v>12.66666666666667</v>
      </c>
      <c r="AL340" t="s">
        <v>1669</v>
      </c>
      <c r="AM340">
        <v>24827.92589384444</v>
      </c>
      <c r="AN340">
        <v>1.48</v>
      </c>
      <c r="AO340">
        <v>0.09</v>
      </c>
      <c r="AP340">
        <v>0.19</v>
      </c>
      <c r="AQ340">
        <v>1.19</v>
      </c>
      <c r="AR340">
        <v>1.1399999999999999</v>
      </c>
      <c r="AS340">
        <v>0.04</v>
      </c>
      <c r="AT340">
        <v>0.01</v>
      </c>
      <c r="AU340">
        <v>0.02</v>
      </c>
      <c r="AV340">
        <v>2.4500000000000002</v>
      </c>
      <c r="AW340">
        <v>1.45</v>
      </c>
      <c r="AX340">
        <v>0.21</v>
      </c>
      <c r="AY340">
        <v>0.53</v>
      </c>
      <c r="AZ340">
        <v>0</v>
      </c>
      <c r="BA340">
        <v>1.21</v>
      </c>
      <c r="BB340">
        <v>0.08</v>
      </c>
      <c r="BC340">
        <v>0.17</v>
      </c>
      <c r="BD340">
        <v>0.27</v>
      </c>
      <c r="BE340">
        <v>6.83</v>
      </c>
      <c r="BF340">
        <v>6.14</v>
      </c>
      <c r="BG340">
        <v>0.24</v>
      </c>
      <c r="BH340">
        <v>0.45</v>
      </c>
      <c r="BI340">
        <v>0</v>
      </c>
      <c r="BJ340">
        <v>0.04</v>
      </c>
      <c r="BK340">
        <v>6.1</v>
      </c>
      <c r="BL340">
        <v>0</v>
      </c>
      <c r="BM340">
        <v>1.97</v>
      </c>
      <c r="BN340">
        <v>0.21</v>
      </c>
      <c r="BO340">
        <v>0.46</v>
      </c>
      <c r="BP340">
        <v>1.3</v>
      </c>
      <c r="BQ340">
        <v>1.1200000000000001</v>
      </c>
      <c r="BR340">
        <v>0.06</v>
      </c>
      <c r="BS340">
        <v>0.12</v>
      </c>
      <c r="BT340">
        <v>0</v>
      </c>
      <c r="BU340">
        <v>7.24</v>
      </c>
      <c r="BV340">
        <v>6.18</v>
      </c>
      <c r="BW340">
        <v>0.34</v>
      </c>
      <c r="BX340">
        <v>0.72</v>
      </c>
      <c r="BY340">
        <v>0</v>
      </c>
      <c r="BZ340">
        <v>0.04</v>
      </c>
      <c r="CA340">
        <v>6.14</v>
      </c>
      <c r="CB340">
        <v>0</v>
      </c>
      <c r="CC340">
        <f t="shared" si="10"/>
        <v>2.75</v>
      </c>
      <c r="CD340">
        <v>3.96</v>
      </c>
      <c r="CE340">
        <v>0.34230769230769231</v>
      </c>
      <c r="CF340">
        <v>0.44500000000000001</v>
      </c>
      <c r="CG340">
        <v>0.1492537313432836</v>
      </c>
      <c r="CH340">
        <v>0.33881118881118882</v>
      </c>
      <c r="CI340">
        <v>0</v>
      </c>
      <c r="CJ340">
        <v>16066</v>
      </c>
      <c r="CK340" t="s">
        <v>169</v>
      </c>
      <c r="CL340" t="s">
        <v>1467</v>
      </c>
      <c r="CM340" t="s">
        <v>143</v>
      </c>
      <c r="CN340">
        <v>0.16345260152300001</v>
      </c>
      <c r="CO340">
        <v>50.495050299721861</v>
      </c>
      <c r="CP340">
        <v>339</v>
      </c>
      <c r="CQ340" t="s">
        <v>908</v>
      </c>
      <c r="CR340">
        <v>49</v>
      </c>
      <c r="CS340" t="s">
        <v>1558</v>
      </c>
      <c r="CT340" t="s">
        <v>1559</v>
      </c>
      <c r="CU340" t="s">
        <v>1560</v>
      </c>
      <c r="CV340" t="s">
        <v>1561</v>
      </c>
      <c r="CW340" t="s">
        <v>1562</v>
      </c>
      <c r="CX340" t="s">
        <v>1563</v>
      </c>
      <c r="CY340" t="s">
        <v>1564</v>
      </c>
      <c r="CZ340" t="s">
        <v>1339</v>
      </c>
      <c r="DA340" t="s">
        <v>152</v>
      </c>
      <c r="DB340" t="s">
        <v>153</v>
      </c>
      <c r="DC340" t="s">
        <v>459</v>
      </c>
      <c r="DD340" t="s">
        <v>1565</v>
      </c>
      <c r="DE340">
        <v>4809</v>
      </c>
      <c r="DF340">
        <v>-111.57566799999999</v>
      </c>
      <c r="DG340">
        <v>48.433261000000002</v>
      </c>
      <c r="DH340">
        <v>3400</v>
      </c>
      <c r="DI340">
        <v>400</v>
      </c>
      <c r="DL340">
        <v>7</v>
      </c>
      <c r="DM340">
        <v>5</v>
      </c>
      <c r="DN340">
        <v>10</v>
      </c>
      <c r="DO340">
        <v>10</v>
      </c>
      <c r="DP340">
        <v>1</v>
      </c>
      <c r="DQ340">
        <v>50</v>
      </c>
      <c r="DR340" t="s">
        <v>866</v>
      </c>
      <c r="DS340" t="s">
        <v>1566</v>
      </c>
      <c r="DT340">
        <v>1.2500000000000001E-2</v>
      </c>
      <c r="DU340">
        <v>1.2500000000000001E-2</v>
      </c>
      <c r="DV340">
        <v>0.32500000000000001</v>
      </c>
      <c r="DW340">
        <v>0.32500000000000001</v>
      </c>
      <c r="DX340">
        <v>0.32500000000000001</v>
      </c>
      <c r="DY340">
        <v>0</v>
      </c>
      <c r="DZ340" s="4">
        <v>3.9159999999999999</v>
      </c>
      <c r="EA340" s="4" t="s">
        <v>1581</v>
      </c>
      <c r="EB340" s="4" t="s">
        <v>1582</v>
      </c>
      <c r="EC340">
        <v>4.3879999999999999</v>
      </c>
      <c r="ED340">
        <v>89</v>
      </c>
      <c r="EE340" t="s">
        <v>1670</v>
      </c>
      <c r="EF340">
        <v>0.15515587286698551</v>
      </c>
      <c r="EH340">
        <f t="shared" si="11"/>
        <v>0.58000000000000007</v>
      </c>
      <c r="EI340">
        <v>3.38</v>
      </c>
      <c r="EJ340">
        <v>3.65</v>
      </c>
    </row>
    <row r="341" spans="1:140" x14ac:dyDescent="0.35">
      <c r="A341" s="1">
        <v>339</v>
      </c>
      <c r="B341">
        <v>-109.4909877250039</v>
      </c>
      <c r="C341">
        <v>46.845868028825493</v>
      </c>
      <c r="D341" t="s">
        <v>1671</v>
      </c>
      <c r="E341">
        <v>0.02</v>
      </c>
      <c r="F341" t="s">
        <v>160</v>
      </c>
      <c r="G341">
        <v>7.9399999999999998E-2</v>
      </c>
      <c r="H341" t="s">
        <v>161</v>
      </c>
      <c r="I341">
        <v>-12188481</v>
      </c>
      <c r="J341">
        <v>5916952</v>
      </c>
      <c r="K341" t="s">
        <v>1578</v>
      </c>
      <c r="L341" t="s">
        <v>1672</v>
      </c>
      <c r="M341">
        <v>14</v>
      </c>
      <c r="N341">
        <v>3.9550000000000001</v>
      </c>
      <c r="O341">
        <v>4</v>
      </c>
      <c r="P341">
        <v>8</v>
      </c>
      <c r="Q341">
        <v>30</v>
      </c>
      <c r="R341">
        <v>27</v>
      </c>
      <c r="S341">
        <v>11443</v>
      </c>
      <c r="T341" t="s">
        <v>1560</v>
      </c>
      <c r="U341">
        <v>7.1869284698232052</v>
      </c>
      <c r="V341" t="s">
        <v>1578</v>
      </c>
      <c r="W341">
        <v>0.10829999999999999</v>
      </c>
      <c r="X341">
        <v>10</v>
      </c>
      <c r="Y341">
        <v>8.9</v>
      </c>
      <c r="Z341">
        <v>8.9</v>
      </c>
      <c r="AA341">
        <v>20</v>
      </c>
      <c r="AB341">
        <v>26</v>
      </c>
      <c r="AC341">
        <v>0.96899999999999997</v>
      </c>
      <c r="AD341">
        <v>67</v>
      </c>
      <c r="AE341">
        <v>0.15400508582326761</v>
      </c>
      <c r="AF341">
        <v>2.86</v>
      </c>
      <c r="AG341" t="s">
        <v>1560</v>
      </c>
      <c r="AH341" t="s">
        <v>1578</v>
      </c>
      <c r="AI341">
        <v>38</v>
      </c>
      <c r="AJ341">
        <v>1.266666666666667E-2</v>
      </c>
      <c r="AK341">
        <v>12.66666666666667</v>
      </c>
      <c r="AL341" t="s">
        <v>1593</v>
      </c>
      <c r="AM341">
        <v>19094.494240341399</v>
      </c>
      <c r="AN341">
        <v>1.48</v>
      </c>
      <c r="AO341">
        <v>0.09</v>
      </c>
      <c r="AP341">
        <v>0.19</v>
      </c>
      <c r="AQ341">
        <v>1.19</v>
      </c>
      <c r="AR341">
        <v>1.1399999999999999</v>
      </c>
      <c r="AS341">
        <v>0.04</v>
      </c>
      <c r="AT341">
        <v>0.01</v>
      </c>
      <c r="AU341">
        <v>0.02</v>
      </c>
      <c r="AV341">
        <v>2.4500000000000002</v>
      </c>
      <c r="AW341">
        <v>1.45</v>
      </c>
      <c r="AX341">
        <v>0.21</v>
      </c>
      <c r="AY341">
        <v>0.53</v>
      </c>
      <c r="AZ341">
        <v>0</v>
      </c>
      <c r="BA341">
        <v>1.21</v>
      </c>
      <c r="BB341">
        <v>0.08</v>
      </c>
      <c r="BC341">
        <v>0.17</v>
      </c>
      <c r="BD341">
        <v>0.27</v>
      </c>
      <c r="BE341">
        <v>6.83</v>
      </c>
      <c r="BF341">
        <v>6.14</v>
      </c>
      <c r="BG341">
        <v>0.24</v>
      </c>
      <c r="BH341">
        <v>0.45</v>
      </c>
      <c r="BI341">
        <v>0</v>
      </c>
      <c r="BJ341">
        <v>0.04</v>
      </c>
      <c r="BK341">
        <v>6.1</v>
      </c>
      <c r="BL341">
        <v>0</v>
      </c>
      <c r="BM341">
        <v>1.97</v>
      </c>
      <c r="BN341">
        <v>0.21</v>
      </c>
      <c r="BO341">
        <v>0.46</v>
      </c>
      <c r="BP341">
        <v>1.3</v>
      </c>
      <c r="BQ341">
        <v>1.1200000000000001</v>
      </c>
      <c r="BR341">
        <v>0.06</v>
      </c>
      <c r="BS341">
        <v>0.12</v>
      </c>
      <c r="BT341">
        <v>0</v>
      </c>
      <c r="BU341">
        <v>7.24</v>
      </c>
      <c r="BV341">
        <v>6.18</v>
      </c>
      <c r="BW341">
        <v>0.34</v>
      </c>
      <c r="BX341">
        <v>0.72</v>
      </c>
      <c r="BY341">
        <v>0</v>
      </c>
      <c r="BZ341">
        <v>0.04</v>
      </c>
      <c r="CA341">
        <v>6.14</v>
      </c>
      <c r="CB341">
        <v>0</v>
      </c>
      <c r="CC341">
        <f t="shared" si="10"/>
        <v>2.75</v>
      </c>
      <c r="CD341">
        <v>3.96</v>
      </c>
      <c r="CE341">
        <v>0.34230769230769231</v>
      </c>
      <c r="CF341">
        <v>0.44500000000000001</v>
      </c>
      <c r="CG341">
        <v>0.1492537313432836</v>
      </c>
      <c r="CH341">
        <v>0.33881118881118882</v>
      </c>
      <c r="CI341">
        <v>0</v>
      </c>
      <c r="CJ341">
        <v>19849</v>
      </c>
      <c r="CK341" t="s">
        <v>169</v>
      </c>
      <c r="CL341" t="s">
        <v>1467</v>
      </c>
      <c r="CM341" t="s">
        <v>143</v>
      </c>
      <c r="CN341">
        <v>0.51328206574900004</v>
      </c>
      <c r="CO341">
        <v>11.06489893990195</v>
      </c>
      <c r="CP341">
        <v>340</v>
      </c>
      <c r="CQ341" t="s">
        <v>1673</v>
      </c>
      <c r="CR341">
        <v>7</v>
      </c>
      <c r="CS341" t="s">
        <v>1674</v>
      </c>
      <c r="CT341" t="s">
        <v>1366</v>
      </c>
      <c r="CU341" t="s">
        <v>1560</v>
      </c>
      <c r="CV341" t="s">
        <v>1675</v>
      </c>
      <c r="CW341" t="s">
        <v>1562</v>
      </c>
      <c r="CX341" t="s">
        <v>1563</v>
      </c>
      <c r="CY341" t="s">
        <v>1676</v>
      </c>
      <c r="CZ341" t="s">
        <v>1352</v>
      </c>
      <c r="DA341" t="s">
        <v>152</v>
      </c>
      <c r="DB341" t="s">
        <v>178</v>
      </c>
      <c r="DC341" t="s">
        <v>1373</v>
      </c>
      <c r="DD341" t="s">
        <v>657</v>
      </c>
      <c r="DE341">
        <v>8799</v>
      </c>
      <c r="DF341">
        <v>-111.34087</v>
      </c>
      <c r="DG341">
        <v>48.435290000000002</v>
      </c>
      <c r="DH341">
        <v>4980</v>
      </c>
      <c r="DI341">
        <v>260</v>
      </c>
      <c r="DL341">
        <v>9.1</v>
      </c>
      <c r="DM341">
        <v>5</v>
      </c>
      <c r="DN341">
        <v>14</v>
      </c>
      <c r="DO341">
        <v>210</v>
      </c>
      <c r="DP341">
        <v>104</v>
      </c>
      <c r="DQ341">
        <v>223</v>
      </c>
      <c r="DR341">
        <v>100000</v>
      </c>
      <c r="DS341">
        <v>60</v>
      </c>
      <c r="DT341">
        <v>1.2500000000000001E-2</v>
      </c>
      <c r="DU341">
        <v>1.2500000000000001E-2</v>
      </c>
      <c r="DV341">
        <v>0.32500000000000001</v>
      </c>
      <c r="DW341">
        <v>0.32500000000000001</v>
      </c>
      <c r="DX341">
        <v>0.32500000000000001</v>
      </c>
      <c r="DY341">
        <v>0</v>
      </c>
      <c r="DZ341" s="4">
        <v>3.9159999999999999</v>
      </c>
      <c r="EA341" s="4" t="s">
        <v>1581</v>
      </c>
      <c r="EB341" s="4" t="s">
        <v>1582</v>
      </c>
      <c r="EC341">
        <v>4.3879999999999999</v>
      </c>
      <c r="ED341">
        <v>263</v>
      </c>
      <c r="EE341" t="s">
        <v>1593</v>
      </c>
      <c r="EF341">
        <v>0.13889773633816821</v>
      </c>
      <c r="EH341">
        <f t="shared" si="11"/>
        <v>0.58000000000000007</v>
      </c>
      <c r="EI341">
        <v>3.38</v>
      </c>
      <c r="EJ341">
        <v>3.65</v>
      </c>
    </row>
    <row r="342" spans="1:140" x14ac:dyDescent="0.35">
      <c r="A342" s="1">
        <v>340</v>
      </c>
      <c r="B342">
        <v>-107.6943571567648</v>
      </c>
      <c r="C342">
        <v>46.845868028825493</v>
      </c>
      <c r="D342" t="s">
        <v>1677</v>
      </c>
      <c r="E342">
        <v>0.02</v>
      </c>
      <c r="F342" t="s">
        <v>160</v>
      </c>
      <c r="G342">
        <v>7.9399999999999998E-2</v>
      </c>
      <c r="H342" t="s">
        <v>161</v>
      </c>
      <c r="I342">
        <v>-11988481</v>
      </c>
      <c r="J342">
        <v>5916952</v>
      </c>
      <c r="K342" t="s">
        <v>1578</v>
      </c>
      <c r="L342" t="s">
        <v>1678</v>
      </c>
      <c r="M342">
        <v>44</v>
      </c>
      <c r="N342">
        <v>3.8039999999999998</v>
      </c>
      <c r="O342">
        <v>4</v>
      </c>
      <c r="P342">
        <v>8</v>
      </c>
      <c r="Q342">
        <v>30</v>
      </c>
      <c r="R342">
        <v>87</v>
      </c>
      <c r="S342">
        <v>8331</v>
      </c>
      <c r="T342" t="s">
        <v>1560</v>
      </c>
      <c r="U342">
        <v>7.1869284698232052</v>
      </c>
      <c r="V342" t="s">
        <v>1578</v>
      </c>
      <c r="W342">
        <v>0.10829999999999999</v>
      </c>
      <c r="X342">
        <v>10</v>
      </c>
      <c r="Y342">
        <v>8.9</v>
      </c>
      <c r="Z342">
        <v>8.9</v>
      </c>
      <c r="AA342">
        <v>20</v>
      </c>
      <c r="AB342">
        <v>26</v>
      </c>
      <c r="AC342">
        <v>0.96899999999999997</v>
      </c>
      <c r="AD342">
        <v>67</v>
      </c>
      <c r="AE342">
        <v>0.15400508582326761</v>
      </c>
      <c r="AF342">
        <v>2.86</v>
      </c>
      <c r="AG342" t="s">
        <v>1560</v>
      </c>
      <c r="AH342" t="s">
        <v>1578</v>
      </c>
      <c r="AI342">
        <v>38</v>
      </c>
      <c r="AJ342">
        <v>1.266666666666667E-2</v>
      </c>
      <c r="AK342">
        <v>12.66666666666667</v>
      </c>
      <c r="AL342" t="s">
        <v>1593</v>
      </c>
      <c r="AM342">
        <v>57149.848636753057</v>
      </c>
      <c r="AN342">
        <v>1.48</v>
      </c>
      <c r="AO342">
        <v>0.09</v>
      </c>
      <c r="AP342">
        <v>0.19</v>
      </c>
      <c r="AQ342">
        <v>1.19</v>
      </c>
      <c r="AR342">
        <v>1.1399999999999999</v>
      </c>
      <c r="AS342">
        <v>0.04</v>
      </c>
      <c r="AT342">
        <v>0.01</v>
      </c>
      <c r="AU342">
        <v>0.02</v>
      </c>
      <c r="AV342">
        <v>2.4500000000000002</v>
      </c>
      <c r="AW342">
        <v>1.45</v>
      </c>
      <c r="AX342">
        <v>0.21</v>
      </c>
      <c r="AY342">
        <v>0.53</v>
      </c>
      <c r="AZ342">
        <v>0</v>
      </c>
      <c r="BA342">
        <v>1.21</v>
      </c>
      <c r="BB342">
        <v>0.08</v>
      </c>
      <c r="BC342">
        <v>0.17</v>
      </c>
      <c r="BD342">
        <v>0.27</v>
      </c>
      <c r="BE342">
        <v>6.83</v>
      </c>
      <c r="BF342">
        <v>6.14</v>
      </c>
      <c r="BG342">
        <v>0.24</v>
      </c>
      <c r="BH342">
        <v>0.45</v>
      </c>
      <c r="BI342">
        <v>0</v>
      </c>
      <c r="BJ342">
        <v>0.04</v>
      </c>
      <c r="BK342">
        <v>6.1</v>
      </c>
      <c r="BL342">
        <v>0</v>
      </c>
      <c r="BM342">
        <v>1.97</v>
      </c>
      <c r="BN342">
        <v>0.21</v>
      </c>
      <c r="BO342">
        <v>0.46</v>
      </c>
      <c r="BP342">
        <v>1.3</v>
      </c>
      <c r="BQ342">
        <v>1.1200000000000001</v>
      </c>
      <c r="BR342">
        <v>0.06</v>
      </c>
      <c r="BS342">
        <v>0.12</v>
      </c>
      <c r="BT342">
        <v>0</v>
      </c>
      <c r="BU342">
        <v>7.24</v>
      </c>
      <c r="BV342">
        <v>6.18</v>
      </c>
      <c r="BW342">
        <v>0.34</v>
      </c>
      <c r="BX342">
        <v>0.72</v>
      </c>
      <c r="BY342">
        <v>0</v>
      </c>
      <c r="BZ342">
        <v>0.04</v>
      </c>
      <c r="CA342">
        <v>6.14</v>
      </c>
      <c r="CB342">
        <v>0</v>
      </c>
      <c r="CC342">
        <f t="shared" si="10"/>
        <v>2.75</v>
      </c>
      <c r="CD342">
        <v>3.96</v>
      </c>
      <c r="CE342">
        <v>0.34230769230769231</v>
      </c>
      <c r="CF342">
        <v>0.44500000000000001</v>
      </c>
      <c r="CG342">
        <v>0.1492537313432836</v>
      </c>
      <c r="CH342">
        <v>0.33881118881118882</v>
      </c>
      <c r="CI342">
        <v>0</v>
      </c>
      <c r="CJ342">
        <v>25078</v>
      </c>
      <c r="CK342" t="s">
        <v>141</v>
      </c>
      <c r="CL342" t="s">
        <v>1365</v>
      </c>
      <c r="CM342" t="s">
        <v>143</v>
      </c>
      <c r="CN342">
        <v>0.43625765128400001</v>
      </c>
      <c r="CO342">
        <v>88.599701243690902</v>
      </c>
      <c r="CP342">
        <v>341</v>
      </c>
      <c r="CQ342" t="s">
        <v>1673</v>
      </c>
      <c r="CR342">
        <v>7</v>
      </c>
      <c r="CS342" t="s">
        <v>1674</v>
      </c>
      <c r="CT342" t="s">
        <v>1366</v>
      </c>
      <c r="CU342" t="s">
        <v>1560</v>
      </c>
      <c r="CV342" t="s">
        <v>1675</v>
      </c>
      <c r="CW342" t="s">
        <v>1562</v>
      </c>
      <c r="CX342" t="s">
        <v>1563</v>
      </c>
      <c r="CY342" t="s">
        <v>1676</v>
      </c>
      <c r="CZ342" t="s">
        <v>1352</v>
      </c>
      <c r="DA342" t="s">
        <v>152</v>
      </c>
      <c r="DB342" t="s">
        <v>178</v>
      </c>
      <c r="DC342" t="s">
        <v>1373</v>
      </c>
      <c r="DD342" t="s">
        <v>657</v>
      </c>
      <c r="DE342">
        <v>8799</v>
      </c>
      <c r="DF342">
        <v>-111.34087</v>
      </c>
      <c r="DG342">
        <v>48.435290000000002</v>
      </c>
      <c r="DH342">
        <v>4980</v>
      </c>
      <c r="DI342">
        <v>260</v>
      </c>
      <c r="DL342">
        <v>9.1</v>
      </c>
      <c r="DM342">
        <v>5</v>
      </c>
      <c r="DN342">
        <v>14</v>
      </c>
      <c r="DO342">
        <v>210</v>
      </c>
      <c r="DP342">
        <v>104</v>
      </c>
      <c r="DQ342">
        <v>223</v>
      </c>
      <c r="DR342">
        <v>100000</v>
      </c>
      <c r="DS342">
        <v>60</v>
      </c>
      <c r="DT342">
        <v>1.2500000000000001E-2</v>
      </c>
      <c r="DU342">
        <v>1.2500000000000001E-2</v>
      </c>
      <c r="DV342">
        <v>0.32500000000000001</v>
      </c>
      <c r="DW342">
        <v>0.32500000000000001</v>
      </c>
      <c r="DX342">
        <v>0.32500000000000001</v>
      </c>
      <c r="DY342">
        <v>0</v>
      </c>
      <c r="DZ342" s="4">
        <v>3.9159999999999999</v>
      </c>
      <c r="EA342" s="4" t="s">
        <v>1581</v>
      </c>
      <c r="EB342" s="4" t="s">
        <v>1582</v>
      </c>
      <c r="EC342">
        <v>4.3879999999999999</v>
      </c>
      <c r="ED342">
        <v>263</v>
      </c>
      <c r="EE342" t="s">
        <v>1593</v>
      </c>
      <c r="EF342">
        <v>0.3550123799582024</v>
      </c>
      <c r="EH342">
        <f t="shared" si="11"/>
        <v>0.58000000000000007</v>
      </c>
      <c r="EI342">
        <v>3.38</v>
      </c>
      <c r="EJ342">
        <v>3.65</v>
      </c>
    </row>
    <row r="343" spans="1:140" x14ac:dyDescent="0.35">
      <c r="A343" s="1">
        <v>341</v>
      </c>
      <c r="B343">
        <v>-105.8977265885258</v>
      </c>
      <c r="C343">
        <v>46.845868028825493</v>
      </c>
      <c r="D343" t="s">
        <v>1679</v>
      </c>
      <c r="E343">
        <v>0.02</v>
      </c>
      <c r="F343" t="s">
        <v>160</v>
      </c>
      <c r="G343">
        <v>9.7899999999999987E-2</v>
      </c>
      <c r="H343" t="s">
        <v>161</v>
      </c>
      <c r="I343">
        <v>-11788481</v>
      </c>
      <c r="J343">
        <v>5916952</v>
      </c>
      <c r="K343" t="s">
        <v>1578</v>
      </c>
      <c r="L343" t="s">
        <v>1464</v>
      </c>
      <c r="M343">
        <v>9</v>
      </c>
      <c r="N343">
        <v>3.6560000000000001</v>
      </c>
      <c r="O343">
        <v>4</v>
      </c>
      <c r="P343">
        <v>8</v>
      </c>
      <c r="Q343">
        <v>30</v>
      </c>
      <c r="R343">
        <v>17</v>
      </c>
      <c r="S343">
        <v>11867</v>
      </c>
      <c r="T343" t="s">
        <v>1560</v>
      </c>
      <c r="U343">
        <v>7.1869284698232052</v>
      </c>
      <c r="V343" t="s">
        <v>1578</v>
      </c>
      <c r="W343">
        <v>0.10829999999999999</v>
      </c>
      <c r="X343">
        <v>10</v>
      </c>
      <c r="Y343">
        <v>8.9</v>
      </c>
      <c r="Z343">
        <v>8.9</v>
      </c>
      <c r="AA343">
        <v>20</v>
      </c>
      <c r="AB343">
        <v>26</v>
      </c>
      <c r="AC343">
        <v>0.96899999999999997</v>
      </c>
      <c r="AD343">
        <v>67</v>
      </c>
      <c r="AE343">
        <v>0.15400508582326761</v>
      </c>
      <c r="AF343">
        <v>2.86</v>
      </c>
      <c r="AG343" t="s">
        <v>1560</v>
      </c>
      <c r="AH343" t="s">
        <v>1578</v>
      </c>
      <c r="AI343">
        <v>38</v>
      </c>
      <c r="AJ343">
        <v>1.266666666666667E-2</v>
      </c>
      <c r="AK343">
        <v>12.66666666666667</v>
      </c>
      <c r="AL343" t="s">
        <v>1593</v>
      </c>
      <c r="AM343">
        <v>205333.50990042099</v>
      </c>
      <c r="AN343">
        <v>1.48</v>
      </c>
      <c r="AO343">
        <v>0.09</v>
      </c>
      <c r="AP343">
        <v>0.19</v>
      </c>
      <c r="AQ343">
        <v>1.19</v>
      </c>
      <c r="AR343">
        <v>1.1399999999999999</v>
      </c>
      <c r="AS343">
        <v>0.04</v>
      </c>
      <c r="AT343">
        <v>0.01</v>
      </c>
      <c r="AU343">
        <v>0.02</v>
      </c>
      <c r="AV343">
        <v>2.4500000000000002</v>
      </c>
      <c r="AW343">
        <v>1.45</v>
      </c>
      <c r="AX343">
        <v>0.21</v>
      </c>
      <c r="AY343">
        <v>0.53</v>
      </c>
      <c r="AZ343">
        <v>0</v>
      </c>
      <c r="BA343">
        <v>1.21</v>
      </c>
      <c r="BB343">
        <v>0.08</v>
      </c>
      <c r="BC343">
        <v>0.17</v>
      </c>
      <c r="BD343">
        <v>0.27</v>
      </c>
      <c r="BE343">
        <v>6.83</v>
      </c>
      <c r="BF343">
        <v>6.14</v>
      </c>
      <c r="BG343">
        <v>0.24</v>
      </c>
      <c r="BH343">
        <v>0.45</v>
      </c>
      <c r="BI343">
        <v>0</v>
      </c>
      <c r="BJ343">
        <v>0.04</v>
      </c>
      <c r="BK343">
        <v>6.1</v>
      </c>
      <c r="BL343">
        <v>0</v>
      </c>
      <c r="BM343">
        <v>1.97</v>
      </c>
      <c r="BN343">
        <v>0.21</v>
      </c>
      <c r="BO343">
        <v>0.46</v>
      </c>
      <c r="BP343">
        <v>1.3</v>
      </c>
      <c r="BQ343">
        <v>1.1200000000000001</v>
      </c>
      <c r="BR343">
        <v>0.06</v>
      </c>
      <c r="BS343">
        <v>0.12</v>
      </c>
      <c r="BT343">
        <v>0</v>
      </c>
      <c r="BU343">
        <v>7.24</v>
      </c>
      <c r="BV343">
        <v>6.18</v>
      </c>
      <c r="BW343">
        <v>0.34</v>
      </c>
      <c r="BX343">
        <v>0.72</v>
      </c>
      <c r="BY343">
        <v>0</v>
      </c>
      <c r="BZ343">
        <v>0.04</v>
      </c>
      <c r="CA343">
        <v>6.14</v>
      </c>
      <c r="CB343">
        <v>0</v>
      </c>
      <c r="CC343">
        <f t="shared" si="10"/>
        <v>2.75</v>
      </c>
      <c r="CD343">
        <v>3.96</v>
      </c>
      <c r="CE343">
        <v>0.34230769230769231</v>
      </c>
      <c r="CF343">
        <v>0.44500000000000001</v>
      </c>
      <c r="CG343">
        <v>0.1492537313432836</v>
      </c>
      <c r="CH343">
        <v>0.33881118881118882</v>
      </c>
      <c r="CI343">
        <v>0</v>
      </c>
      <c r="CJ343">
        <v>27008</v>
      </c>
      <c r="CK343" t="s">
        <v>141</v>
      </c>
      <c r="CL343" t="s">
        <v>1365</v>
      </c>
      <c r="CM343" t="s">
        <v>143</v>
      </c>
      <c r="CN343">
        <v>0.54206397960800001</v>
      </c>
      <c r="CO343">
        <v>29.62961847791151</v>
      </c>
      <c r="CP343">
        <v>342</v>
      </c>
      <c r="CQ343" t="s">
        <v>1680</v>
      </c>
      <c r="CR343">
        <v>117</v>
      </c>
      <c r="CS343" t="s">
        <v>1681</v>
      </c>
      <c r="CT343" t="s">
        <v>1486</v>
      </c>
      <c r="CU343" t="s">
        <v>1560</v>
      </c>
      <c r="CV343" t="s">
        <v>1682</v>
      </c>
      <c r="CW343" t="s">
        <v>1370</v>
      </c>
      <c r="CX343" t="s">
        <v>1683</v>
      </c>
      <c r="CY343" t="s">
        <v>1684</v>
      </c>
      <c r="CZ343" t="s">
        <v>1352</v>
      </c>
      <c r="DA343" t="s">
        <v>152</v>
      </c>
      <c r="DB343" t="s">
        <v>153</v>
      </c>
      <c r="DC343" t="s">
        <v>207</v>
      </c>
      <c r="DD343" t="s">
        <v>1353</v>
      </c>
      <c r="DE343">
        <v>42151</v>
      </c>
      <c r="DF343">
        <v>-105.802876</v>
      </c>
      <c r="DG343">
        <v>47.237958999999996</v>
      </c>
      <c r="DH343">
        <v>6500</v>
      </c>
      <c r="DI343">
        <v>545</v>
      </c>
      <c r="DL343">
        <v>12</v>
      </c>
      <c r="DM343">
        <v>11</v>
      </c>
      <c r="DN343">
        <v>14</v>
      </c>
      <c r="DO343">
        <v>8</v>
      </c>
      <c r="DP343">
        <v>4</v>
      </c>
      <c r="DQ343">
        <v>8</v>
      </c>
      <c r="DR343">
        <v>100000</v>
      </c>
      <c r="DS343" t="s">
        <v>1355</v>
      </c>
      <c r="DT343">
        <v>1.2500000000000001E-2</v>
      </c>
      <c r="DU343">
        <v>1.2500000000000001E-2</v>
      </c>
      <c r="DV343">
        <v>0.32500000000000001</v>
      </c>
      <c r="DW343">
        <v>0.32500000000000001</v>
      </c>
      <c r="DX343">
        <v>0.32500000000000001</v>
      </c>
      <c r="DY343">
        <v>0</v>
      </c>
      <c r="DZ343" s="4">
        <v>3.9159999999999999</v>
      </c>
      <c r="EA343" s="4" t="s">
        <v>1581</v>
      </c>
      <c r="EB343" s="4" t="s">
        <v>1582</v>
      </c>
      <c r="EC343">
        <v>4.3879999999999999</v>
      </c>
      <c r="ED343">
        <v>263</v>
      </c>
      <c r="EE343" t="s">
        <v>1593</v>
      </c>
      <c r="EF343">
        <v>1.704770374356628</v>
      </c>
      <c r="EH343">
        <f t="shared" si="11"/>
        <v>0.58000000000000007</v>
      </c>
      <c r="EI343">
        <v>3.38</v>
      </c>
      <c r="EJ343">
        <v>3.65</v>
      </c>
    </row>
    <row r="344" spans="1:140" x14ac:dyDescent="0.35">
      <c r="A344" s="1">
        <v>342</v>
      </c>
      <c r="B344">
        <v>-104.1010960202868</v>
      </c>
      <c r="C344">
        <v>46.845868028825493</v>
      </c>
      <c r="D344" t="s">
        <v>1685</v>
      </c>
      <c r="E344">
        <v>0.02</v>
      </c>
      <c r="F344" t="s">
        <v>160</v>
      </c>
      <c r="G344">
        <v>9.7899999999999987E-2</v>
      </c>
      <c r="H344" t="s">
        <v>161</v>
      </c>
      <c r="I344">
        <v>-11588481</v>
      </c>
      <c r="J344">
        <v>5916952</v>
      </c>
      <c r="K344" t="s">
        <v>1578</v>
      </c>
      <c r="L344" t="s">
        <v>1686</v>
      </c>
      <c r="M344">
        <v>55</v>
      </c>
      <c r="N344">
        <v>3.819</v>
      </c>
      <c r="O344">
        <v>4</v>
      </c>
      <c r="P344">
        <v>8</v>
      </c>
      <c r="Q344">
        <v>30</v>
      </c>
      <c r="R344">
        <v>109</v>
      </c>
      <c r="S344">
        <v>939</v>
      </c>
      <c r="T344" t="s">
        <v>1560</v>
      </c>
      <c r="U344">
        <v>7.1869284698232052</v>
      </c>
      <c r="V344" t="s">
        <v>1578</v>
      </c>
      <c r="W344">
        <v>0.10829999999999999</v>
      </c>
      <c r="X344">
        <v>10</v>
      </c>
      <c r="Y344">
        <v>8.9</v>
      </c>
      <c r="Z344">
        <v>8.9</v>
      </c>
      <c r="AA344">
        <v>20</v>
      </c>
      <c r="AB344">
        <v>26</v>
      </c>
      <c r="AC344">
        <v>0.96899999999999997</v>
      </c>
      <c r="AD344">
        <v>67</v>
      </c>
      <c r="AE344">
        <v>0.15400508582326761</v>
      </c>
      <c r="AF344">
        <v>2.86</v>
      </c>
      <c r="AG344" t="s">
        <v>1560</v>
      </c>
      <c r="AH344" t="s">
        <v>1578</v>
      </c>
      <c r="AI344">
        <v>38</v>
      </c>
      <c r="AJ344">
        <v>1.266666666666667E-2</v>
      </c>
      <c r="AK344">
        <v>12.66666666666667</v>
      </c>
      <c r="AL344" t="s">
        <v>1687</v>
      </c>
      <c r="AM344">
        <v>96833.990906530889</v>
      </c>
      <c r="AN344">
        <v>1.48</v>
      </c>
      <c r="AO344">
        <v>0.09</v>
      </c>
      <c r="AP344">
        <v>0.19</v>
      </c>
      <c r="AQ344">
        <v>1.19</v>
      </c>
      <c r="AR344">
        <v>1.1399999999999999</v>
      </c>
      <c r="AS344">
        <v>0.04</v>
      </c>
      <c r="AT344">
        <v>0.01</v>
      </c>
      <c r="AU344">
        <v>0.02</v>
      </c>
      <c r="AV344">
        <v>2.4500000000000002</v>
      </c>
      <c r="AW344">
        <v>1.45</v>
      </c>
      <c r="AX344">
        <v>0.21</v>
      </c>
      <c r="AY344">
        <v>0.53</v>
      </c>
      <c r="AZ344">
        <v>0</v>
      </c>
      <c r="BA344">
        <v>1.21</v>
      </c>
      <c r="BB344">
        <v>0.08</v>
      </c>
      <c r="BC344">
        <v>0.17</v>
      </c>
      <c r="BD344">
        <v>0.27</v>
      </c>
      <c r="BE344">
        <v>6.83</v>
      </c>
      <c r="BF344">
        <v>6.14</v>
      </c>
      <c r="BG344">
        <v>0.24</v>
      </c>
      <c r="BH344">
        <v>0.45</v>
      </c>
      <c r="BI344">
        <v>0</v>
      </c>
      <c r="BJ344">
        <v>0.04</v>
      </c>
      <c r="BK344">
        <v>6.1</v>
      </c>
      <c r="BL344">
        <v>0</v>
      </c>
      <c r="BM344">
        <v>1.97</v>
      </c>
      <c r="BN344">
        <v>0.21</v>
      </c>
      <c r="BO344">
        <v>0.46</v>
      </c>
      <c r="BP344">
        <v>1.3</v>
      </c>
      <c r="BQ344">
        <v>1.1200000000000001</v>
      </c>
      <c r="BR344">
        <v>0.06</v>
      </c>
      <c r="BS344">
        <v>0.12</v>
      </c>
      <c r="BT344">
        <v>0</v>
      </c>
      <c r="BU344">
        <v>7.24</v>
      </c>
      <c r="BV344">
        <v>6.18</v>
      </c>
      <c r="BW344">
        <v>0.34</v>
      </c>
      <c r="BX344">
        <v>0.72</v>
      </c>
      <c r="BY344">
        <v>0</v>
      </c>
      <c r="BZ344">
        <v>0.04</v>
      </c>
      <c r="CA344">
        <v>6.14</v>
      </c>
      <c r="CB344">
        <v>0</v>
      </c>
      <c r="CC344">
        <f t="shared" si="10"/>
        <v>2.75</v>
      </c>
      <c r="CD344">
        <v>3.96</v>
      </c>
      <c r="CE344">
        <v>0.34230769230769231</v>
      </c>
      <c r="CF344">
        <v>0.44500000000000001</v>
      </c>
      <c r="CG344">
        <v>0.1492537313432836</v>
      </c>
      <c r="CH344">
        <v>0.33881118881118882</v>
      </c>
      <c r="CI344">
        <v>0</v>
      </c>
      <c r="CJ344">
        <v>26982</v>
      </c>
      <c r="CK344" t="s">
        <v>141</v>
      </c>
      <c r="CL344" t="s">
        <v>1365</v>
      </c>
      <c r="CM344" t="s">
        <v>143</v>
      </c>
      <c r="CN344">
        <v>0.12952385713799999</v>
      </c>
      <c r="CO344">
        <v>10.24417837752806</v>
      </c>
      <c r="CP344">
        <v>343</v>
      </c>
      <c r="CQ344" t="s">
        <v>1484</v>
      </c>
      <c r="CR344">
        <v>115</v>
      </c>
      <c r="CS344" t="s">
        <v>1485</v>
      </c>
      <c r="CT344" t="s">
        <v>1486</v>
      </c>
      <c r="CU344" t="s">
        <v>1368</v>
      </c>
      <c r="CV344" t="s">
        <v>1487</v>
      </c>
      <c r="CW344" t="s">
        <v>1370</v>
      </c>
      <c r="CX344" t="s">
        <v>1371</v>
      </c>
      <c r="CY344" t="s">
        <v>1372</v>
      </c>
      <c r="CZ344" t="s">
        <v>1352</v>
      </c>
      <c r="DA344" t="s">
        <v>152</v>
      </c>
      <c r="DB344" t="s">
        <v>153</v>
      </c>
      <c r="DC344" t="s">
        <v>207</v>
      </c>
      <c r="DD344" t="s">
        <v>1353</v>
      </c>
      <c r="DE344">
        <v>3536</v>
      </c>
      <c r="DF344">
        <v>-103.437718</v>
      </c>
      <c r="DG344">
        <v>47.254190999999999</v>
      </c>
      <c r="DH344">
        <v>9000</v>
      </c>
      <c r="DI344">
        <v>407</v>
      </c>
      <c r="DL344">
        <v>10</v>
      </c>
      <c r="DM344">
        <v>4</v>
      </c>
      <c r="DN344">
        <v>17</v>
      </c>
      <c r="DO344">
        <v>9</v>
      </c>
      <c r="DP344">
        <v>2</v>
      </c>
      <c r="DQ344">
        <v>28</v>
      </c>
      <c r="DR344">
        <v>275000</v>
      </c>
      <c r="DS344" t="s">
        <v>1355</v>
      </c>
      <c r="DT344">
        <v>1.2500000000000001E-2</v>
      </c>
      <c r="DU344">
        <v>1.2500000000000001E-2</v>
      </c>
      <c r="DV344">
        <v>0.32500000000000001</v>
      </c>
      <c r="DW344">
        <v>0.32500000000000001</v>
      </c>
      <c r="DX344">
        <v>0.32500000000000001</v>
      </c>
      <c r="DY344">
        <v>0</v>
      </c>
      <c r="DZ344" s="4">
        <v>3.9159999999999999</v>
      </c>
      <c r="EA344" s="4" t="s">
        <v>1581</v>
      </c>
      <c r="EB344" s="4" t="s">
        <v>1582</v>
      </c>
      <c r="EC344">
        <v>4.3879999999999999</v>
      </c>
      <c r="ED344">
        <v>579</v>
      </c>
      <c r="EE344" t="s">
        <v>1687</v>
      </c>
      <c r="EF344">
        <v>0.86985175207642329</v>
      </c>
      <c r="EH344">
        <f t="shared" si="11"/>
        <v>0.58000000000000007</v>
      </c>
      <c r="EI344">
        <v>3.38</v>
      </c>
      <c r="EJ344">
        <v>3.65</v>
      </c>
    </row>
    <row r="345" spans="1:140" x14ac:dyDescent="0.35">
      <c r="A345" s="1">
        <v>343</v>
      </c>
      <c r="B345">
        <v>-102.30446545204769</v>
      </c>
      <c r="C345">
        <v>46.845868028825493</v>
      </c>
      <c r="D345" t="s">
        <v>1688</v>
      </c>
      <c r="E345">
        <v>0.02</v>
      </c>
      <c r="F345" t="s">
        <v>160</v>
      </c>
      <c r="G345">
        <v>9.7899999999999987E-2</v>
      </c>
      <c r="H345" t="s">
        <v>161</v>
      </c>
      <c r="I345">
        <v>-11388481</v>
      </c>
      <c r="J345">
        <v>5916952</v>
      </c>
      <c r="K345" t="s">
        <v>1689</v>
      </c>
      <c r="L345" t="s">
        <v>1690</v>
      </c>
      <c r="M345">
        <v>45</v>
      </c>
      <c r="N345">
        <v>3.706</v>
      </c>
      <c r="O345">
        <v>2</v>
      </c>
      <c r="P345">
        <v>4</v>
      </c>
      <c r="Q345">
        <v>38</v>
      </c>
      <c r="R345">
        <v>89</v>
      </c>
      <c r="S345">
        <v>33647</v>
      </c>
      <c r="T345" t="s">
        <v>1368</v>
      </c>
      <c r="U345">
        <v>4.5251219264377163</v>
      </c>
      <c r="V345" t="s">
        <v>1689</v>
      </c>
      <c r="W345">
        <v>7.9299999999999995E-2</v>
      </c>
      <c r="X345">
        <v>10</v>
      </c>
      <c r="Y345">
        <v>8.9</v>
      </c>
      <c r="Z345">
        <v>8.9</v>
      </c>
      <c r="AA345">
        <v>20</v>
      </c>
      <c r="AB345">
        <v>26</v>
      </c>
      <c r="AC345">
        <v>1.4239999999999999</v>
      </c>
      <c r="AD345">
        <v>67</v>
      </c>
      <c r="AE345">
        <v>0.2263191354100445</v>
      </c>
      <c r="AF345">
        <v>2.86</v>
      </c>
      <c r="AG345" t="s">
        <v>1368</v>
      </c>
      <c r="AH345" t="s">
        <v>1689</v>
      </c>
      <c r="AI345">
        <v>31</v>
      </c>
      <c r="AJ345">
        <v>1.033333333333333E-2</v>
      </c>
      <c r="AK345">
        <v>10.33333333333333</v>
      </c>
      <c r="AL345" t="s">
        <v>1687</v>
      </c>
      <c r="AM345">
        <v>0</v>
      </c>
      <c r="AN345">
        <v>1.06</v>
      </c>
      <c r="AO345">
        <v>0.09</v>
      </c>
      <c r="AP345">
        <v>0.19</v>
      </c>
      <c r="AQ345">
        <v>0.77</v>
      </c>
      <c r="AR345">
        <v>0.72</v>
      </c>
      <c r="AS345">
        <v>0.04</v>
      </c>
      <c r="AT345">
        <v>0.01</v>
      </c>
      <c r="AU345">
        <v>0.02</v>
      </c>
      <c r="AV345">
        <v>1.96</v>
      </c>
      <c r="AW345">
        <v>0.96</v>
      </c>
      <c r="AX345">
        <v>0.21</v>
      </c>
      <c r="AY345">
        <v>0.53</v>
      </c>
      <c r="AZ345">
        <v>0</v>
      </c>
      <c r="BA345">
        <v>0.76</v>
      </c>
      <c r="BB345">
        <v>0.08</v>
      </c>
      <c r="BC345">
        <v>0.12</v>
      </c>
      <c r="BD345">
        <v>0.27</v>
      </c>
      <c r="BE345">
        <v>5.17</v>
      </c>
      <c r="BF345">
        <v>4.4800000000000004</v>
      </c>
      <c r="BG345">
        <v>0.24</v>
      </c>
      <c r="BH345">
        <v>0.45</v>
      </c>
      <c r="BI345">
        <v>0</v>
      </c>
      <c r="BJ345">
        <v>0.04</v>
      </c>
      <c r="BK345">
        <v>4.4400000000000004</v>
      </c>
      <c r="BL345">
        <v>0</v>
      </c>
      <c r="BM345">
        <v>1.52</v>
      </c>
      <c r="BN345">
        <v>0.21</v>
      </c>
      <c r="BO345">
        <v>0.46</v>
      </c>
      <c r="BP345">
        <v>0.85</v>
      </c>
      <c r="BQ345">
        <v>0.71</v>
      </c>
      <c r="BR345">
        <v>0.06</v>
      </c>
      <c r="BS345">
        <v>0.09</v>
      </c>
      <c r="BT345">
        <v>0</v>
      </c>
      <c r="BU345">
        <v>5.56</v>
      </c>
      <c r="BV345">
        <v>4.5</v>
      </c>
      <c r="BW345">
        <v>0.34</v>
      </c>
      <c r="BX345">
        <v>0.72</v>
      </c>
      <c r="BY345">
        <v>0</v>
      </c>
      <c r="BZ345">
        <v>0.04</v>
      </c>
      <c r="CA345">
        <v>4.46</v>
      </c>
      <c r="CB345">
        <v>0</v>
      </c>
      <c r="CC345">
        <f t="shared" si="10"/>
        <v>2.75</v>
      </c>
      <c r="CD345">
        <v>3.96</v>
      </c>
      <c r="CE345">
        <v>0.34230769230769231</v>
      </c>
      <c r="CF345">
        <v>0.44500000000000001</v>
      </c>
      <c r="CG345">
        <v>0.1492537313432836</v>
      </c>
      <c r="CH345">
        <v>0.49790209790209788</v>
      </c>
      <c r="CI345">
        <v>0</v>
      </c>
      <c r="CJ345">
        <v>26888</v>
      </c>
      <c r="CK345" t="s">
        <v>141</v>
      </c>
      <c r="CL345" t="s">
        <v>1365</v>
      </c>
      <c r="CM345" t="s">
        <v>143</v>
      </c>
      <c r="CN345">
        <v>0.475136</v>
      </c>
      <c r="CO345">
        <v>1.026741701991156</v>
      </c>
      <c r="CP345">
        <v>344</v>
      </c>
      <c r="CQ345" t="s">
        <v>1484</v>
      </c>
      <c r="CR345">
        <v>115</v>
      </c>
      <c r="CS345" t="s">
        <v>1485</v>
      </c>
      <c r="CT345" t="s">
        <v>1486</v>
      </c>
      <c r="CU345" t="s">
        <v>1368</v>
      </c>
      <c r="CV345" t="s">
        <v>1487</v>
      </c>
      <c r="CW345" t="s">
        <v>1370</v>
      </c>
      <c r="CX345" t="s">
        <v>1371</v>
      </c>
      <c r="CY345" t="s">
        <v>1372</v>
      </c>
      <c r="CZ345" t="s">
        <v>1352</v>
      </c>
      <c r="DA345" t="s">
        <v>152</v>
      </c>
      <c r="DB345" t="s">
        <v>153</v>
      </c>
      <c r="DC345" t="s">
        <v>207</v>
      </c>
      <c r="DD345" t="s">
        <v>1353</v>
      </c>
      <c r="DE345">
        <v>3536</v>
      </c>
      <c r="DF345">
        <v>-103.437718</v>
      </c>
      <c r="DG345">
        <v>47.254190999999999</v>
      </c>
      <c r="DH345">
        <v>9000</v>
      </c>
      <c r="DI345">
        <v>407</v>
      </c>
      <c r="DL345">
        <v>10</v>
      </c>
      <c r="DM345">
        <v>4</v>
      </c>
      <c r="DN345">
        <v>17</v>
      </c>
      <c r="DO345">
        <v>9</v>
      </c>
      <c r="DP345">
        <v>2</v>
      </c>
      <c r="DQ345">
        <v>28</v>
      </c>
      <c r="DR345">
        <v>275000</v>
      </c>
      <c r="DS345" t="s">
        <v>1355</v>
      </c>
      <c r="DT345">
        <v>1.2500000000000001E-2</v>
      </c>
      <c r="DU345">
        <v>1.2500000000000001E-2</v>
      </c>
      <c r="DV345">
        <v>0.32500000000000001</v>
      </c>
      <c r="DW345">
        <v>0.32500000000000001</v>
      </c>
      <c r="DX345">
        <v>0.32500000000000001</v>
      </c>
      <c r="DY345">
        <v>0</v>
      </c>
      <c r="DZ345" s="4">
        <v>3.621</v>
      </c>
      <c r="EA345" s="4" t="s">
        <v>1691</v>
      </c>
      <c r="EB345" s="4" t="s">
        <v>1692</v>
      </c>
      <c r="EC345">
        <v>4.3179999999999996</v>
      </c>
      <c r="ED345">
        <v>579</v>
      </c>
      <c r="EE345" t="s">
        <v>1687</v>
      </c>
      <c r="EF345">
        <v>0</v>
      </c>
      <c r="EH345">
        <f t="shared" si="11"/>
        <v>0.58000000000000007</v>
      </c>
      <c r="EI345">
        <v>3.38</v>
      </c>
      <c r="EJ345">
        <v>3.65</v>
      </c>
    </row>
    <row r="346" spans="1:140" x14ac:dyDescent="0.35">
      <c r="A346" s="1">
        <v>344</v>
      </c>
      <c r="B346">
        <v>-100.5078348838087</v>
      </c>
      <c r="C346">
        <v>46.845868028825493</v>
      </c>
      <c r="D346" t="s">
        <v>1693</v>
      </c>
      <c r="E346">
        <v>0.02</v>
      </c>
      <c r="F346" t="s">
        <v>160</v>
      </c>
      <c r="G346">
        <v>7.9399999999999998E-2</v>
      </c>
      <c r="H346" t="s">
        <v>161</v>
      </c>
      <c r="I346">
        <v>-11188481</v>
      </c>
      <c r="J346">
        <v>5916952</v>
      </c>
      <c r="K346" t="s">
        <v>1689</v>
      </c>
      <c r="L346" t="s">
        <v>1694</v>
      </c>
      <c r="M346">
        <v>8</v>
      </c>
      <c r="N346">
        <v>3.677</v>
      </c>
      <c r="O346">
        <v>2</v>
      </c>
      <c r="P346">
        <v>4</v>
      </c>
      <c r="Q346">
        <v>38</v>
      </c>
      <c r="R346">
        <v>15</v>
      </c>
      <c r="S346">
        <v>98466</v>
      </c>
      <c r="T346" t="s">
        <v>1368</v>
      </c>
      <c r="U346">
        <v>4.5251219264377163</v>
      </c>
      <c r="V346" t="s">
        <v>1689</v>
      </c>
      <c r="W346">
        <v>7.9299999999999995E-2</v>
      </c>
      <c r="X346">
        <v>10</v>
      </c>
      <c r="Y346">
        <v>8.9</v>
      </c>
      <c r="Z346">
        <v>8.9</v>
      </c>
      <c r="AA346">
        <v>20</v>
      </c>
      <c r="AB346">
        <v>26</v>
      </c>
      <c r="AC346">
        <v>1.4239999999999999</v>
      </c>
      <c r="AD346">
        <v>67</v>
      </c>
      <c r="AE346">
        <v>0.2263191354100445</v>
      </c>
      <c r="AF346">
        <v>2.86</v>
      </c>
      <c r="AG346" t="s">
        <v>1368</v>
      </c>
      <c r="AH346" t="s">
        <v>1689</v>
      </c>
      <c r="AI346">
        <v>31</v>
      </c>
      <c r="AJ346">
        <v>1.033333333333333E-2</v>
      </c>
      <c r="AK346">
        <v>10.33333333333333</v>
      </c>
      <c r="AL346" t="s">
        <v>1601</v>
      </c>
      <c r="AM346">
        <v>0</v>
      </c>
      <c r="AN346">
        <v>1.06</v>
      </c>
      <c r="AO346">
        <v>0.09</v>
      </c>
      <c r="AP346">
        <v>0.19</v>
      </c>
      <c r="AQ346">
        <v>0.77</v>
      </c>
      <c r="AR346">
        <v>0.72</v>
      </c>
      <c r="AS346">
        <v>0.04</v>
      </c>
      <c r="AT346">
        <v>0.01</v>
      </c>
      <c r="AU346">
        <v>0.02</v>
      </c>
      <c r="AV346">
        <v>1.96</v>
      </c>
      <c r="AW346">
        <v>0.96</v>
      </c>
      <c r="AX346">
        <v>0.21</v>
      </c>
      <c r="AY346">
        <v>0.53</v>
      </c>
      <c r="AZ346">
        <v>0</v>
      </c>
      <c r="BA346">
        <v>0.76</v>
      </c>
      <c r="BB346">
        <v>0.08</v>
      </c>
      <c r="BC346">
        <v>0.12</v>
      </c>
      <c r="BD346">
        <v>0.27</v>
      </c>
      <c r="BE346">
        <v>5.17</v>
      </c>
      <c r="BF346">
        <v>4.4800000000000004</v>
      </c>
      <c r="BG346">
        <v>0.24</v>
      </c>
      <c r="BH346">
        <v>0.45</v>
      </c>
      <c r="BI346">
        <v>0</v>
      </c>
      <c r="BJ346">
        <v>0.04</v>
      </c>
      <c r="BK346">
        <v>4.4400000000000004</v>
      </c>
      <c r="BL346">
        <v>0</v>
      </c>
      <c r="BM346">
        <v>1.52</v>
      </c>
      <c r="BN346">
        <v>0.21</v>
      </c>
      <c r="BO346">
        <v>0.46</v>
      </c>
      <c r="BP346">
        <v>0.85</v>
      </c>
      <c r="BQ346">
        <v>0.71</v>
      </c>
      <c r="BR346">
        <v>0.06</v>
      </c>
      <c r="BS346">
        <v>0.09</v>
      </c>
      <c r="BT346">
        <v>0</v>
      </c>
      <c r="BU346">
        <v>5.56</v>
      </c>
      <c r="BV346">
        <v>4.5</v>
      </c>
      <c r="BW346">
        <v>0.34</v>
      </c>
      <c r="BX346">
        <v>0.72</v>
      </c>
      <c r="BY346">
        <v>0</v>
      </c>
      <c r="BZ346">
        <v>0.04</v>
      </c>
      <c r="CA346">
        <v>4.46</v>
      </c>
      <c r="CB346">
        <v>0</v>
      </c>
      <c r="CC346">
        <f t="shared" si="10"/>
        <v>2.75</v>
      </c>
      <c r="CD346">
        <v>3.96</v>
      </c>
      <c r="CE346">
        <v>0.34230769230769231</v>
      </c>
      <c r="CF346">
        <v>0.44500000000000001</v>
      </c>
      <c r="CG346">
        <v>0.1492537313432836</v>
      </c>
      <c r="CH346">
        <v>0.49790209790209788</v>
      </c>
      <c r="CI346">
        <v>0</v>
      </c>
      <c r="CJ346">
        <v>26866</v>
      </c>
      <c r="CK346" t="s">
        <v>141</v>
      </c>
      <c r="CL346" t="s">
        <v>1365</v>
      </c>
      <c r="CM346" t="s">
        <v>143</v>
      </c>
      <c r="CN346">
        <v>0.63031275903999995</v>
      </c>
      <c r="CO346">
        <v>0.56081860945851347</v>
      </c>
      <c r="CP346">
        <v>345</v>
      </c>
      <c r="CQ346" t="s">
        <v>1695</v>
      </c>
      <c r="CR346">
        <v>13</v>
      </c>
      <c r="CS346" t="s">
        <v>1367</v>
      </c>
      <c r="CT346" t="s">
        <v>1366</v>
      </c>
      <c r="CU346" t="s">
        <v>1368</v>
      </c>
      <c r="CV346" t="s">
        <v>1369</v>
      </c>
      <c r="CW346" t="s">
        <v>1370</v>
      </c>
      <c r="CX346" t="s">
        <v>1371</v>
      </c>
      <c r="CY346" t="s">
        <v>1372</v>
      </c>
      <c r="CZ346" t="s">
        <v>1352</v>
      </c>
      <c r="DA346" t="s">
        <v>152</v>
      </c>
      <c r="DB346" t="s">
        <v>178</v>
      </c>
      <c r="DC346" t="s">
        <v>1373</v>
      </c>
      <c r="DD346" t="s">
        <v>657</v>
      </c>
      <c r="DE346">
        <v>10823</v>
      </c>
      <c r="DF346">
        <v>-100.88397000000001</v>
      </c>
      <c r="DG346">
        <v>47.47186</v>
      </c>
      <c r="DH346">
        <v>7525</v>
      </c>
      <c r="DI346">
        <v>260</v>
      </c>
      <c r="DL346">
        <v>8.6</v>
      </c>
      <c r="DM346">
        <v>0.8</v>
      </c>
      <c r="DN346">
        <v>16.2</v>
      </c>
      <c r="DO346">
        <v>190</v>
      </c>
      <c r="DP346">
        <v>104</v>
      </c>
      <c r="DQ346">
        <v>223</v>
      </c>
      <c r="DR346">
        <v>100000</v>
      </c>
      <c r="DS346" t="s">
        <v>1374</v>
      </c>
      <c r="DT346">
        <v>1.2500000000000001E-2</v>
      </c>
      <c r="DU346">
        <v>1.2500000000000001E-2</v>
      </c>
      <c r="DV346">
        <v>0.32500000000000001</v>
      </c>
      <c r="DW346">
        <v>0.32500000000000001</v>
      </c>
      <c r="DX346">
        <v>0.32500000000000001</v>
      </c>
      <c r="DY346">
        <v>0</v>
      </c>
      <c r="DZ346" s="4">
        <v>3.621</v>
      </c>
      <c r="EA346" s="4" t="s">
        <v>1691</v>
      </c>
      <c r="EB346" s="4" t="s">
        <v>1692</v>
      </c>
      <c r="EC346">
        <v>4.3179999999999996</v>
      </c>
      <c r="ED346">
        <v>595</v>
      </c>
      <c r="EE346" t="s">
        <v>1601</v>
      </c>
      <c r="EF346">
        <v>0</v>
      </c>
      <c r="EH346">
        <f t="shared" si="11"/>
        <v>0.58000000000000007</v>
      </c>
      <c r="EI346">
        <v>3.38</v>
      </c>
      <c r="EJ346">
        <v>3.65</v>
      </c>
    </row>
    <row r="347" spans="1:140" x14ac:dyDescent="0.35">
      <c r="A347" s="1">
        <v>345</v>
      </c>
      <c r="B347">
        <v>-98.711204315569631</v>
      </c>
      <c r="C347">
        <v>46.845868028825493</v>
      </c>
      <c r="D347" t="s">
        <v>1696</v>
      </c>
      <c r="E347">
        <v>0.02</v>
      </c>
      <c r="F347" t="s">
        <v>160</v>
      </c>
      <c r="G347">
        <v>7.9399999999999998E-2</v>
      </c>
      <c r="H347" t="s">
        <v>161</v>
      </c>
      <c r="I347">
        <v>-10988481</v>
      </c>
      <c r="J347">
        <v>5916952</v>
      </c>
      <c r="K347" t="s">
        <v>1689</v>
      </c>
      <c r="L347" t="s">
        <v>1697</v>
      </c>
      <c r="M347">
        <v>47</v>
      </c>
      <c r="N347">
        <v>3.5190000000000001</v>
      </c>
      <c r="O347">
        <v>2</v>
      </c>
      <c r="P347">
        <v>4</v>
      </c>
      <c r="Q347">
        <v>38</v>
      </c>
      <c r="R347">
        <v>93</v>
      </c>
      <c r="S347">
        <v>21607</v>
      </c>
      <c r="T347" t="s">
        <v>1368</v>
      </c>
      <c r="U347">
        <v>4.5251219264377163</v>
      </c>
      <c r="V347" t="s">
        <v>1689</v>
      </c>
      <c r="W347">
        <v>7.9299999999999995E-2</v>
      </c>
      <c r="X347">
        <v>10</v>
      </c>
      <c r="Y347">
        <v>8.9</v>
      </c>
      <c r="Z347">
        <v>8.9</v>
      </c>
      <c r="AA347">
        <v>20</v>
      </c>
      <c r="AB347">
        <v>26</v>
      </c>
      <c r="AC347">
        <v>1.4239999999999999</v>
      </c>
      <c r="AD347">
        <v>67</v>
      </c>
      <c r="AE347">
        <v>0.2263191354100445</v>
      </c>
      <c r="AF347">
        <v>2.86</v>
      </c>
      <c r="AG347" t="s">
        <v>1368</v>
      </c>
      <c r="AH347" t="s">
        <v>1689</v>
      </c>
      <c r="AI347">
        <v>31</v>
      </c>
      <c r="AJ347">
        <v>1.033333333333333E-2</v>
      </c>
      <c r="AK347">
        <v>10.33333333333333</v>
      </c>
      <c r="AL347" t="s">
        <v>1698</v>
      </c>
      <c r="AM347">
        <v>0</v>
      </c>
      <c r="AN347">
        <v>1.06</v>
      </c>
      <c r="AO347">
        <v>0.09</v>
      </c>
      <c r="AP347">
        <v>0.19</v>
      </c>
      <c r="AQ347">
        <v>0.77</v>
      </c>
      <c r="AR347">
        <v>0.72</v>
      </c>
      <c r="AS347">
        <v>0.04</v>
      </c>
      <c r="AT347">
        <v>0.01</v>
      </c>
      <c r="AU347">
        <v>0.02</v>
      </c>
      <c r="AV347">
        <v>1.96</v>
      </c>
      <c r="AW347">
        <v>0.96</v>
      </c>
      <c r="AX347">
        <v>0.21</v>
      </c>
      <c r="AY347">
        <v>0.53</v>
      </c>
      <c r="AZ347">
        <v>0</v>
      </c>
      <c r="BA347">
        <v>0.76</v>
      </c>
      <c r="BB347">
        <v>0.08</v>
      </c>
      <c r="BC347">
        <v>0.12</v>
      </c>
      <c r="BD347">
        <v>0.27</v>
      </c>
      <c r="BE347">
        <v>5.17</v>
      </c>
      <c r="BF347">
        <v>4.4800000000000004</v>
      </c>
      <c r="BG347">
        <v>0.24</v>
      </c>
      <c r="BH347">
        <v>0.45</v>
      </c>
      <c r="BI347">
        <v>0</v>
      </c>
      <c r="BJ347">
        <v>0.04</v>
      </c>
      <c r="BK347">
        <v>4.4400000000000004</v>
      </c>
      <c r="BL347">
        <v>0</v>
      </c>
      <c r="BM347">
        <v>1.52</v>
      </c>
      <c r="BN347">
        <v>0.21</v>
      </c>
      <c r="BO347">
        <v>0.46</v>
      </c>
      <c r="BP347">
        <v>0.85</v>
      </c>
      <c r="BQ347">
        <v>0.71</v>
      </c>
      <c r="BR347">
        <v>0.06</v>
      </c>
      <c r="BS347">
        <v>0.09</v>
      </c>
      <c r="BT347">
        <v>0</v>
      </c>
      <c r="BU347">
        <v>5.56</v>
      </c>
      <c r="BV347">
        <v>4.5</v>
      </c>
      <c r="BW347">
        <v>0.34</v>
      </c>
      <c r="BX347">
        <v>0.72</v>
      </c>
      <c r="BY347">
        <v>0</v>
      </c>
      <c r="BZ347">
        <v>0.04</v>
      </c>
      <c r="CA347">
        <v>4.46</v>
      </c>
      <c r="CB347">
        <v>0</v>
      </c>
      <c r="CC347">
        <f t="shared" si="10"/>
        <v>2.75</v>
      </c>
      <c r="CD347">
        <v>3.96</v>
      </c>
      <c r="CE347">
        <v>0.34230769230769231</v>
      </c>
      <c r="CF347">
        <v>0.44500000000000001</v>
      </c>
      <c r="CG347">
        <v>0.1492537313432836</v>
      </c>
      <c r="CH347">
        <v>0.49790209790209788</v>
      </c>
      <c r="CI347">
        <v>0</v>
      </c>
      <c r="CJ347">
        <v>26884</v>
      </c>
      <c r="CK347" t="s">
        <v>141</v>
      </c>
      <c r="CL347" t="s">
        <v>1365</v>
      </c>
      <c r="CM347" t="s">
        <v>143</v>
      </c>
      <c r="CN347">
        <v>0.73731999891699995</v>
      </c>
      <c r="CO347">
        <v>1.5110109614277041</v>
      </c>
      <c r="CP347">
        <v>346</v>
      </c>
      <c r="CQ347" t="s">
        <v>1366</v>
      </c>
      <c r="CR347">
        <v>13</v>
      </c>
      <c r="CS347" t="s">
        <v>1367</v>
      </c>
      <c r="CT347" t="s">
        <v>1366</v>
      </c>
      <c r="CU347" t="s">
        <v>1368</v>
      </c>
      <c r="CV347" t="s">
        <v>1369</v>
      </c>
      <c r="CW347" t="s">
        <v>1370</v>
      </c>
      <c r="CX347" t="s">
        <v>1371</v>
      </c>
      <c r="CY347" t="s">
        <v>1372</v>
      </c>
      <c r="CZ347" t="s">
        <v>1352</v>
      </c>
      <c r="DA347" t="s">
        <v>152</v>
      </c>
      <c r="DB347" t="s">
        <v>178</v>
      </c>
      <c r="DC347" t="s">
        <v>1373</v>
      </c>
      <c r="DD347" t="s">
        <v>657</v>
      </c>
      <c r="DE347">
        <v>10823</v>
      </c>
      <c r="DF347">
        <v>-100.88397000000001</v>
      </c>
      <c r="DG347">
        <v>47.47186</v>
      </c>
      <c r="DH347">
        <v>7525</v>
      </c>
      <c r="DI347">
        <v>260</v>
      </c>
      <c r="DL347">
        <v>8.6</v>
      </c>
      <c r="DM347">
        <v>0.8</v>
      </c>
      <c r="DN347">
        <v>16.2</v>
      </c>
      <c r="DO347">
        <v>190</v>
      </c>
      <c r="DP347">
        <v>104</v>
      </c>
      <c r="DQ347">
        <v>223</v>
      </c>
      <c r="DR347">
        <v>100000</v>
      </c>
      <c r="DS347" t="s">
        <v>1374</v>
      </c>
      <c r="DT347">
        <v>1.2500000000000001E-2</v>
      </c>
      <c r="DU347">
        <v>1.2500000000000001E-2</v>
      </c>
      <c r="DV347">
        <v>0.32500000000000001</v>
      </c>
      <c r="DW347">
        <v>0.32500000000000001</v>
      </c>
      <c r="DX347">
        <v>0.32500000000000001</v>
      </c>
      <c r="DY347">
        <v>0</v>
      </c>
      <c r="DZ347" s="4">
        <v>3.621</v>
      </c>
      <c r="EA347" s="4" t="s">
        <v>1691</v>
      </c>
      <c r="EB347" s="4" t="s">
        <v>1692</v>
      </c>
      <c r="EC347">
        <v>4.3179999999999996</v>
      </c>
      <c r="ED347">
        <v>848</v>
      </c>
      <c r="EE347" t="s">
        <v>1698</v>
      </c>
      <c r="EF347">
        <v>0</v>
      </c>
      <c r="EH347">
        <f t="shared" si="11"/>
        <v>0.58000000000000007</v>
      </c>
      <c r="EI347">
        <v>3.38</v>
      </c>
      <c r="EJ347">
        <v>3.65</v>
      </c>
    </row>
    <row r="348" spans="1:140" x14ac:dyDescent="0.35">
      <c r="A348" s="1">
        <v>346</v>
      </c>
      <c r="B348">
        <v>-96.914573747330593</v>
      </c>
      <c r="C348">
        <v>46.845868028825493</v>
      </c>
      <c r="D348" t="s">
        <v>1699</v>
      </c>
      <c r="E348">
        <v>0.1</v>
      </c>
      <c r="F348" t="s">
        <v>135</v>
      </c>
      <c r="G348">
        <v>7.9399999999999998E-2</v>
      </c>
      <c r="H348" t="s">
        <v>161</v>
      </c>
      <c r="I348">
        <v>-10788481</v>
      </c>
      <c r="J348">
        <v>5916952</v>
      </c>
      <c r="K348" t="s">
        <v>1689</v>
      </c>
      <c r="L348" t="s">
        <v>1700</v>
      </c>
      <c r="M348">
        <v>9</v>
      </c>
      <c r="N348">
        <v>3.423</v>
      </c>
      <c r="O348">
        <v>2</v>
      </c>
      <c r="P348">
        <v>4</v>
      </c>
      <c r="Q348">
        <v>38</v>
      </c>
      <c r="R348">
        <v>17</v>
      </c>
      <c r="S348">
        <v>184528</v>
      </c>
      <c r="T348" t="s">
        <v>1368</v>
      </c>
      <c r="U348">
        <v>4.5251219264377163</v>
      </c>
      <c r="V348" t="s">
        <v>1689</v>
      </c>
      <c r="W348">
        <v>7.9299999999999995E-2</v>
      </c>
      <c r="X348">
        <v>10</v>
      </c>
      <c r="Y348">
        <v>8.9</v>
      </c>
      <c r="Z348">
        <v>8.9</v>
      </c>
      <c r="AA348">
        <v>20</v>
      </c>
      <c r="AB348">
        <v>26</v>
      </c>
      <c r="AC348">
        <v>1.4239999999999999</v>
      </c>
      <c r="AD348">
        <v>67</v>
      </c>
      <c r="AE348">
        <v>0.2263191354100445</v>
      </c>
      <c r="AF348">
        <v>2.86</v>
      </c>
      <c r="AG348" t="s">
        <v>1368</v>
      </c>
      <c r="AH348" t="s">
        <v>1689</v>
      </c>
      <c r="AI348">
        <v>31</v>
      </c>
      <c r="AJ348">
        <v>1.033333333333333E-2</v>
      </c>
      <c r="AK348">
        <v>10.33333333333333</v>
      </c>
      <c r="AL348" t="s">
        <v>1701</v>
      </c>
      <c r="AM348">
        <v>0</v>
      </c>
      <c r="AN348">
        <v>1.06</v>
      </c>
      <c r="AO348">
        <v>0.09</v>
      </c>
      <c r="AP348">
        <v>0.19</v>
      </c>
      <c r="AQ348">
        <v>0.77</v>
      </c>
      <c r="AR348">
        <v>0.72</v>
      </c>
      <c r="AS348">
        <v>0.04</v>
      </c>
      <c r="AT348">
        <v>0.01</v>
      </c>
      <c r="AU348">
        <v>0.02</v>
      </c>
      <c r="AV348">
        <v>1.96</v>
      </c>
      <c r="AW348">
        <v>0.96</v>
      </c>
      <c r="AX348">
        <v>0.21</v>
      </c>
      <c r="AY348">
        <v>0.53</v>
      </c>
      <c r="AZ348">
        <v>0</v>
      </c>
      <c r="BA348">
        <v>0.76</v>
      </c>
      <c r="BB348">
        <v>0.08</v>
      </c>
      <c r="BC348">
        <v>0.12</v>
      </c>
      <c r="BD348">
        <v>0.27</v>
      </c>
      <c r="BE348">
        <v>5.17</v>
      </c>
      <c r="BF348">
        <v>4.4800000000000004</v>
      </c>
      <c r="BG348">
        <v>0.24</v>
      </c>
      <c r="BH348">
        <v>0.45</v>
      </c>
      <c r="BI348">
        <v>0</v>
      </c>
      <c r="BJ348">
        <v>0.04</v>
      </c>
      <c r="BK348">
        <v>4.4400000000000004</v>
      </c>
      <c r="BL348">
        <v>0</v>
      </c>
      <c r="BM348">
        <v>1.52</v>
      </c>
      <c r="BN348">
        <v>0.21</v>
      </c>
      <c r="BO348">
        <v>0.46</v>
      </c>
      <c r="BP348">
        <v>0.85</v>
      </c>
      <c r="BQ348">
        <v>0.71</v>
      </c>
      <c r="BR348">
        <v>0.06</v>
      </c>
      <c r="BS348">
        <v>0.09</v>
      </c>
      <c r="BT348">
        <v>0</v>
      </c>
      <c r="BU348">
        <v>5.56</v>
      </c>
      <c r="BV348">
        <v>4.5</v>
      </c>
      <c r="BW348">
        <v>0.34</v>
      </c>
      <c r="BX348">
        <v>0.72</v>
      </c>
      <c r="BY348">
        <v>0</v>
      </c>
      <c r="BZ348">
        <v>0.04</v>
      </c>
      <c r="CA348">
        <v>4.46</v>
      </c>
      <c r="CB348">
        <v>0</v>
      </c>
      <c r="CC348">
        <f t="shared" si="10"/>
        <v>2.75</v>
      </c>
      <c r="CD348">
        <v>3.96</v>
      </c>
      <c r="CE348">
        <v>0.34230769230769231</v>
      </c>
      <c r="CF348">
        <v>0.44500000000000001</v>
      </c>
      <c r="CG348">
        <v>0.1492537313432836</v>
      </c>
      <c r="CH348">
        <v>0.49790209790209788</v>
      </c>
      <c r="CI348">
        <v>0</v>
      </c>
      <c r="CJ348">
        <v>29802</v>
      </c>
      <c r="CK348" t="s">
        <v>141</v>
      </c>
      <c r="CL348" t="s">
        <v>1617</v>
      </c>
      <c r="CM348" t="s">
        <v>143</v>
      </c>
      <c r="CN348">
        <v>3.0220006618000002E-3</v>
      </c>
      <c r="CO348">
        <v>9.1781008821571781</v>
      </c>
      <c r="CP348">
        <v>347</v>
      </c>
      <c r="CQ348" t="s">
        <v>1366</v>
      </c>
      <c r="CR348">
        <v>13</v>
      </c>
      <c r="CS348" t="s">
        <v>1367</v>
      </c>
      <c r="CT348" t="s">
        <v>1366</v>
      </c>
      <c r="CU348" t="s">
        <v>1368</v>
      </c>
      <c r="CV348" t="s">
        <v>1369</v>
      </c>
      <c r="CW348" t="s">
        <v>1370</v>
      </c>
      <c r="CX348" t="s">
        <v>1371</v>
      </c>
      <c r="CY348" t="s">
        <v>1372</v>
      </c>
      <c r="CZ348" t="s">
        <v>1352</v>
      </c>
      <c r="DA348" t="s">
        <v>152</v>
      </c>
      <c r="DB348" t="s">
        <v>178</v>
      </c>
      <c r="DC348" t="s">
        <v>1373</v>
      </c>
      <c r="DD348" t="s">
        <v>657</v>
      </c>
      <c r="DE348">
        <v>10823</v>
      </c>
      <c r="DF348">
        <v>-100.88397000000001</v>
      </c>
      <c r="DG348">
        <v>47.47186</v>
      </c>
      <c r="DH348">
        <v>7525</v>
      </c>
      <c r="DI348">
        <v>260</v>
      </c>
      <c r="DL348">
        <v>8.6</v>
      </c>
      <c r="DM348">
        <v>0.8</v>
      </c>
      <c r="DN348">
        <v>16.2</v>
      </c>
      <c r="DO348">
        <v>190</v>
      </c>
      <c r="DP348">
        <v>104</v>
      </c>
      <c r="DQ348">
        <v>223</v>
      </c>
      <c r="DR348">
        <v>100000</v>
      </c>
      <c r="DS348" t="s">
        <v>1374</v>
      </c>
      <c r="DT348">
        <v>1.2500000000000001E-2</v>
      </c>
      <c r="DU348">
        <v>1.2500000000000001E-2</v>
      </c>
      <c r="DV348">
        <v>0.32500000000000001</v>
      </c>
      <c r="DW348">
        <v>0.32500000000000001</v>
      </c>
      <c r="DX348">
        <v>0.32500000000000001</v>
      </c>
      <c r="DY348">
        <v>13.18466904362811</v>
      </c>
      <c r="DZ348" s="4">
        <v>3.621</v>
      </c>
      <c r="EA348" s="4" t="s">
        <v>1691</v>
      </c>
      <c r="EB348" s="4" t="s">
        <v>1692</v>
      </c>
      <c r="EC348">
        <v>4.3179999999999996</v>
      </c>
      <c r="ED348">
        <v>822</v>
      </c>
      <c r="EE348" t="s">
        <v>1701</v>
      </c>
      <c r="EF348">
        <v>0</v>
      </c>
      <c r="EH348">
        <f t="shared" si="11"/>
        <v>0.58000000000000007</v>
      </c>
      <c r="EI348">
        <v>3.38</v>
      </c>
      <c r="EJ348">
        <v>3.65</v>
      </c>
    </row>
    <row r="349" spans="1:140" x14ac:dyDescent="0.35">
      <c r="A349" s="1">
        <v>347</v>
      </c>
      <c r="B349">
        <v>-95.11794317909154</v>
      </c>
      <c r="C349">
        <v>46.845868028825493</v>
      </c>
      <c r="D349" t="s">
        <v>1702</v>
      </c>
      <c r="E349">
        <v>0.1</v>
      </c>
      <c r="F349" t="s">
        <v>306</v>
      </c>
      <c r="G349">
        <v>7.9399999999999998E-2</v>
      </c>
      <c r="H349" t="s">
        <v>161</v>
      </c>
      <c r="I349">
        <v>-10588481</v>
      </c>
      <c r="J349">
        <v>5916952</v>
      </c>
      <c r="K349" t="s">
        <v>1497</v>
      </c>
      <c r="L349" t="s">
        <v>1703</v>
      </c>
      <c r="M349">
        <v>29</v>
      </c>
      <c r="N349">
        <v>3.66</v>
      </c>
      <c r="O349">
        <v>2</v>
      </c>
      <c r="P349">
        <v>4</v>
      </c>
      <c r="Q349">
        <v>27</v>
      </c>
      <c r="R349">
        <v>57</v>
      </c>
      <c r="S349">
        <v>21348</v>
      </c>
      <c r="T349" t="s">
        <v>1499</v>
      </c>
      <c r="U349">
        <v>5.6054727189595601</v>
      </c>
      <c r="V349" t="s">
        <v>1497</v>
      </c>
      <c r="W349">
        <v>0.1235</v>
      </c>
      <c r="X349">
        <v>10</v>
      </c>
      <c r="Y349">
        <v>8.9</v>
      </c>
      <c r="Z349">
        <v>8.9</v>
      </c>
      <c r="AA349">
        <v>20</v>
      </c>
      <c r="AB349">
        <v>26</v>
      </c>
      <c r="AC349">
        <v>0.76600000000000001</v>
      </c>
      <c r="AD349">
        <v>67</v>
      </c>
      <c r="AE349">
        <v>0.12174189446916719</v>
      </c>
      <c r="AF349">
        <v>2.86</v>
      </c>
      <c r="AG349" t="s">
        <v>1499</v>
      </c>
      <c r="AH349" t="s">
        <v>1497</v>
      </c>
      <c r="AI349">
        <v>28</v>
      </c>
      <c r="AJ349">
        <v>9.3333333333333341E-3</v>
      </c>
      <c r="AK349">
        <v>9.3333333333333339</v>
      </c>
      <c r="AL349" t="s">
        <v>1704</v>
      </c>
      <c r="AM349">
        <v>21458.667357975559</v>
      </c>
      <c r="AN349">
        <v>1.23</v>
      </c>
      <c r="AO349">
        <v>0.09</v>
      </c>
      <c r="AP349">
        <v>0.19</v>
      </c>
      <c r="AQ349">
        <v>0.95</v>
      </c>
      <c r="AR349">
        <v>0.89</v>
      </c>
      <c r="AS349">
        <v>0.04</v>
      </c>
      <c r="AT349">
        <v>0.02</v>
      </c>
      <c r="AU349">
        <v>0.02</v>
      </c>
      <c r="AV349">
        <v>2.2000000000000002</v>
      </c>
      <c r="AW349">
        <v>1.2</v>
      </c>
      <c r="AX349">
        <v>0.21</v>
      </c>
      <c r="AY349">
        <v>0.53</v>
      </c>
      <c r="AZ349">
        <v>0</v>
      </c>
      <c r="BA349">
        <v>0.94</v>
      </c>
      <c r="BB349">
        <v>0.08</v>
      </c>
      <c r="BC349">
        <v>0.18</v>
      </c>
      <c r="BD349">
        <v>0.27</v>
      </c>
      <c r="BE349">
        <v>7.39</v>
      </c>
      <c r="BF349">
        <v>6.7</v>
      </c>
      <c r="BG349">
        <v>0.24</v>
      </c>
      <c r="BH349">
        <v>0.45</v>
      </c>
      <c r="BI349">
        <v>0</v>
      </c>
      <c r="BJ349">
        <v>0.04</v>
      </c>
      <c r="BK349">
        <v>6.66</v>
      </c>
      <c r="BL349">
        <v>0</v>
      </c>
      <c r="BM349">
        <v>1.74</v>
      </c>
      <c r="BN349">
        <v>0.21</v>
      </c>
      <c r="BO349">
        <v>0.46</v>
      </c>
      <c r="BP349">
        <v>1.07</v>
      </c>
      <c r="BQ349">
        <v>0.88</v>
      </c>
      <c r="BR349">
        <v>0.06</v>
      </c>
      <c r="BS349">
        <v>0.13</v>
      </c>
      <c r="BT349">
        <v>0</v>
      </c>
      <c r="BU349">
        <v>7.79</v>
      </c>
      <c r="BV349">
        <v>6.73</v>
      </c>
      <c r="BW349">
        <v>0.34</v>
      </c>
      <c r="BX349">
        <v>0.72</v>
      </c>
      <c r="BY349">
        <v>0</v>
      </c>
      <c r="BZ349">
        <v>0.04</v>
      </c>
      <c r="CA349">
        <v>6.7</v>
      </c>
      <c r="CB349">
        <v>0</v>
      </c>
      <c r="CC349">
        <f t="shared" si="10"/>
        <v>2.75</v>
      </c>
      <c r="CD349">
        <v>3.96</v>
      </c>
      <c r="CE349">
        <v>0.34230769230769231</v>
      </c>
      <c r="CF349">
        <v>0.44500000000000001</v>
      </c>
      <c r="CG349">
        <v>0.1492537313432836</v>
      </c>
      <c r="CH349">
        <v>0.26783216783216779</v>
      </c>
      <c r="CI349">
        <v>0</v>
      </c>
      <c r="CJ349">
        <v>29799</v>
      </c>
      <c r="CK349" t="s">
        <v>141</v>
      </c>
      <c r="CL349" t="s">
        <v>1617</v>
      </c>
      <c r="CM349" t="s">
        <v>143</v>
      </c>
      <c r="CN349">
        <v>0.74713908318599997</v>
      </c>
      <c r="CO349">
        <v>39.390178879450481</v>
      </c>
      <c r="CP349">
        <v>348</v>
      </c>
      <c r="CQ349" t="s">
        <v>1366</v>
      </c>
      <c r="CR349">
        <v>13</v>
      </c>
      <c r="CS349" t="s">
        <v>1367</v>
      </c>
      <c r="CT349" t="s">
        <v>1366</v>
      </c>
      <c r="CU349" t="s">
        <v>1368</v>
      </c>
      <c r="CV349" t="s">
        <v>1369</v>
      </c>
      <c r="CW349" t="s">
        <v>1370</v>
      </c>
      <c r="CX349" t="s">
        <v>1371</v>
      </c>
      <c r="CY349" t="s">
        <v>1372</v>
      </c>
      <c r="CZ349" t="s">
        <v>1352</v>
      </c>
      <c r="DA349" t="s">
        <v>152</v>
      </c>
      <c r="DB349" t="s">
        <v>178</v>
      </c>
      <c r="DC349" t="s">
        <v>1373</v>
      </c>
      <c r="DD349" t="s">
        <v>657</v>
      </c>
      <c r="DE349">
        <v>10823</v>
      </c>
      <c r="DF349">
        <v>-100.88397000000001</v>
      </c>
      <c r="DG349">
        <v>47.47186</v>
      </c>
      <c r="DH349">
        <v>7525</v>
      </c>
      <c r="DI349">
        <v>260</v>
      </c>
      <c r="DL349">
        <v>8.6</v>
      </c>
      <c r="DM349">
        <v>0.8</v>
      </c>
      <c r="DN349">
        <v>16.2</v>
      </c>
      <c r="DO349">
        <v>190</v>
      </c>
      <c r="DP349">
        <v>104</v>
      </c>
      <c r="DQ349">
        <v>223</v>
      </c>
      <c r="DR349">
        <v>100000</v>
      </c>
      <c r="DS349" t="s">
        <v>1374</v>
      </c>
      <c r="DT349">
        <v>1.2500000000000001E-2</v>
      </c>
      <c r="DU349">
        <v>1.2500000000000001E-2</v>
      </c>
      <c r="DV349">
        <v>0.32500000000000001</v>
      </c>
      <c r="DW349">
        <v>0.32500000000000001</v>
      </c>
      <c r="DX349">
        <v>0.32500000000000001</v>
      </c>
      <c r="DY349">
        <v>136.6567206602727</v>
      </c>
      <c r="DZ349" s="4">
        <v>3.766</v>
      </c>
      <c r="EA349" s="4" t="s">
        <v>1501</v>
      </c>
      <c r="EB349" s="4" t="s">
        <v>1502</v>
      </c>
      <c r="EC349">
        <v>4.6429999999999998</v>
      </c>
      <c r="ED349">
        <v>478</v>
      </c>
      <c r="EE349" t="s">
        <v>1704</v>
      </c>
      <c r="EF349">
        <v>0.13615075935351101</v>
      </c>
      <c r="EH349">
        <f t="shared" si="11"/>
        <v>0.58000000000000007</v>
      </c>
      <c r="EI349">
        <v>3.38</v>
      </c>
      <c r="EJ349">
        <v>3.65</v>
      </c>
    </row>
    <row r="350" spans="1:140" x14ac:dyDescent="0.35">
      <c r="A350" s="1">
        <v>348</v>
      </c>
      <c r="B350">
        <v>-93.321312610852502</v>
      </c>
      <c r="C350">
        <v>46.845868028825493</v>
      </c>
      <c r="D350" t="s">
        <v>1705</v>
      </c>
      <c r="E350">
        <v>0.1</v>
      </c>
      <c r="F350" t="s">
        <v>326</v>
      </c>
      <c r="G350">
        <v>7.9399999999999998E-2</v>
      </c>
      <c r="H350" t="s">
        <v>161</v>
      </c>
      <c r="I350">
        <v>-10388481</v>
      </c>
      <c r="J350">
        <v>5916952</v>
      </c>
      <c r="K350" t="s">
        <v>1497</v>
      </c>
      <c r="L350" t="s">
        <v>1706</v>
      </c>
      <c r="M350">
        <v>1</v>
      </c>
      <c r="N350">
        <v>3.6819999999999999</v>
      </c>
      <c r="O350">
        <v>2</v>
      </c>
      <c r="P350">
        <v>4</v>
      </c>
      <c r="Q350">
        <v>27</v>
      </c>
      <c r="R350">
        <v>1</v>
      </c>
      <c r="S350">
        <v>15703</v>
      </c>
      <c r="T350" t="s">
        <v>1499</v>
      </c>
      <c r="U350">
        <v>5.6054727189595601</v>
      </c>
      <c r="V350" t="s">
        <v>1497</v>
      </c>
      <c r="W350">
        <v>0.1235</v>
      </c>
      <c r="X350">
        <v>10</v>
      </c>
      <c r="Y350">
        <v>8.9</v>
      </c>
      <c r="Z350">
        <v>8.9</v>
      </c>
      <c r="AA350">
        <v>20</v>
      </c>
      <c r="AB350">
        <v>26</v>
      </c>
      <c r="AC350">
        <v>0.76600000000000001</v>
      </c>
      <c r="AD350">
        <v>67</v>
      </c>
      <c r="AE350">
        <v>0.12174189446916719</v>
      </c>
      <c r="AF350">
        <v>2.86</v>
      </c>
      <c r="AG350" t="s">
        <v>1499</v>
      </c>
      <c r="AH350" t="s">
        <v>1497</v>
      </c>
      <c r="AI350">
        <v>28</v>
      </c>
      <c r="AJ350">
        <v>9.3333333333333341E-3</v>
      </c>
      <c r="AK350">
        <v>9.3333333333333339</v>
      </c>
      <c r="AL350" t="s">
        <v>1707</v>
      </c>
      <c r="AM350">
        <v>29122.883110654799</v>
      </c>
      <c r="AN350">
        <v>1.23</v>
      </c>
      <c r="AO350">
        <v>0.09</v>
      </c>
      <c r="AP350">
        <v>0.19</v>
      </c>
      <c r="AQ350">
        <v>0.95</v>
      </c>
      <c r="AR350">
        <v>0.89</v>
      </c>
      <c r="AS350">
        <v>0.04</v>
      </c>
      <c r="AT350">
        <v>0.02</v>
      </c>
      <c r="AU350">
        <v>0.02</v>
      </c>
      <c r="AV350">
        <v>2.2000000000000002</v>
      </c>
      <c r="AW350">
        <v>1.2</v>
      </c>
      <c r="AX350">
        <v>0.21</v>
      </c>
      <c r="AY350">
        <v>0.53</v>
      </c>
      <c r="AZ350">
        <v>0</v>
      </c>
      <c r="BA350">
        <v>0.94</v>
      </c>
      <c r="BB350">
        <v>0.08</v>
      </c>
      <c r="BC350">
        <v>0.18</v>
      </c>
      <c r="BD350">
        <v>0.27</v>
      </c>
      <c r="BE350">
        <v>7.39</v>
      </c>
      <c r="BF350">
        <v>6.7</v>
      </c>
      <c r="BG350">
        <v>0.24</v>
      </c>
      <c r="BH350">
        <v>0.45</v>
      </c>
      <c r="BI350">
        <v>0</v>
      </c>
      <c r="BJ350">
        <v>0.04</v>
      </c>
      <c r="BK350">
        <v>6.66</v>
      </c>
      <c r="BL350">
        <v>0</v>
      </c>
      <c r="BM350">
        <v>1.74</v>
      </c>
      <c r="BN350">
        <v>0.21</v>
      </c>
      <c r="BO350">
        <v>0.46</v>
      </c>
      <c r="BP350">
        <v>1.07</v>
      </c>
      <c r="BQ350">
        <v>0.88</v>
      </c>
      <c r="BR350">
        <v>0.06</v>
      </c>
      <c r="BS350">
        <v>0.13</v>
      </c>
      <c r="BT350">
        <v>0</v>
      </c>
      <c r="BU350">
        <v>7.79</v>
      </c>
      <c r="BV350">
        <v>6.73</v>
      </c>
      <c r="BW350">
        <v>0.34</v>
      </c>
      <c r="BX350">
        <v>0.72</v>
      </c>
      <c r="BY350">
        <v>0</v>
      </c>
      <c r="BZ350">
        <v>0.04</v>
      </c>
      <c r="CA350">
        <v>6.7</v>
      </c>
      <c r="CB350">
        <v>0</v>
      </c>
      <c r="CC350">
        <f t="shared" si="10"/>
        <v>2.75</v>
      </c>
      <c r="CD350">
        <v>3.96</v>
      </c>
      <c r="CE350">
        <v>0.34230769230769231</v>
      </c>
      <c r="CF350">
        <v>0.44500000000000001</v>
      </c>
      <c r="CG350">
        <v>0.1492537313432836</v>
      </c>
      <c r="CH350">
        <v>0.26783216783216779</v>
      </c>
      <c r="CI350">
        <v>0</v>
      </c>
      <c r="CJ350">
        <v>5656</v>
      </c>
      <c r="CK350" t="s">
        <v>141</v>
      </c>
      <c r="CL350" t="s">
        <v>1629</v>
      </c>
      <c r="CM350" t="s">
        <v>143</v>
      </c>
      <c r="CN350">
        <v>0.66280010133699996</v>
      </c>
      <c r="CO350">
        <v>22.039691195694129</v>
      </c>
      <c r="CP350">
        <v>349</v>
      </c>
      <c r="CQ350" t="s">
        <v>1366</v>
      </c>
      <c r="CR350">
        <v>13</v>
      </c>
      <c r="CS350" t="s">
        <v>1367</v>
      </c>
      <c r="CT350" t="s">
        <v>1366</v>
      </c>
      <c r="CU350" t="s">
        <v>1368</v>
      </c>
      <c r="CV350" t="s">
        <v>1369</v>
      </c>
      <c r="CW350" t="s">
        <v>1370</v>
      </c>
      <c r="CX350" t="s">
        <v>1371</v>
      </c>
      <c r="CY350" t="s">
        <v>1372</v>
      </c>
      <c r="CZ350" t="s">
        <v>1352</v>
      </c>
      <c r="DA350" t="s">
        <v>152</v>
      </c>
      <c r="DB350" t="s">
        <v>178</v>
      </c>
      <c r="DC350" t="s">
        <v>1373</v>
      </c>
      <c r="DD350" t="s">
        <v>657</v>
      </c>
      <c r="DE350">
        <v>10823</v>
      </c>
      <c r="DF350">
        <v>-100.88397000000001</v>
      </c>
      <c r="DG350">
        <v>47.47186</v>
      </c>
      <c r="DH350">
        <v>7525</v>
      </c>
      <c r="DI350">
        <v>260</v>
      </c>
      <c r="DL350">
        <v>8.6</v>
      </c>
      <c r="DM350">
        <v>0.8</v>
      </c>
      <c r="DN350">
        <v>16.2</v>
      </c>
      <c r="DO350">
        <v>190</v>
      </c>
      <c r="DP350">
        <v>104</v>
      </c>
      <c r="DQ350">
        <v>223</v>
      </c>
      <c r="DR350">
        <v>100000</v>
      </c>
      <c r="DS350" t="s">
        <v>1374</v>
      </c>
      <c r="DT350">
        <v>1.2500000000000001E-2</v>
      </c>
      <c r="DU350">
        <v>1.2500000000000001E-2</v>
      </c>
      <c r="DV350">
        <v>0.32500000000000001</v>
      </c>
      <c r="DW350">
        <v>0.32500000000000001</v>
      </c>
      <c r="DX350">
        <v>0.32500000000000001</v>
      </c>
      <c r="DY350">
        <v>237.54722815610091</v>
      </c>
      <c r="DZ350" s="4">
        <v>3.766</v>
      </c>
      <c r="EA350" s="4" t="s">
        <v>1501</v>
      </c>
      <c r="EB350" s="4" t="s">
        <v>1502</v>
      </c>
      <c r="EC350">
        <v>4.6429999999999998</v>
      </c>
      <c r="ED350">
        <v>319</v>
      </c>
      <c r="EE350" t="s">
        <v>1708</v>
      </c>
      <c r="EF350">
        <v>0.18240231514658939</v>
      </c>
      <c r="EH350">
        <f t="shared" si="11"/>
        <v>0.58000000000000007</v>
      </c>
      <c r="EI350">
        <v>3.38</v>
      </c>
      <c r="EJ350">
        <v>3.65</v>
      </c>
    </row>
    <row r="351" spans="1:140" x14ac:dyDescent="0.35">
      <c r="A351" s="1">
        <v>349</v>
      </c>
      <c r="B351">
        <v>-91.524682042613449</v>
      </c>
      <c r="C351">
        <v>46.845868028825493</v>
      </c>
      <c r="D351" t="s">
        <v>1709</v>
      </c>
      <c r="E351">
        <v>0.1</v>
      </c>
      <c r="F351" t="s">
        <v>1277</v>
      </c>
      <c r="G351">
        <v>7.9399999999999998E-2</v>
      </c>
      <c r="H351" t="s">
        <v>161</v>
      </c>
      <c r="I351">
        <v>-10188481</v>
      </c>
      <c r="J351">
        <v>5916952</v>
      </c>
      <c r="K351" t="s">
        <v>1393</v>
      </c>
      <c r="L351" t="s">
        <v>1710</v>
      </c>
      <c r="T351" t="s">
        <v>1395</v>
      </c>
      <c r="U351">
        <v>6.5847896768949399</v>
      </c>
      <c r="V351" t="s">
        <v>1393</v>
      </c>
      <c r="W351">
        <v>0.12720000000000001</v>
      </c>
      <c r="X351">
        <v>10</v>
      </c>
      <c r="Y351">
        <v>8.9</v>
      </c>
      <c r="Z351">
        <v>8.9</v>
      </c>
      <c r="AA351">
        <v>20</v>
      </c>
      <c r="AB351">
        <v>26</v>
      </c>
      <c r="AC351">
        <v>1.0900000000000001</v>
      </c>
      <c r="AD351">
        <v>67</v>
      </c>
      <c r="AE351">
        <v>0.17323585505403691</v>
      </c>
      <c r="AF351">
        <v>2.86</v>
      </c>
      <c r="AG351" t="s">
        <v>1395</v>
      </c>
      <c r="AH351" t="s">
        <v>1393</v>
      </c>
      <c r="AI351">
        <v>18</v>
      </c>
      <c r="AJ351">
        <v>6.0000000000000001E-3</v>
      </c>
      <c r="AK351">
        <v>6</v>
      </c>
      <c r="AL351" t="s">
        <v>1707</v>
      </c>
      <c r="AM351">
        <v>14966.876423322719</v>
      </c>
      <c r="AN351">
        <v>1.39</v>
      </c>
      <c r="AO351">
        <v>0.09</v>
      </c>
      <c r="AP351">
        <v>0.19</v>
      </c>
      <c r="AQ351">
        <v>1.1000000000000001</v>
      </c>
      <c r="AR351">
        <v>1.04</v>
      </c>
      <c r="AS351">
        <v>0.04</v>
      </c>
      <c r="AT351">
        <v>0.02</v>
      </c>
      <c r="AU351">
        <v>0.02</v>
      </c>
      <c r="AV351">
        <v>2.38</v>
      </c>
      <c r="AW351">
        <v>1.38</v>
      </c>
      <c r="AX351">
        <v>0.21</v>
      </c>
      <c r="AY351">
        <v>0.53</v>
      </c>
      <c r="AZ351">
        <v>0</v>
      </c>
      <c r="BA351">
        <v>1.1100000000000001</v>
      </c>
      <c r="BB351">
        <v>0.08</v>
      </c>
      <c r="BC351">
        <v>0.2</v>
      </c>
      <c r="BD351">
        <v>0.27</v>
      </c>
      <c r="BE351">
        <v>7.94</v>
      </c>
      <c r="BF351">
        <v>7.25</v>
      </c>
      <c r="BG351">
        <v>0.24</v>
      </c>
      <c r="BH351">
        <v>0.45</v>
      </c>
      <c r="BI351">
        <v>0</v>
      </c>
      <c r="BJ351">
        <v>0.04</v>
      </c>
      <c r="BK351">
        <v>7.21</v>
      </c>
      <c r="BL351">
        <v>0</v>
      </c>
      <c r="BM351">
        <v>1.9</v>
      </c>
      <c r="BN351">
        <v>0.21</v>
      </c>
      <c r="BO351">
        <v>0.46</v>
      </c>
      <c r="BP351">
        <v>1.23</v>
      </c>
      <c r="BQ351">
        <v>1.03</v>
      </c>
      <c r="BR351">
        <v>0.06</v>
      </c>
      <c r="BS351">
        <v>0.14000000000000001</v>
      </c>
      <c r="BT351">
        <v>0</v>
      </c>
      <c r="BU351">
        <v>8.35</v>
      </c>
      <c r="BV351">
        <v>7.29</v>
      </c>
      <c r="BW351">
        <v>0.34</v>
      </c>
      <c r="BX351">
        <v>0.72</v>
      </c>
      <c r="BY351">
        <v>0</v>
      </c>
      <c r="BZ351">
        <v>0.04</v>
      </c>
      <c r="CA351">
        <v>7.25</v>
      </c>
      <c r="CB351">
        <v>0</v>
      </c>
      <c r="CC351">
        <f t="shared" si="10"/>
        <v>2.75</v>
      </c>
      <c r="CD351">
        <v>3.96</v>
      </c>
      <c r="CE351">
        <v>0.34230769230769231</v>
      </c>
      <c r="CF351">
        <v>0.44500000000000001</v>
      </c>
      <c r="CG351">
        <v>0.1492537313432836</v>
      </c>
      <c r="CH351">
        <v>0.38111888111888109</v>
      </c>
      <c r="CI351">
        <v>0</v>
      </c>
      <c r="CJ351">
        <v>5620</v>
      </c>
      <c r="CK351" t="s">
        <v>141</v>
      </c>
      <c r="CL351" t="s">
        <v>1629</v>
      </c>
      <c r="CM351" t="s">
        <v>143</v>
      </c>
      <c r="CN351">
        <v>0.21756205724800001</v>
      </c>
      <c r="CO351">
        <v>22.646703886149041</v>
      </c>
      <c r="CP351">
        <v>350</v>
      </c>
      <c r="CQ351" t="s">
        <v>1366</v>
      </c>
      <c r="CR351">
        <v>13</v>
      </c>
      <c r="CS351" t="s">
        <v>1367</v>
      </c>
      <c r="CT351" t="s">
        <v>1366</v>
      </c>
      <c r="CU351" t="s">
        <v>1368</v>
      </c>
      <c r="CV351" t="s">
        <v>1369</v>
      </c>
      <c r="CW351" t="s">
        <v>1370</v>
      </c>
      <c r="CX351" t="s">
        <v>1371</v>
      </c>
      <c r="CY351" t="s">
        <v>1372</v>
      </c>
      <c r="CZ351" t="s">
        <v>1352</v>
      </c>
      <c r="DA351" t="s">
        <v>152</v>
      </c>
      <c r="DB351" t="s">
        <v>178</v>
      </c>
      <c r="DC351" t="s">
        <v>1373</v>
      </c>
      <c r="DD351" t="s">
        <v>657</v>
      </c>
      <c r="DE351">
        <v>10823</v>
      </c>
      <c r="DF351">
        <v>-100.88397000000001</v>
      </c>
      <c r="DG351">
        <v>47.47186</v>
      </c>
      <c r="DH351">
        <v>7525</v>
      </c>
      <c r="DI351">
        <v>260</v>
      </c>
      <c r="DL351">
        <v>8.6</v>
      </c>
      <c r="DM351">
        <v>0.8</v>
      </c>
      <c r="DN351">
        <v>16.2</v>
      </c>
      <c r="DO351">
        <v>190</v>
      </c>
      <c r="DP351">
        <v>104</v>
      </c>
      <c r="DQ351">
        <v>223</v>
      </c>
      <c r="DR351">
        <v>100000</v>
      </c>
      <c r="DS351" t="s">
        <v>1374</v>
      </c>
      <c r="DT351">
        <v>1.2500000000000001E-2</v>
      </c>
      <c r="DU351">
        <v>1.2500000000000001E-2</v>
      </c>
      <c r="DV351">
        <v>0.32500000000000001</v>
      </c>
      <c r="DW351">
        <v>0.32500000000000001</v>
      </c>
      <c r="DX351">
        <v>0.32500000000000001</v>
      </c>
      <c r="DY351">
        <v>348.60586695775129</v>
      </c>
      <c r="DZ351" s="4">
        <v>3.6840000000000002</v>
      </c>
      <c r="EA351" s="4" t="s">
        <v>1397</v>
      </c>
      <c r="EB351" s="4" t="s">
        <v>1398</v>
      </c>
      <c r="EC351">
        <v>4.5810000000000004</v>
      </c>
      <c r="ED351">
        <v>200</v>
      </c>
      <c r="EE351" t="s">
        <v>1707</v>
      </c>
      <c r="EF351">
        <v>9.4078067595286738E-2</v>
      </c>
      <c r="EH351">
        <f t="shared" si="11"/>
        <v>0.58000000000000007</v>
      </c>
      <c r="EI351">
        <v>3.38</v>
      </c>
      <c r="EJ351">
        <v>3.65</v>
      </c>
    </row>
    <row r="352" spans="1:140" x14ac:dyDescent="0.35">
      <c r="A352" s="1">
        <v>350</v>
      </c>
      <c r="B352">
        <v>-89.728051474374411</v>
      </c>
      <c r="C352">
        <v>46.845868028825493</v>
      </c>
      <c r="D352" t="s">
        <v>1711</v>
      </c>
      <c r="E352">
        <v>0.1</v>
      </c>
      <c r="F352" t="s">
        <v>1277</v>
      </c>
      <c r="G352">
        <v>0.1239</v>
      </c>
      <c r="H352" t="s">
        <v>161</v>
      </c>
      <c r="I352">
        <v>-9988481</v>
      </c>
      <c r="J352">
        <v>5916952</v>
      </c>
      <c r="K352" t="s">
        <v>1138</v>
      </c>
      <c r="L352" t="s">
        <v>1710</v>
      </c>
      <c r="T352" t="s">
        <v>1136</v>
      </c>
      <c r="U352">
        <v>7.3304777992277996</v>
      </c>
      <c r="V352" t="s">
        <v>1138</v>
      </c>
      <c r="W352">
        <v>0.1416</v>
      </c>
      <c r="X352">
        <v>10</v>
      </c>
      <c r="Y352">
        <v>8.9</v>
      </c>
      <c r="Z352">
        <v>8.9</v>
      </c>
      <c r="AA352">
        <v>20</v>
      </c>
      <c r="AB352">
        <v>26</v>
      </c>
      <c r="AC352">
        <v>0.95699999999999996</v>
      </c>
      <c r="AD352">
        <v>67</v>
      </c>
      <c r="AE352">
        <v>0.15209790209790211</v>
      </c>
      <c r="AF352">
        <v>2.86</v>
      </c>
      <c r="AG352" t="s">
        <v>1136</v>
      </c>
      <c r="AH352" t="s">
        <v>1138</v>
      </c>
      <c r="AI352">
        <v>29</v>
      </c>
      <c r="AJ352">
        <v>9.6666666666666672E-3</v>
      </c>
      <c r="AK352">
        <v>9.6666666666666679</v>
      </c>
      <c r="AL352" t="s">
        <v>1712</v>
      </c>
      <c r="AM352">
        <v>86511.913454141613</v>
      </c>
      <c r="AN352">
        <v>1.51</v>
      </c>
      <c r="AO352">
        <v>0.09</v>
      </c>
      <c r="AP352">
        <v>0.19</v>
      </c>
      <c r="AQ352">
        <v>1.22</v>
      </c>
      <c r="AR352">
        <v>1.1599999999999999</v>
      </c>
      <c r="AS352">
        <v>0.04</v>
      </c>
      <c r="AT352">
        <v>0.02</v>
      </c>
      <c r="AU352">
        <v>0.02</v>
      </c>
      <c r="AV352">
        <v>2.52</v>
      </c>
      <c r="AW352">
        <v>1.52</v>
      </c>
      <c r="AX352">
        <v>0.21</v>
      </c>
      <c r="AY352">
        <v>0.53</v>
      </c>
      <c r="AZ352">
        <v>0</v>
      </c>
      <c r="BA352">
        <v>1.23</v>
      </c>
      <c r="BB352">
        <v>0.08</v>
      </c>
      <c r="BC352">
        <v>0.21</v>
      </c>
      <c r="BD352">
        <v>0.27</v>
      </c>
      <c r="BE352">
        <v>8.5</v>
      </c>
      <c r="BF352">
        <v>7.81</v>
      </c>
      <c r="BG352">
        <v>0.24</v>
      </c>
      <c r="BH352">
        <v>0.45</v>
      </c>
      <c r="BI352">
        <v>0</v>
      </c>
      <c r="BJ352">
        <v>0.04</v>
      </c>
      <c r="BK352">
        <v>7.77</v>
      </c>
      <c r="BL352">
        <v>0</v>
      </c>
      <c r="BM352">
        <v>2.0299999999999998</v>
      </c>
      <c r="BN352">
        <v>0.21</v>
      </c>
      <c r="BO352">
        <v>0.46</v>
      </c>
      <c r="BP352">
        <v>1.36</v>
      </c>
      <c r="BQ352">
        <v>1.1399999999999999</v>
      </c>
      <c r="BR352">
        <v>0.06</v>
      </c>
      <c r="BS352">
        <v>0.16</v>
      </c>
      <c r="BT352">
        <v>0</v>
      </c>
      <c r="BU352">
        <v>8.91</v>
      </c>
      <c r="BV352">
        <v>7.85</v>
      </c>
      <c r="BW352">
        <v>0.34</v>
      </c>
      <c r="BX352">
        <v>0.72</v>
      </c>
      <c r="BY352">
        <v>0</v>
      </c>
      <c r="BZ352">
        <v>0.04</v>
      </c>
      <c r="CA352">
        <v>7.81</v>
      </c>
      <c r="CB352">
        <v>0</v>
      </c>
      <c r="CC352">
        <f t="shared" si="10"/>
        <v>2.75</v>
      </c>
      <c r="CD352">
        <v>3.96</v>
      </c>
      <c r="CE352">
        <v>0.34230769230769231</v>
      </c>
      <c r="CF352">
        <v>0.44500000000000001</v>
      </c>
      <c r="CG352">
        <v>0.1492537313432836</v>
      </c>
      <c r="CH352">
        <v>0.33461538461538459</v>
      </c>
      <c r="CI352">
        <v>0</v>
      </c>
      <c r="CJ352">
        <v>17372</v>
      </c>
      <c r="CK352" t="s">
        <v>141</v>
      </c>
      <c r="CL352" t="s">
        <v>475</v>
      </c>
      <c r="CM352" t="s">
        <v>143</v>
      </c>
      <c r="CN352">
        <v>0.20172799999999999</v>
      </c>
      <c r="CO352">
        <v>10.41673485693642</v>
      </c>
      <c r="CP352">
        <v>351</v>
      </c>
      <c r="CQ352" t="s">
        <v>1622</v>
      </c>
      <c r="CR352">
        <v>201</v>
      </c>
      <c r="CS352" t="s">
        <v>1412</v>
      </c>
      <c r="CT352" t="s">
        <v>1413</v>
      </c>
      <c r="CU352" t="s">
        <v>1136</v>
      </c>
      <c r="CV352" t="s">
        <v>1414</v>
      </c>
      <c r="CW352" t="s">
        <v>1138</v>
      </c>
      <c r="CX352" t="s">
        <v>1139</v>
      </c>
      <c r="CY352" t="s">
        <v>1140</v>
      </c>
      <c r="CZ352" t="s">
        <v>686</v>
      </c>
      <c r="DA352" t="s">
        <v>152</v>
      </c>
      <c r="DB352" t="s">
        <v>178</v>
      </c>
      <c r="DC352" t="s">
        <v>459</v>
      </c>
      <c r="DD352" t="s">
        <v>492</v>
      </c>
      <c r="DE352">
        <v>9198</v>
      </c>
      <c r="DF352">
        <v>-84.445599999999999</v>
      </c>
      <c r="DG352">
        <v>43.7074</v>
      </c>
      <c r="DH352">
        <v>7310</v>
      </c>
      <c r="DI352">
        <v>450</v>
      </c>
      <c r="DL352">
        <v>7</v>
      </c>
      <c r="DM352">
        <v>5.5</v>
      </c>
      <c r="DN352">
        <v>8.4</v>
      </c>
      <c r="DO352">
        <v>75</v>
      </c>
      <c r="DP352">
        <v>10</v>
      </c>
      <c r="DQ352">
        <v>300</v>
      </c>
      <c r="DS352" t="s">
        <v>1415</v>
      </c>
      <c r="DT352">
        <v>1.2500000000000001E-2</v>
      </c>
      <c r="DU352">
        <v>1.2500000000000001E-2</v>
      </c>
      <c r="DV352">
        <v>0.32500000000000001</v>
      </c>
      <c r="DW352">
        <v>0.32500000000000001</v>
      </c>
      <c r="DX352">
        <v>0.32500000000000001</v>
      </c>
      <c r="DY352">
        <v>312.61097092472448</v>
      </c>
      <c r="DZ352" s="4">
        <v>3.9670000000000001</v>
      </c>
      <c r="EA352" s="4" t="s">
        <v>1405</v>
      </c>
      <c r="EB352" s="4" t="s">
        <v>1406</v>
      </c>
      <c r="EC352">
        <v>4.9119999999999999</v>
      </c>
      <c r="ED352">
        <v>737</v>
      </c>
      <c r="EE352" t="s">
        <v>1712</v>
      </c>
      <c r="EF352">
        <v>0.7568937743915799</v>
      </c>
      <c r="EH352">
        <f t="shared" si="11"/>
        <v>0.58000000000000007</v>
      </c>
      <c r="EI352">
        <v>3.38</v>
      </c>
      <c r="EJ352">
        <v>3.65</v>
      </c>
    </row>
    <row r="353" spans="1:140" x14ac:dyDescent="0.35">
      <c r="A353" s="1">
        <v>351</v>
      </c>
      <c r="B353">
        <v>-87.931420906135358</v>
      </c>
      <c r="C353">
        <v>46.845868028825493</v>
      </c>
      <c r="D353" t="s">
        <v>1713</v>
      </c>
      <c r="E353">
        <v>0.1</v>
      </c>
      <c r="F353" t="s">
        <v>326</v>
      </c>
      <c r="G353">
        <v>0.1239</v>
      </c>
      <c r="H353" t="s">
        <v>161</v>
      </c>
      <c r="I353">
        <v>-9788481</v>
      </c>
      <c r="J353">
        <v>5916952</v>
      </c>
      <c r="K353" t="s">
        <v>1138</v>
      </c>
      <c r="L353" t="s">
        <v>1714</v>
      </c>
      <c r="M353">
        <v>52</v>
      </c>
      <c r="N353">
        <v>3.7</v>
      </c>
      <c r="O353">
        <v>2</v>
      </c>
      <c r="P353">
        <v>3</v>
      </c>
      <c r="Q353">
        <v>26</v>
      </c>
      <c r="R353">
        <v>103</v>
      </c>
      <c r="S353">
        <v>66020</v>
      </c>
      <c r="T353" t="s">
        <v>1136</v>
      </c>
      <c r="U353">
        <v>7.3304777992277996</v>
      </c>
      <c r="V353" t="s">
        <v>1138</v>
      </c>
      <c r="W353">
        <v>0.1416</v>
      </c>
      <c r="X353">
        <v>10</v>
      </c>
      <c r="Y353">
        <v>8.9</v>
      </c>
      <c r="Z353">
        <v>8.9</v>
      </c>
      <c r="AA353">
        <v>20</v>
      </c>
      <c r="AB353">
        <v>26</v>
      </c>
      <c r="AC353">
        <v>0.95699999999999996</v>
      </c>
      <c r="AD353">
        <v>67</v>
      </c>
      <c r="AE353">
        <v>0.15209790209790211</v>
      </c>
      <c r="AF353">
        <v>2.86</v>
      </c>
      <c r="AG353" t="s">
        <v>1136</v>
      </c>
      <c r="AH353" t="s">
        <v>1138</v>
      </c>
      <c r="AI353">
        <v>29</v>
      </c>
      <c r="AJ353">
        <v>9.6666666666666672E-3</v>
      </c>
      <c r="AK353">
        <v>9.6666666666666679</v>
      </c>
      <c r="AL353" t="s">
        <v>1715</v>
      </c>
      <c r="AM353">
        <v>0</v>
      </c>
      <c r="AN353">
        <v>1.51</v>
      </c>
      <c r="AO353">
        <v>0.09</v>
      </c>
      <c r="AP353">
        <v>0.19</v>
      </c>
      <c r="AQ353">
        <v>1.22</v>
      </c>
      <c r="AR353">
        <v>1.1599999999999999</v>
      </c>
      <c r="AS353">
        <v>0.04</v>
      </c>
      <c r="AT353">
        <v>0.02</v>
      </c>
      <c r="AU353">
        <v>0.02</v>
      </c>
      <c r="AV353">
        <v>2.52</v>
      </c>
      <c r="AW353">
        <v>1.52</v>
      </c>
      <c r="AX353">
        <v>0.21</v>
      </c>
      <c r="AY353">
        <v>0.53</v>
      </c>
      <c r="AZ353">
        <v>0</v>
      </c>
      <c r="BA353">
        <v>1.23</v>
      </c>
      <c r="BB353">
        <v>0.08</v>
      </c>
      <c r="BC353">
        <v>0.21</v>
      </c>
      <c r="BD353">
        <v>0.27</v>
      </c>
      <c r="BE353">
        <v>8.5</v>
      </c>
      <c r="BF353">
        <v>7.81</v>
      </c>
      <c r="BG353">
        <v>0.24</v>
      </c>
      <c r="BH353">
        <v>0.45</v>
      </c>
      <c r="BI353">
        <v>0</v>
      </c>
      <c r="BJ353">
        <v>0.04</v>
      </c>
      <c r="BK353">
        <v>7.77</v>
      </c>
      <c r="BL353">
        <v>0</v>
      </c>
      <c r="BM353">
        <v>2.0299999999999998</v>
      </c>
      <c r="BN353">
        <v>0.21</v>
      </c>
      <c r="BO353">
        <v>0.46</v>
      </c>
      <c r="BP353">
        <v>1.36</v>
      </c>
      <c r="BQ353">
        <v>1.1399999999999999</v>
      </c>
      <c r="BR353">
        <v>0.06</v>
      </c>
      <c r="BS353">
        <v>0.16</v>
      </c>
      <c r="BT353">
        <v>0</v>
      </c>
      <c r="BU353">
        <v>8.91</v>
      </c>
      <c r="BV353">
        <v>7.85</v>
      </c>
      <c r="BW353">
        <v>0.34</v>
      </c>
      <c r="BX353">
        <v>0.72</v>
      </c>
      <c r="BY353">
        <v>0</v>
      </c>
      <c r="BZ353">
        <v>0.04</v>
      </c>
      <c r="CA353">
        <v>7.81</v>
      </c>
      <c r="CB353">
        <v>0</v>
      </c>
      <c r="CC353">
        <f t="shared" si="10"/>
        <v>2.75</v>
      </c>
      <c r="CD353">
        <v>3.96</v>
      </c>
      <c r="CE353">
        <v>0.34230769230769231</v>
      </c>
      <c r="CF353">
        <v>0.44500000000000001</v>
      </c>
      <c r="CG353">
        <v>0.1492537313432836</v>
      </c>
      <c r="CH353">
        <v>0.33461538461538459</v>
      </c>
      <c r="CI353">
        <v>0</v>
      </c>
      <c r="CJ353">
        <v>17370</v>
      </c>
      <c r="CK353" t="s">
        <v>141</v>
      </c>
      <c r="CL353" t="s">
        <v>475</v>
      </c>
      <c r="CM353" t="s">
        <v>143</v>
      </c>
      <c r="CN353">
        <v>0.43724800000000003</v>
      </c>
      <c r="CO353">
        <v>38.679432647088433</v>
      </c>
      <c r="CP353">
        <v>352</v>
      </c>
      <c r="CQ353" t="s">
        <v>1622</v>
      </c>
      <c r="CR353">
        <v>201</v>
      </c>
      <c r="CS353" t="s">
        <v>1412</v>
      </c>
      <c r="CT353" t="s">
        <v>1413</v>
      </c>
      <c r="CU353" t="s">
        <v>1136</v>
      </c>
      <c r="CV353" t="s">
        <v>1414</v>
      </c>
      <c r="CW353" t="s">
        <v>1138</v>
      </c>
      <c r="CX353" t="s">
        <v>1139</v>
      </c>
      <c r="CY353" t="s">
        <v>1140</v>
      </c>
      <c r="CZ353" t="s">
        <v>686</v>
      </c>
      <c r="DA353" t="s">
        <v>152</v>
      </c>
      <c r="DB353" t="s">
        <v>178</v>
      </c>
      <c r="DC353" t="s">
        <v>459</v>
      </c>
      <c r="DD353" t="s">
        <v>492</v>
      </c>
      <c r="DE353">
        <v>9198</v>
      </c>
      <c r="DF353">
        <v>-84.445599999999999</v>
      </c>
      <c r="DG353">
        <v>43.7074</v>
      </c>
      <c r="DH353">
        <v>7310</v>
      </c>
      <c r="DI353">
        <v>450</v>
      </c>
      <c r="DL353">
        <v>7</v>
      </c>
      <c r="DM353">
        <v>5.5</v>
      </c>
      <c r="DN353">
        <v>8.4</v>
      </c>
      <c r="DO353">
        <v>75</v>
      </c>
      <c r="DP353">
        <v>10</v>
      </c>
      <c r="DQ353">
        <v>300</v>
      </c>
      <c r="DS353" t="s">
        <v>1415</v>
      </c>
      <c r="DT353">
        <v>1.2500000000000001E-2</v>
      </c>
      <c r="DU353">
        <v>1.2500000000000001E-2</v>
      </c>
      <c r="DV353">
        <v>0.32500000000000001</v>
      </c>
      <c r="DW353">
        <v>0.32500000000000001</v>
      </c>
      <c r="DX353">
        <v>0.32500000000000001</v>
      </c>
      <c r="DY353">
        <v>222.102574332551</v>
      </c>
      <c r="DZ353" s="4">
        <v>3.9670000000000001</v>
      </c>
      <c r="EA353" s="4" t="s">
        <v>1405</v>
      </c>
      <c r="EB353" s="4" t="s">
        <v>1406</v>
      </c>
      <c r="EC353">
        <v>4.9119999999999999</v>
      </c>
      <c r="ED353">
        <v>396</v>
      </c>
      <c r="EE353" t="s">
        <v>1715</v>
      </c>
      <c r="EF353">
        <v>0</v>
      </c>
      <c r="EH353">
        <f t="shared" si="11"/>
        <v>0.58000000000000007</v>
      </c>
      <c r="EI353">
        <v>3.38</v>
      </c>
      <c r="EJ353">
        <v>3.65</v>
      </c>
    </row>
    <row r="354" spans="1:140" x14ac:dyDescent="0.35">
      <c r="A354" s="1">
        <v>352</v>
      </c>
      <c r="B354">
        <v>-86.13479033789632</v>
      </c>
      <c r="C354">
        <v>46.845868028825493</v>
      </c>
      <c r="D354" t="s">
        <v>1716</v>
      </c>
      <c r="E354">
        <v>0.1</v>
      </c>
      <c r="F354" t="s">
        <v>306</v>
      </c>
      <c r="G354">
        <v>3.7100000000000001E-2</v>
      </c>
      <c r="H354" t="s">
        <v>161</v>
      </c>
      <c r="I354">
        <v>-9588481</v>
      </c>
      <c r="J354">
        <v>5916952</v>
      </c>
      <c r="K354" t="s">
        <v>1138</v>
      </c>
      <c r="L354" t="s">
        <v>1710</v>
      </c>
      <c r="T354" t="s">
        <v>1136</v>
      </c>
      <c r="U354">
        <v>7.3304777992277996</v>
      </c>
      <c r="V354" t="s">
        <v>1138</v>
      </c>
      <c r="W354">
        <v>0.1416</v>
      </c>
      <c r="X354">
        <v>10</v>
      </c>
      <c r="Y354">
        <v>8.9</v>
      </c>
      <c r="Z354">
        <v>8.9</v>
      </c>
      <c r="AA354">
        <v>20</v>
      </c>
      <c r="AB354">
        <v>26</v>
      </c>
      <c r="AC354">
        <v>0.95699999999999996</v>
      </c>
      <c r="AD354">
        <v>67</v>
      </c>
      <c r="AE354">
        <v>0.15209790209790211</v>
      </c>
      <c r="AF354">
        <v>2.86</v>
      </c>
      <c r="AG354" t="s">
        <v>1136</v>
      </c>
      <c r="AH354" t="s">
        <v>1138</v>
      </c>
      <c r="AI354">
        <v>29</v>
      </c>
      <c r="AJ354">
        <v>9.6666666666666672E-3</v>
      </c>
      <c r="AK354">
        <v>9.6666666666666679</v>
      </c>
      <c r="AL354" t="s">
        <v>1632</v>
      </c>
      <c r="AM354">
        <v>100915.63114949741</v>
      </c>
      <c r="AN354">
        <v>1.51</v>
      </c>
      <c r="AO354">
        <v>0.09</v>
      </c>
      <c r="AP354">
        <v>0.19</v>
      </c>
      <c r="AQ354">
        <v>1.22</v>
      </c>
      <c r="AR354">
        <v>1.1599999999999999</v>
      </c>
      <c r="AS354">
        <v>0.04</v>
      </c>
      <c r="AT354">
        <v>0.02</v>
      </c>
      <c r="AU354">
        <v>0.02</v>
      </c>
      <c r="AV354">
        <v>2.52</v>
      </c>
      <c r="AW354">
        <v>1.52</v>
      </c>
      <c r="AX354">
        <v>0.21</v>
      </c>
      <c r="AY354">
        <v>0.53</v>
      </c>
      <c r="AZ354">
        <v>0</v>
      </c>
      <c r="BA354">
        <v>1.23</v>
      </c>
      <c r="BB354">
        <v>0.08</v>
      </c>
      <c r="BC354">
        <v>0.21</v>
      </c>
      <c r="BD354">
        <v>0.27</v>
      </c>
      <c r="BE354">
        <v>8.5</v>
      </c>
      <c r="BF354">
        <v>7.81</v>
      </c>
      <c r="BG354">
        <v>0.24</v>
      </c>
      <c r="BH354">
        <v>0.45</v>
      </c>
      <c r="BI354">
        <v>0</v>
      </c>
      <c r="BJ354">
        <v>0.04</v>
      </c>
      <c r="BK354">
        <v>7.77</v>
      </c>
      <c r="BL354">
        <v>0</v>
      </c>
      <c r="BM354">
        <v>2.0299999999999998</v>
      </c>
      <c r="BN354">
        <v>0.21</v>
      </c>
      <c r="BO354">
        <v>0.46</v>
      </c>
      <c r="BP354">
        <v>1.36</v>
      </c>
      <c r="BQ354">
        <v>1.1399999999999999</v>
      </c>
      <c r="BR354">
        <v>0.06</v>
      </c>
      <c r="BS354">
        <v>0.16</v>
      </c>
      <c r="BT354">
        <v>0</v>
      </c>
      <c r="BU354">
        <v>8.91</v>
      </c>
      <c r="BV354">
        <v>7.85</v>
      </c>
      <c r="BW354">
        <v>0.34</v>
      </c>
      <c r="BX354">
        <v>0.72</v>
      </c>
      <c r="BY354">
        <v>0</v>
      </c>
      <c r="BZ354">
        <v>0.04</v>
      </c>
      <c r="CA354">
        <v>7.81</v>
      </c>
      <c r="CB354">
        <v>0</v>
      </c>
      <c r="CC354">
        <f t="shared" si="10"/>
        <v>2.75</v>
      </c>
      <c r="CD354">
        <v>3.96</v>
      </c>
      <c r="CE354">
        <v>0.34230769230769231</v>
      </c>
      <c r="CF354">
        <v>0.44500000000000001</v>
      </c>
      <c r="CG354">
        <v>0.1492537313432836</v>
      </c>
      <c r="CH354">
        <v>0.33461538461538459</v>
      </c>
      <c r="CI354">
        <v>0</v>
      </c>
      <c r="CJ354">
        <v>10023</v>
      </c>
      <c r="CK354" t="s">
        <v>169</v>
      </c>
      <c r="CL354" t="s">
        <v>1410</v>
      </c>
      <c r="CM354" t="s">
        <v>143</v>
      </c>
      <c r="CN354">
        <v>0.118607593146</v>
      </c>
      <c r="CO354">
        <v>60.450787459890911</v>
      </c>
      <c r="CP354">
        <v>353</v>
      </c>
      <c r="CQ354" t="s">
        <v>1018</v>
      </c>
      <c r="CR354">
        <v>144</v>
      </c>
      <c r="CS354" t="s">
        <v>650</v>
      </c>
      <c r="CT354" t="s">
        <v>651</v>
      </c>
      <c r="CU354" t="s">
        <v>640</v>
      </c>
      <c r="CV354" t="s">
        <v>652</v>
      </c>
      <c r="CW354" t="s">
        <v>653</v>
      </c>
      <c r="CX354" t="s">
        <v>654</v>
      </c>
      <c r="CY354" t="s">
        <v>655</v>
      </c>
      <c r="CZ354" t="s">
        <v>645</v>
      </c>
      <c r="DA354" t="s">
        <v>152</v>
      </c>
      <c r="DB354" t="s">
        <v>178</v>
      </c>
      <c r="DC354" t="s">
        <v>656</v>
      </c>
      <c r="DD354" t="s">
        <v>657</v>
      </c>
      <c r="DE354">
        <v>10350</v>
      </c>
      <c r="DF354">
        <v>-84.596498999999994</v>
      </c>
      <c r="DG354">
        <v>38.291331</v>
      </c>
      <c r="DH354">
        <v>4500</v>
      </c>
      <c r="DI354">
        <v>200</v>
      </c>
      <c r="DL354">
        <v>10</v>
      </c>
      <c r="DM354">
        <v>8</v>
      </c>
      <c r="DN354">
        <v>12</v>
      </c>
      <c r="DO354">
        <v>50</v>
      </c>
      <c r="DP354">
        <v>25</v>
      </c>
      <c r="DQ354">
        <v>100</v>
      </c>
      <c r="DS354" t="s">
        <v>658</v>
      </c>
      <c r="DT354">
        <v>1.2500000000000001E-2</v>
      </c>
      <c r="DU354">
        <v>1.2500000000000001E-2</v>
      </c>
      <c r="DV354">
        <v>0.32500000000000001</v>
      </c>
      <c r="DW354">
        <v>0.32500000000000001</v>
      </c>
      <c r="DX354">
        <v>0.32500000000000001</v>
      </c>
      <c r="DY354">
        <v>129.84741751093051</v>
      </c>
      <c r="DZ354" s="4">
        <v>3.9670000000000001</v>
      </c>
      <c r="EA354" s="4" t="s">
        <v>1405</v>
      </c>
      <c r="EB354" s="4" t="s">
        <v>1406</v>
      </c>
      <c r="EC354">
        <v>4.9119999999999999</v>
      </c>
      <c r="ED354">
        <v>114</v>
      </c>
      <c r="EE354" t="s">
        <v>1717</v>
      </c>
      <c r="EF354">
        <v>0.77407517690845107</v>
      </c>
      <c r="EH354">
        <f t="shared" si="11"/>
        <v>0.58000000000000007</v>
      </c>
      <c r="EI354">
        <v>3.38</v>
      </c>
      <c r="EJ354">
        <v>3.65</v>
      </c>
    </row>
    <row r="355" spans="1:140" x14ac:dyDescent="0.35">
      <c r="A355" s="1">
        <v>353</v>
      </c>
      <c r="B355">
        <v>-84.338159769657281</v>
      </c>
      <c r="C355">
        <v>46.845868028825493</v>
      </c>
      <c r="D355" t="s">
        <v>1718</v>
      </c>
      <c r="E355">
        <v>0.1</v>
      </c>
      <c r="F355" t="s">
        <v>306</v>
      </c>
      <c r="G355">
        <v>3.7100000000000001E-2</v>
      </c>
      <c r="H355" t="s">
        <v>161</v>
      </c>
      <c r="I355">
        <v>-9388481</v>
      </c>
      <c r="J355">
        <v>5916952</v>
      </c>
      <c r="K355" t="s">
        <v>1138</v>
      </c>
      <c r="L355" t="s">
        <v>1523</v>
      </c>
      <c r="T355" t="s">
        <v>1136</v>
      </c>
      <c r="U355">
        <v>7.3304777992277996</v>
      </c>
      <c r="V355" t="s">
        <v>1138</v>
      </c>
      <c r="W355">
        <v>0.1416</v>
      </c>
      <c r="X355">
        <v>10</v>
      </c>
      <c r="Y355">
        <v>8.9</v>
      </c>
      <c r="Z355">
        <v>8.9</v>
      </c>
      <c r="AA355">
        <v>20</v>
      </c>
      <c r="AB355">
        <v>26</v>
      </c>
      <c r="AC355">
        <v>0.95699999999999996</v>
      </c>
      <c r="AD355">
        <v>67</v>
      </c>
      <c r="AE355">
        <v>0.15209790209790211</v>
      </c>
      <c r="AF355">
        <v>2.86</v>
      </c>
      <c r="AG355" t="s">
        <v>1136</v>
      </c>
      <c r="AH355" t="s">
        <v>1138</v>
      </c>
      <c r="AI355">
        <v>29</v>
      </c>
      <c r="AJ355">
        <v>9.6666666666666672E-3</v>
      </c>
      <c r="AK355">
        <v>9.6666666666666679</v>
      </c>
      <c r="AL355" t="s">
        <v>1632</v>
      </c>
      <c r="AM355">
        <v>52109.45025399411</v>
      </c>
      <c r="AN355">
        <v>1.51</v>
      </c>
      <c r="AO355">
        <v>0.09</v>
      </c>
      <c r="AP355">
        <v>0.19</v>
      </c>
      <c r="AQ355">
        <v>1.22</v>
      </c>
      <c r="AR355">
        <v>1.1599999999999999</v>
      </c>
      <c r="AS355">
        <v>0.04</v>
      </c>
      <c r="AT355">
        <v>0.02</v>
      </c>
      <c r="AU355">
        <v>0.02</v>
      </c>
      <c r="AV355">
        <v>2.52</v>
      </c>
      <c r="AW355">
        <v>1.52</v>
      </c>
      <c r="AX355">
        <v>0.21</v>
      </c>
      <c r="AY355">
        <v>0.53</v>
      </c>
      <c r="AZ355">
        <v>0</v>
      </c>
      <c r="BA355">
        <v>1.23</v>
      </c>
      <c r="BB355">
        <v>0.08</v>
      </c>
      <c r="BC355">
        <v>0.21</v>
      </c>
      <c r="BD355">
        <v>0.27</v>
      </c>
      <c r="BE355">
        <v>8.5</v>
      </c>
      <c r="BF355">
        <v>7.81</v>
      </c>
      <c r="BG355">
        <v>0.24</v>
      </c>
      <c r="BH355">
        <v>0.45</v>
      </c>
      <c r="BI355">
        <v>0</v>
      </c>
      <c r="BJ355">
        <v>0.04</v>
      </c>
      <c r="BK355">
        <v>7.77</v>
      </c>
      <c r="BL355">
        <v>0</v>
      </c>
      <c r="BM355">
        <v>2.0299999999999998</v>
      </c>
      <c r="BN355">
        <v>0.21</v>
      </c>
      <c r="BO355">
        <v>0.46</v>
      </c>
      <c r="BP355">
        <v>1.36</v>
      </c>
      <c r="BQ355">
        <v>1.1399999999999999</v>
      </c>
      <c r="BR355">
        <v>0.06</v>
      </c>
      <c r="BS355">
        <v>0.16</v>
      </c>
      <c r="BT355">
        <v>0</v>
      </c>
      <c r="BU355">
        <v>8.91</v>
      </c>
      <c r="BV355">
        <v>7.85</v>
      </c>
      <c r="BW355">
        <v>0.34</v>
      </c>
      <c r="BX355">
        <v>0.72</v>
      </c>
      <c r="BY355">
        <v>0</v>
      </c>
      <c r="BZ355">
        <v>0.04</v>
      </c>
      <c r="CA355">
        <v>7.81</v>
      </c>
      <c r="CB355">
        <v>0</v>
      </c>
      <c r="CC355">
        <f t="shared" si="10"/>
        <v>2.75</v>
      </c>
      <c r="CD355">
        <v>3.96</v>
      </c>
      <c r="CE355">
        <v>0.34230769230769231</v>
      </c>
      <c r="CF355">
        <v>0.44500000000000001</v>
      </c>
      <c r="CG355">
        <v>0.1492537313432836</v>
      </c>
      <c r="CH355">
        <v>0.33461538461538459</v>
      </c>
      <c r="CI355">
        <v>0</v>
      </c>
      <c r="CJ355">
        <v>5607</v>
      </c>
      <c r="CK355" t="s">
        <v>141</v>
      </c>
      <c r="CL355" t="s">
        <v>1629</v>
      </c>
      <c r="CM355" t="s">
        <v>143</v>
      </c>
      <c r="CN355">
        <v>0.320304989205</v>
      </c>
      <c r="CO355">
        <v>40.696200879952933</v>
      </c>
      <c r="CP355">
        <v>354</v>
      </c>
      <c r="CQ355" t="s">
        <v>1018</v>
      </c>
      <c r="CR355">
        <v>144</v>
      </c>
      <c r="CS355" t="s">
        <v>650</v>
      </c>
      <c r="CT355" t="s">
        <v>651</v>
      </c>
      <c r="CU355" t="s">
        <v>640</v>
      </c>
      <c r="CV355" t="s">
        <v>652</v>
      </c>
      <c r="CW355" t="s">
        <v>653</v>
      </c>
      <c r="CX355" t="s">
        <v>654</v>
      </c>
      <c r="CY355" t="s">
        <v>655</v>
      </c>
      <c r="CZ355" t="s">
        <v>645</v>
      </c>
      <c r="DA355" t="s">
        <v>152</v>
      </c>
      <c r="DB355" t="s">
        <v>178</v>
      </c>
      <c r="DC355" t="s">
        <v>656</v>
      </c>
      <c r="DD355" t="s">
        <v>657</v>
      </c>
      <c r="DE355">
        <v>10350</v>
      </c>
      <c r="DF355">
        <v>-84.596498999999994</v>
      </c>
      <c r="DG355">
        <v>38.291331</v>
      </c>
      <c r="DH355">
        <v>4500</v>
      </c>
      <c r="DI355">
        <v>200</v>
      </c>
      <c r="DL355">
        <v>10</v>
      </c>
      <c r="DM355">
        <v>8</v>
      </c>
      <c r="DN355">
        <v>12</v>
      </c>
      <c r="DO355">
        <v>50</v>
      </c>
      <c r="DP355">
        <v>25</v>
      </c>
      <c r="DQ355">
        <v>100</v>
      </c>
      <c r="DS355" t="s">
        <v>658</v>
      </c>
      <c r="DT355">
        <v>1.2500000000000001E-2</v>
      </c>
      <c r="DU355">
        <v>1.2500000000000001E-2</v>
      </c>
      <c r="DV355">
        <v>0.32500000000000001</v>
      </c>
      <c r="DW355">
        <v>0.32500000000000001</v>
      </c>
      <c r="DX355">
        <v>0.32500000000000001</v>
      </c>
      <c r="DY355">
        <v>104.9329503242668</v>
      </c>
      <c r="DZ355" s="4">
        <v>3.9670000000000001</v>
      </c>
      <c r="EA355" s="4" t="s">
        <v>1405</v>
      </c>
      <c r="EB355" s="4" t="s">
        <v>1406</v>
      </c>
      <c r="EC355">
        <v>4.9119999999999999</v>
      </c>
      <c r="ED355">
        <v>438</v>
      </c>
      <c r="EE355" t="s">
        <v>1632</v>
      </c>
      <c r="EF355">
        <v>0.33145439794795589</v>
      </c>
      <c r="EH355">
        <f t="shared" si="11"/>
        <v>0.58000000000000007</v>
      </c>
      <c r="EI355">
        <v>3.38</v>
      </c>
      <c r="EJ355">
        <v>3.65</v>
      </c>
    </row>
    <row r="356" spans="1:140" x14ac:dyDescent="0.35">
      <c r="A356" s="1">
        <v>354</v>
      </c>
      <c r="B356">
        <v>-69.965115223744945</v>
      </c>
      <c r="C356">
        <v>46.845868028825493</v>
      </c>
      <c r="D356" t="s">
        <v>1719</v>
      </c>
      <c r="E356">
        <v>0.1</v>
      </c>
      <c r="F356" t="s">
        <v>1545</v>
      </c>
      <c r="G356">
        <v>3.7100000000000001E-2</v>
      </c>
      <c r="H356" t="s">
        <v>136</v>
      </c>
      <c r="I356">
        <v>-7788481</v>
      </c>
      <c r="J356">
        <v>5916952</v>
      </c>
      <c r="K356" t="s">
        <v>1444</v>
      </c>
      <c r="L356" t="s">
        <v>1720</v>
      </c>
      <c r="M356">
        <v>2</v>
      </c>
      <c r="N356">
        <v>4.024</v>
      </c>
      <c r="O356">
        <v>1</v>
      </c>
      <c r="P356">
        <v>1</v>
      </c>
      <c r="Q356">
        <v>23</v>
      </c>
      <c r="R356">
        <v>3</v>
      </c>
      <c r="S356">
        <v>67107</v>
      </c>
      <c r="T356" t="s">
        <v>1446</v>
      </c>
      <c r="U356">
        <v>9.5443758898908388</v>
      </c>
      <c r="V356" t="s">
        <v>1444</v>
      </c>
      <c r="W356">
        <v>0.1966</v>
      </c>
      <c r="X356">
        <v>10</v>
      </c>
      <c r="Y356">
        <v>8.9</v>
      </c>
      <c r="Z356">
        <v>8.9</v>
      </c>
      <c r="AA356">
        <v>20</v>
      </c>
      <c r="AB356">
        <v>26</v>
      </c>
      <c r="AC356">
        <v>0.48699999999999999</v>
      </c>
      <c r="AD356">
        <v>67</v>
      </c>
      <c r="AE356">
        <v>7.7399872854418295E-2</v>
      </c>
      <c r="AF356">
        <v>2.86</v>
      </c>
      <c r="AG356" t="s">
        <v>1446</v>
      </c>
      <c r="AH356" t="s">
        <v>1444</v>
      </c>
      <c r="AI356">
        <v>24</v>
      </c>
      <c r="AJ356">
        <v>8.0000000000000002E-3</v>
      </c>
      <c r="AK356">
        <v>8</v>
      </c>
      <c r="AL356" t="s">
        <v>1547</v>
      </c>
      <c r="AM356">
        <v>146929.35917251179</v>
      </c>
      <c r="AN356">
        <v>1.86</v>
      </c>
      <c r="AO356">
        <v>0.09</v>
      </c>
      <c r="AP356">
        <v>0.19</v>
      </c>
      <c r="AQ356">
        <v>1.58</v>
      </c>
      <c r="AR356">
        <v>1.51</v>
      </c>
      <c r="AS356">
        <v>0.04</v>
      </c>
      <c r="AT356">
        <v>0.03</v>
      </c>
      <c r="AU356">
        <v>0.02</v>
      </c>
      <c r="AV356">
        <v>2.98</v>
      </c>
      <c r="AW356">
        <v>1.98</v>
      </c>
      <c r="AX356">
        <v>0.21</v>
      </c>
      <c r="AY356">
        <v>0.53</v>
      </c>
      <c r="AZ356">
        <v>0</v>
      </c>
      <c r="BA356">
        <v>1.6</v>
      </c>
      <c r="BB356">
        <v>0.08</v>
      </c>
      <c r="BC356">
        <v>0.3</v>
      </c>
      <c r="BD356">
        <v>0.27</v>
      </c>
      <c r="BE356">
        <v>11.83</v>
      </c>
      <c r="BF356">
        <v>11.14</v>
      </c>
      <c r="BG356">
        <v>0.24</v>
      </c>
      <c r="BH356">
        <v>0.45</v>
      </c>
      <c r="BI356">
        <v>0</v>
      </c>
      <c r="BJ356">
        <v>0.04</v>
      </c>
      <c r="BK356">
        <v>11.1</v>
      </c>
      <c r="BL356">
        <v>0</v>
      </c>
      <c r="BM356">
        <v>2.44</v>
      </c>
      <c r="BN356">
        <v>0.21</v>
      </c>
      <c r="BO356">
        <v>0.46</v>
      </c>
      <c r="BP356">
        <v>1.77</v>
      </c>
      <c r="BQ356">
        <v>1.49</v>
      </c>
      <c r="BR356">
        <v>0.06</v>
      </c>
      <c r="BS356">
        <v>0.22</v>
      </c>
      <c r="BT356">
        <v>0</v>
      </c>
      <c r="BU356">
        <v>12.26</v>
      </c>
      <c r="BV356">
        <v>11.2</v>
      </c>
      <c r="BW356">
        <v>0.34</v>
      </c>
      <c r="BX356">
        <v>0.72</v>
      </c>
      <c r="BY356">
        <v>0</v>
      </c>
      <c r="BZ356">
        <v>0.04</v>
      </c>
      <c r="CA356">
        <v>11.16</v>
      </c>
      <c r="CB356">
        <v>0</v>
      </c>
      <c r="CC356">
        <f t="shared" si="10"/>
        <v>2.75</v>
      </c>
      <c r="CD356">
        <v>3.96</v>
      </c>
      <c r="CE356">
        <v>0.34230769230769231</v>
      </c>
      <c r="CF356">
        <v>0.44500000000000001</v>
      </c>
      <c r="CG356">
        <v>0.1492537313432836</v>
      </c>
      <c r="CH356">
        <v>0.1702797202797203</v>
      </c>
      <c r="CI356">
        <v>0</v>
      </c>
      <c r="CJ356">
        <v>10779</v>
      </c>
      <c r="CK356" t="s">
        <v>141</v>
      </c>
      <c r="CL356" t="s">
        <v>1543</v>
      </c>
      <c r="CM356" t="s">
        <v>143</v>
      </c>
      <c r="CN356">
        <v>2.1842943254100002E-2</v>
      </c>
      <c r="CO356">
        <v>209.09799343759121</v>
      </c>
      <c r="CP356">
        <v>355</v>
      </c>
      <c r="CQ356" t="s">
        <v>1424</v>
      </c>
      <c r="CR356">
        <v>144</v>
      </c>
      <c r="CS356" t="s">
        <v>650</v>
      </c>
      <c r="CT356" t="s">
        <v>651</v>
      </c>
      <c r="CU356" t="s">
        <v>640</v>
      </c>
      <c r="CV356" t="s">
        <v>652</v>
      </c>
      <c r="CW356" t="s">
        <v>653</v>
      </c>
      <c r="CX356" t="s">
        <v>654</v>
      </c>
      <c r="CY356" t="s">
        <v>655</v>
      </c>
      <c r="CZ356" t="s">
        <v>645</v>
      </c>
      <c r="DA356" t="s">
        <v>152</v>
      </c>
      <c r="DB356" t="s">
        <v>178</v>
      </c>
      <c r="DC356" t="s">
        <v>656</v>
      </c>
      <c r="DD356" t="s">
        <v>657</v>
      </c>
      <c r="DE356">
        <v>10350</v>
      </c>
      <c r="DF356">
        <v>-84.596498999999994</v>
      </c>
      <c r="DG356">
        <v>38.291331</v>
      </c>
      <c r="DH356">
        <v>4500</v>
      </c>
      <c r="DI356">
        <v>200</v>
      </c>
      <c r="DL356">
        <v>10</v>
      </c>
      <c r="DM356">
        <v>8</v>
      </c>
      <c r="DN356">
        <v>12</v>
      </c>
      <c r="DO356">
        <v>50</v>
      </c>
      <c r="DP356">
        <v>25</v>
      </c>
      <c r="DQ356">
        <v>100</v>
      </c>
      <c r="DS356" t="s">
        <v>658</v>
      </c>
      <c r="DT356">
        <v>1.2500000000000001E-2</v>
      </c>
      <c r="DU356">
        <v>1.2500000000000001E-2</v>
      </c>
      <c r="DV356">
        <v>0.32500000000000001</v>
      </c>
      <c r="DW356">
        <v>0.32500000000000001</v>
      </c>
      <c r="DX356">
        <v>0.32500000000000001</v>
      </c>
      <c r="DY356">
        <v>521.03651626731482</v>
      </c>
      <c r="DZ356" s="4">
        <v>3.8780000000000001</v>
      </c>
      <c r="EA356" s="4" t="s">
        <v>1449</v>
      </c>
      <c r="EB356" s="4" t="s">
        <v>1450</v>
      </c>
      <c r="EC356">
        <v>5.2030000000000003</v>
      </c>
      <c r="ED356">
        <v>912</v>
      </c>
      <c r="EE356" t="s">
        <v>1547</v>
      </c>
      <c r="EF356">
        <v>1.230950249130901</v>
      </c>
      <c r="EH356">
        <f t="shared" si="11"/>
        <v>0.58000000000000007</v>
      </c>
      <c r="EI356">
        <v>3.38</v>
      </c>
      <c r="EJ356">
        <v>3.65</v>
      </c>
    </row>
    <row r="357" spans="1:140" x14ac:dyDescent="0.35">
      <c r="A357" s="1">
        <v>355</v>
      </c>
      <c r="B357">
        <v>-68.168484655505907</v>
      </c>
      <c r="C357">
        <v>46.845868028825493</v>
      </c>
      <c r="D357" t="s">
        <v>1721</v>
      </c>
      <c r="E357">
        <v>0.1</v>
      </c>
      <c r="F357" t="s">
        <v>1545</v>
      </c>
      <c r="G357">
        <v>3.7100000000000001E-2</v>
      </c>
      <c r="H357" t="s">
        <v>136</v>
      </c>
      <c r="I357">
        <v>-7588481</v>
      </c>
      <c r="J357">
        <v>5916952</v>
      </c>
      <c r="K357" t="s">
        <v>1444</v>
      </c>
      <c r="L357" t="s">
        <v>1720</v>
      </c>
      <c r="M357">
        <v>2</v>
      </c>
      <c r="N357">
        <v>4.024</v>
      </c>
      <c r="O357">
        <v>1</v>
      </c>
      <c r="P357">
        <v>1</v>
      </c>
      <c r="Q357">
        <v>23</v>
      </c>
      <c r="R357">
        <v>3</v>
      </c>
      <c r="S357">
        <v>67107</v>
      </c>
      <c r="T357" t="s">
        <v>1446</v>
      </c>
      <c r="U357">
        <v>9.5443758898908388</v>
      </c>
      <c r="V357" t="s">
        <v>1444</v>
      </c>
      <c r="W357">
        <v>0.1966</v>
      </c>
      <c r="X357">
        <v>10</v>
      </c>
      <c r="Y357">
        <v>8.9</v>
      </c>
      <c r="Z357">
        <v>8.9</v>
      </c>
      <c r="AA357">
        <v>20</v>
      </c>
      <c r="AB357">
        <v>26</v>
      </c>
      <c r="AC357">
        <v>0.48699999999999999</v>
      </c>
      <c r="AD357">
        <v>67</v>
      </c>
      <c r="AE357">
        <v>7.7399872854418295E-2</v>
      </c>
      <c r="AF357">
        <v>2.86</v>
      </c>
      <c r="AG357" t="s">
        <v>1446</v>
      </c>
      <c r="AH357" t="s">
        <v>1444</v>
      </c>
      <c r="AI357">
        <v>24</v>
      </c>
      <c r="AJ357">
        <v>8.0000000000000002E-3</v>
      </c>
      <c r="AK357">
        <v>8</v>
      </c>
      <c r="AL357" t="s">
        <v>1547</v>
      </c>
      <c r="AM357">
        <v>80857.914468159724</v>
      </c>
      <c r="AN357">
        <v>1.86</v>
      </c>
      <c r="AO357">
        <v>0.09</v>
      </c>
      <c r="AP357">
        <v>0.19</v>
      </c>
      <c r="AQ357">
        <v>1.58</v>
      </c>
      <c r="AR357">
        <v>1.51</v>
      </c>
      <c r="AS357">
        <v>0.04</v>
      </c>
      <c r="AT357">
        <v>0.03</v>
      </c>
      <c r="AU357">
        <v>0.02</v>
      </c>
      <c r="AV357">
        <v>2.98</v>
      </c>
      <c r="AW357">
        <v>1.98</v>
      </c>
      <c r="AX357">
        <v>0.21</v>
      </c>
      <c r="AY357">
        <v>0.53</v>
      </c>
      <c r="AZ357">
        <v>0</v>
      </c>
      <c r="BA357">
        <v>1.6</v>
      </c>
      <c r="BB357">
        <v>0.08</v>
      </c>
      <c r="BC357">
        <v>0.3</v>
      </c>
      <c r="BD357">
        <v>0.27</v>
      </c>
      <c r="BE357">
        <v>11.83</v>
      </c>
      <c r="BF357">
        <v>11.14</v>
      </c>
      <c r="BG357">
        <v>0.24</v>
      </c>
      <c r="BH357">
        <v>0.45</v>
      </c>
      <c r="BI357">
        <v>0</v>
      </c>
      <c r="BJ357">
        <v>0.04</v>
      </c>
      <c r="BK357">
        <v>11.1</v>
      </c>
      <c r="BL357">
        <v>0</v>
      </c>
      <c r="BM357">
        <v>2.44</v>
      </c>
      <c r="BN357">
        <v>0.21</v>
      </c>
      <c r="BO357">
        <v>0.46</v>
      </c>
      <c r="BP357">
        <v>1.77</v>
      </c>
      <c r="BQ357">
        <v>1.49</v>
      </c>
      <c r="BR357">
        <v>0.06</v>
      </c>
      <c r="BS357">
        <v>0.22</v>
      </c>
      <c r="BT357">
        <v>0</v>
      </c>
      <c r="BU357">
        <v>12.26</v>
      </c>
      <c r="BV357">
        <v>11.2</v>
      </c>
      <c r="BW357">
        <v>0.34</v>
      </c>
      <c r="BX357">
        <v>0.72</v>
      </c>
      <c r="BY357">
        <v>0</v>
      </c>
      <c r="BZ357">
        <v>0.04</v>
      </c>
      <c r="CA357">
        <v>11.16</v>
      </c>
      <c r="CB357">
        <v>0</v>
      </c>
      <c r="CC357">
        <f t="shared" si="10"/>
        <v>2.75</v>
      </c>
      <c r="CD357">
        <v>3.96</v>
      </c>
      <c r="CE357">
        <v>0.34230769230769231</v>
      </c>
      <c r="CF357">
        <v>0.44500000000000001</v>
      </c>
      <c r="CG357">
        <v>0.1492537313432836</v>
      </c>
      <c r="CH357">
        <v>0.1702797202797203</v>
      </c>
      <c r="CI357">
        <v>0</v>
      </c>
      <c r="CJ357">
        <v>10778</v>
      </c>
      <c r="CK357" t="s">
        <v>141</v>
      </c>
      <c r="CL357" t="s">
        <v>1543</v>
      </c>
      <c r="CM357" t="s">
        <v>143</v>
      </c>
      <c r="CN357">
        <v>3.7188005066800001</v>
      </c>
      <c r="CO357">
        <v>169.51080251552449</v>
      </c>
      <c r="CP357">
        <v>356</v>
      </c>
      <c r="CQ357" t="s">
        <v>1424</v>
      </c>
      <c r="CR357">
        <v>144</v>
      </c>
      <c r="CS357" t="s">
        <v>650</v>
      </c>
      <c r="CT357" t="s">
        <v>651</v>
      </c>
      <c r="CU357" t="s">
        <v>640</v>
      </c>
      <c r="CV357" t="s">
        <v>652</v>
      </c>
      <c r="CW357" t="s">
        <v>653</v>
      </c>
      <c r="CX357" t="s">
        <v>654</v>
      </c>
      <c r="CY357" t="s">
        <v>655</v>
      </c>
      <c r="CZ357" t="s">
        <v>645</v>
      </c>
      <c r="DA357" t="s">
        <v>152</v>
      </c>
      <c r="DB357" t="s">
        <v>178</v>
      </c>
      <c r="DC357" t="s">
        <v>656</v>
      </c>
      <c r="DD357" t="s">
        <v>657</v>
      </c>
      <c r="DE357">
        <v>10350</v>
      </c>
      <c r="DF357">
        <v>-84.596498999999994</v>
      </c>
      <c r="DG357">
        <v>38.291331</v>
      </c>
      <c r="DH357">
        <v>4500</v>
      </c>
      <c r="DI357">
        <v>200</v>
      </c>
      <c r="DL357">
        <v>10</v>
      </c>
      <c r="DM357">
        <v>8</v>
      </c>
      <c r="DN357">
        <v>12</v>
      </c>
      <c r="DO357">
        <v>50</v>
      </c>
      <c r="DP357">
        <v>25</v>
      </c>
      <c r="DQ357">
        <v>100</v>
      </c>
      <c r="DS357" t="s">
        <v>658</v>
      </c>
      <c r="DT357">
        <v>1.2500000000000001E-2</v>
      </c>
      <c r="DU357">
        <v>1.2500000000000001E-2</v>
      </c>
      <c r="DV357">
        <v>0.32500000000000001</v>
      </c>
      <c r="DW357">
        <v>0.32500000000000001</v>
      </c>
      <c r="DX357">
        <v>0.32500000000000001</v>
      </c>
      <c r="DY357">
        <v>615.07305317289592</v>
      </c>
      <c r="DZ357" s="4">
        <v>3.8780000000000001</v>
      </c>
      <c r="EA357" s="4" t="s">
        <v>1449</v>
      </c>
      <c r="EB357" s="4" t="s">
        <v>1450</v>
      </c>
      <c r="EC357">
        <v>5.2030000000000003</v>
      </c>
      <c r="ED357">
        <v>912</v>
      </c>
      <c r="EE357" t="s">
        <v>1547</v>
      </c>
      <c r="EF357">
        <v>0.53559591216558744</v>
      </c>
      <c r="EH357">
        <f t="shared" si="11"/>
        <v>0.58000000000000007</v>
      </c>
      <c r="EI357">
        <v>3.38</v>
      </c>
      <c r="EJ357">
        <v>3.65</v>
      </c>
    </row>
    <row r="358" spans="1:140" x14ac:dyDescent="0.35">
      <c r="A358" s="1">
        <v>356</v>
      </c>
      <c r="B358">
        <v>-123.8640322709162</v>
      </c>
      <c r="C358">
        <v>48.06065737612753</v>
      </c>
      <c r="D358" t="s">
        <v>1722</v>
      </c>
      <c r="E358">
        <v>0.1</v>
      </c>
      <c r="F358" t="s">
        <v>135</v>
      </c>
      <c r="G358">
        <v>0.1956</v>
      </c>
      <c r="H358" t="s">
        <v>136</v>
      </c>
      <c r="I358">
        <v>-13788481</v>
      </c>
      <c r="J358">
        <v>6116952</v>
      </c>
      <c r="K358" t="s">
        <v>1433</v>
      </c>
      <c r="L358" t="s">
        <v>1723</v>
      </c>
      <c r="M358">
        <v>5</v>
      </c>
      <c r="N358">
        <v>5.4580000000000002</v>
      </c>
      <c r="O358">
        <v>4</v>
      </c>
      <c r="P358">
        <v>9</v>
      </c>
      <c r="Q358">
        <v>53</v>
      </c>
      <c r="R358">
        <v>9</v>
      </c>
      <c r="S358">
        <v>77160</v>
      </c>
      <c r="T358" t="s">
        <v>1646</v>
      </c>
      <c r="U358">
        <v>8.5625160875160873</v>
      </c>
      <c r="V358" t="s">
        <v>1433</v>
      </c>
      <c r="W358">
        <v>0.1013</v>
      </c>
      <c r="X358">
        <v>10</v>
      </c>
      <c r="Y358">
        <v>8.9</v>
      </c>
      <c r="Z358">
        <v>8.9</v>
      </c>
      <c r="AA358">
        <v>20</v>
      </c>
      <c r="AB358">
        <v>26</v>
      </c>
      <c r="AC358">
        <v>0.249</v>
      </c>
      <c r="AD358">
        <v>67</v>
      </c>
      <c r="AE358">
        <v>3.9574062301335033E-2</v>
      </c>
      <c r="AF358">
        <v>2.86</v>
      </c>
      <c r="AG358" t="s">
        <v>1646</v>
      </c>
      <c r="AH358" t="s">
        <v>1433</v>
      </c>
      <c r="AI358">
        <v>75</v>
      </c>
      <c r="AJ358">
        <v>2.5000000000000001E-2</v>
      </c>
      <c r="AK358">
        <v>25</v>
      </c>
      <c r="AL358" t="s">
        <v>1724</v>
      </c>
      <c r="AM358">
        <v>0</v>
      </c>
      <c r="AN358">
        <v>1.74</v>
      </c>
      <c r="AO358">
        <v>0.09</v>
      </c>
      <c r="AP358">
        <v>0.19</v>
      </c>
      <c r="AQ358">
        <v>1.45</v>
      </c>
      <c r="AR358">
        <v>1.35</v>
      </c>
      <c r="AS358">
        <v>0.09</v>
      </c>
      <c r="AT358">
        <v>0.01</v>
      </c>
      <c r="AU358">
        <v>0.02</v>
      </c>
      <c r="AV358">
        <v>2.75</v>
      </c>
      <c r="AW358">
        <v>1.75</v>
      </c>
      <c r="AX358">
        <v>0.21</v>
      </c>
      <c r="AY358">
        <v>0.53</v>
      </c>
      <c r="AZ358">
        <v>0</v>
      </c>
      <c r="BA358">
        <v>1.44</v>
      </c>
      <c r="BB358">
        <v>0.16</v>
      </c>
      <c r="BC358">
        <v>0.15</v>
      </c>
      <c r="BD358">
        <v>0.27</v>
      </c>
      <c r="BE358">
        <v>6.31</v>
      </c>
      <c r="BF358">
        <v>5.63</v>
      </c>
      <c r="BG358">
        <v>0.24</v>
      </c>
      <c r="BH358">
        <v>0.45</v>
      </c>
      <c r="BI358">
        <v>0</v>
      </c>
      <c r="BJ358">
        <v>0.08</v>
      </c>
      <c r="BK358">
        <v>5.55</v>
      </c>
      <c r="BL358">
        <v>0</v>
      </c>
      <c r="BM358">
        <v>2.23</v>
      </c>
      <c r="BN358">
        <v>0.21</v>
      </c>
      <c r="BO358">
        <v>0.46</v>
      </c>
      <c r="BP358">
        <v>1.56</v>
      </c>
      <c r="BQ358">
        <v>1.34</v>
      </c>
      <c r="BR358">
        <v>0.12</v>
      </c>
      <c r="BS358">
        <v>0.11</v>
      </c>
      <c r="BT358">
        <v>0</v>
      </c>
      <c r="BU358">
        <v>6.72</v>
      </c>
      <c r="BV358">
        <v>5.66</v>
      </c>
      <c r="BW358">
        <v>0.34</v>
      </c>
      <c r="BX358">
        <v>0.72</v>
      </c>
      <c r="BY358">
        <v>0</v>
      </c>
      <c r="BZ358">
        <v>0.08</v>
      </c>
      <c r="CA358">
        <v>5.58</v>
      </c>
      <c r="CB358">
        <v>0</v>
      </c>
      <c r="CC358">
        <f t="shared" si="10"/>
        <v>2.75</v>
      </c>
      <c r="CD358">
        <v>3.96</v>
      </c>
      <c r="CE358">
        <v>0.34230769230769231</v>
      </c>
      <c r="CF358">
        <v>0.44500000000000001</v>
      </c>
      <c r="CG358">
        <v>0.1492537313432836</v>
      </c>
      <c r="CH358">
        <v>8.7062937062937065E-2</v>
      </c>
      <c r="CI358">
        <v>0</v>
      </c>
      <c r="CJ358">
        <v>16244</v>
      </c>
      <c r="CK358" t="s">
        <v>141</v>
      </c>
      <c r="CL358" t="s">
        <v>845</v>
      </c>
      <c r="CM358" t="s">
        <v>143</v>
      </c>
      <c r="CN358">
        <v>0.17158856794399999</v>
      </c>
      <c r="CO358">
        <v>102.36852751728399</v>
      </c>
      <c r="CP358">
        <v>357</v>
      </c>
      <c r="CQ358" t="s">
        <v>1725</v>
      </c>
      <c r="CR358">
        <v>49</v>
      </c>
      <c r="CS358" t="s">
        <v>1558</v>
      </c>
      <c r="CT358" t="s">
        <v>1559</v>
      </c>
      <c r="CU358" t="s">
        <v>1560</v>
      </c>
      <c r="CV358" t="s">
        <v>1561</v>
      </c>
      <c r="CW358" t="s">
        <v>1562</v>
      </c>
      <c r="CX358" t="s">
        <v>1563</v>
      </c>
      <c r="CY358" t="s">
        <v>1564</v>
      </c>
      <c r="CZ358" t="s">
        <v>1339</v>
      </c>
      <c r="DA358" t="s">
        <v>152</v>
      </c>
      <c r="DB358" t="s">
        <v>153</v>
      </c>
      <c r="DC358" t="s">
        <v>459</v>
      </c>
      <c r="DD358" t="s">
        <v>1565</v>
      </c>
      <c r="DE358">
        <v>4809</v>
      </c>
      <c r="DF358">
        <v>-111.57566799999999</v>
      </c>
      <c r="DG358">
        <v>48.433261000000002</v>
      </c>
      <c r="DH358">
        <v>3400</v>
      </c>
      <c r="DI358">
        <v>400</v>
      </c>
      <c r="DL358">
        <v>7</v>
      </c>
      <c r="DM358">
        <v>5</v>
      </c>
      <c r="DN358">
        <v>10</v>
      </c>
      <c r="DO358">
        <v>10</v>
      </c>
      <c r="DP358">
        <v>1</v>
      </c>
      <c r="DQ358">
        <v>50</v>
      </c>
      <c r="DR358" t="s">
        <v>866</v>
      </c>
      <c r="DS358" t="s">
        <v>1566</v>
      </c>
      <c r="DT358">
        <v>1.2500000000000001E-2</v>
      </c>
      <c r="DU358">
        <v>1.2500000000000001E-2</v>
      </c>
      <c r="DV358">
        <v>0.32500000000000001</v>
      </c>
      <c r="DW358">
        <v>0.32500000000000001</v>
      </c>
      <c r="DX358">
        <v>0.32500000000000001</v>
      </c>
      <c r="DY358">
        <v>3.168705077710869</v>
      </c>
      <c r="DZ358" s="4">
        <v>4.9960000000000004</v>
      </c>
      <c r="EA358" s="4" t="s">
        <v>1649</v>
      </c>
      <c r="EB358" s="4" t="s">
        <v>1650</v>
      </c>
      <c r="EC358">
        <v>5.8609999999999998</v>
      </c>
      <c r="ED358">
        <v>699</v>
      </c>
      <c r="EE358" t="s">
        <v>1724</v>
      </c>
      <c r="EF358">
        <v>0</v>
      </c>
      <c r="EH358">
        <f t="shared" si="11"/>
        <v>0.58000000000000007</v>
      </c>
      <c r="EI358">
        <v>3.38</v>
      </c>
      <c r="EJ358">
        <v>3.65</v>
      </c>
    </row>
    <row r="359" spans="1:140" x14ac:dyDescent="0.35">
      <c r="A359" s="1">
        <v>357</v>
      </c>
      <c r="B359">
        <v>-122.0674017026772</v>
      </c>
      <c r="C359">
        <v>48.06065737612753</v>
      </c>
      <c r="D359" t="s">
        <v>1726</v>
      </c>
      <c r="E359">
        <v>0.02</v>
      </c>
      <c r="F359" t="s">
        <v>160</v>
      </c>
      <c r="G359">
        <v>0.1956</v>
      </c>
      <c r="H359" t="s">
        <v>161</v>
      </c>
      <c r="I359">
        <v>-13588481</v>
      </c>
      <c r="J359">
        <v>6116952</v>
      </c>
      <c r="K359" t="s">
        <v>1433</v>
      </c>
      <c r="L359" t="s">
        <v>1727</v>
      </c>
      <c r="M359">
        <v>31</v>
      </c>
      <c r="N359">
        <v>5.0650000000000004</v>
      </c>
      <c r="O359">
        <v>4</v>
      </c>
      <c r="P359">
        <v>9</v>
      </c>
      <c r="Q359">
        <v>53</v>
      </c>
      <c r="R359">
        <v>61</v>
      </c>
      <c r="S359">
        <v>827947</v>
      </c>
      <c r="T359" t="s">
        <v>1646</v>
      </c>
      <c r="U359">
        <v>8.5625160875160873</v>
      </c>
      <c r="V359" t="s">
        <v>1433</v>
      </c>
      <c r="W359">
        <v>0.1013</v>
      </c>
      <c r="X359">
        <v>10</v>
      </c>
      <c r="Y359">
        <v>8.9</v>
      </c>
      <c r="Z359">
        <v>8.9</v>
      </c>
      <c r="AA359">
        <v>20</v>
      </c>
      <c r="AB359">
        <v>26</v>
      </c>
      <c r="AC359">
        <v>0.249</v>
      </c>
      <c r="AD359">
        <v>67</v>
      </c>
      <c r="AE359">
        <v>3.9574062301335033E-2</v>
      </c>
      <c r="AF359">
        <v>2.86</v>
      </c>
      <c r="AG359" t="s">
        <v>1646</v>
      </c>
      <c r="AH359" t="s">
        <v>1433</v>
      </c>
      <c r="AI359">
        <v>75</v>
      </c>
      <c r="AJ359">
        <v>2.5000000000000001E-2</v>
      </c>
      <c r="AK359">
        <v>25</v>
      </c>
      <c r="AL359" t="s">
        <v>1653</v>
      </c>
      <c r="AM359">
        <v>0</v>
      </c>
      <c r="AN359">
        <v>1.74</v>
      </c>
      <c r="AO359">
        <v>0.09</v>
      </c>
      <c r="AP359">
        <v>0.19</v>
      </c>
      <c r="AQ359">
        <v>1.45</v>
      </c>
      <c r="AR359">
        <v>1.35</v>
      </c>
      <c r="AS359">
        <v>0.09</v>
      </c>
      <c r="AT359">
        <v>0.01</v>
      </c>
      <c r="AU359">
        <v>0.02</v>
      </c>
      <c r="AV359">
        <v>2.75</v>
      </c>
      <c r="AW359">
        <v>1.75</v>
      </c>
      <c r="AX359">
        <v>0.21</v>
      </c>
      <c r="AY359">
        <v>0.53</v>
      </c>
      <c r="AZ359">
        <v>0</v>
      </c>
      <c r="BA359">
        <v>1.44</v>
      </c>
      <c r="BB359">
        <v>0.16</v>
      </c>
      <c r="BC359">
        <v>0.15</v>
      </c>
      <c r="BD359">
        <v>0.27</v>
      </c>
      <c r="BE359">
        <v>6.31</v>
      </c>
      <c r="BF359">
        <v>5.63</v>
      </c>
      <c r="BG359">
        <v>0.24</v>
      </c>
      <c r="BH359">
        <v>0.45</v>
      </c>
      <c r="BI359">
        <v>0</v>
      </c>
      <c r="BJ359">
        <v>0.08</v>
      </c>
      <c r="BK359">
        <v>5.55</v>
      </c>
      <c r="BL359">
        <v>0</v>
      </c>
      <c r="BM359">
        <v>2.23</v>
      </c>
      <c r="BN359">
        <v>0.21</v>
      </c>
      <c r="BO359">
        <v>0.46</v>
      </c>
      <c r="BP359">
        <v>1.56</v>
      </c>
      <c r="BQ359">
        <v>1.34</v>
      </c>
      <c r="BR359">
        <v>0.12</v>
      </c>
      <c r="BS359">
        <v>0.11</v>
      </c>
      <c r="BT359">
        <v>0</v>
      </c>
      <c r="BU359">
        <v>6.72</v>
      </c>
      <c r="BV359">
        <v>5.66</v>
      </c>
      <c r="BW359">
        <v>0.34</v>
      </c>
      <c r="BX359">
        <v>0.72</v>
      </c>
      <c r="BY359">
        <v>0</v>
      </c>
      <c r="BZ359">
        <v>0.08</v>
      </c>
      <c r="CA359">
        <v>5.58</v>
      </c>
      <c r="CB359">
        <v>0</v>
      </c>
      <c r="CC359">
        <f t="shared" si="10"/>
        <v>2.75</v>
      </c>
      <c r="CD359">
        <v>3.96</v>
      </c>
      <c r="CE359">
        <v>0.34230769230769231</v>
      </c>
      <c r="CF359">
        <v>0.44500000000000001</v>
      </c>
      <c r="CG359">
        <v>0.1492537313432836</v>
      </c>
      <c r="CH359">
        <v>8.7062937062937065E-2</v>
      </c>
      <c r="CI359">
        <v>0</v>
      </c>
      <c r="CJ359">
        <v>16171</v>
      </c>
      <c r="CK359" t="s">
        <v>141</v>
      </c>
      <c r="CL359" t="s">
        <v>845</v>
      </c>
      <c r="CM359" t="s">
        <v>143</v>
      </c>
      <c r="CN359">
        <v>0.259879450427</v>
      </c>
      <c r="CO359">
        <v>0.92558332210557726</v>
      </c>
      <c r="CP359">
        <v>358</v>
      </c>
      <c r="CQ359" t="s">
        <v>1557</v>
      </c>
      <c r="CR359">
        <v>49</v>
      </c>
      <c r="CS359" t="s">
        <v>1558</v>
      </c>
      <c r="CT359" t="s">
        <v>1559</v>
      </c>
      <c r="CU359" t="s">
        <v>1560</v>
      </c>
      <c r="CV359" t="s">
        <v>1561</v>
      </c>
      <c r="CW359" t="s">
        <v>1562</v>
      </c>
      <c r="CX359" t="s">
        <v>1563</v>
      </c>
      <c r="CY359" t="s">
        <v>1564</v>
      </c>
      <c r="CZ359" t="s">
        <v>1339</v>
      </c>
      <c r="DA359" t="s">
        <v>152</v>
      </c>
      <c r="DB359" t="s">
        <v>153</v>
      </c>
      <c r="DC359" t="s">
        <v>459</v>
      </c>
      <c r="DD359" t="s">
        <v>1565</v>
      </c>
      <c r="DE359">
        <v>4809</v>
      </c>
      <c r="DF359">
        <v>-111.57566799999999</v>
      </c>
      <c r="DG359">
        <v>48.433261000000002</v>
      </c>
      <c r="DH359">
        <v>3400</v>
      </c>
      <c r="DI359">
        <v>400</v>
      </c>
      <c r="DL359">
        <v>7</v>
      </c>
      <c r="DM359">
        <v>5</v>
      </c>
      <c r="DN359">
        <v>10</v>
      </c>
      <c r="DO359">
        <v>10</v>
      </c>
      <c r="DP359">
        <v>1</v>
      </c>
      <c r="DQ359">
        <v>50</v>
      </c>
      <c r="DR359" t="s">
        <v>866</v>
      </c>
      <c r="DS359" t="s">
        <v>1566</v>
      </c>
      <c r="DT359">
        <v>1.2500000000000001E-2</v>
      </c>
      <c r="DU359">
        <v>1.2500000000000001E-2</v>
      </c>
      <c r="DV359">
        <v>0.32500000000000001</v>
      </c>
      <c r="DW359">
        <v>0.32500000000000001</v>
      </c>
      <c r="DX359">
        <v>0.32500000000000001</v>
      </c>
      <c r="DY359">
        <v>0</v>
      </c>
      <c r="DZ359" s="4">
        <v>4.9960000000000004</v>
      </c>
      <c r="EA359" s="4" t="s">
        <v>1649</v>
      </c>
      <c r="EB359" s="4" t="s">
        <v>1650</v>
      </c>
      <c r="EC359">
        <v>5.8609999999999998</v>
      </c>
      <c r="ED359">
        <v>94</v>
      </c>
      <c r="EE359" t="s">
        <v>1653</v>
      </c>
      <c r="EF359">
        <v>0</v>
      </c>
      <c r="EH359">
        <f t="shared" si="11"/>
        <v>0.58000000000000007</v>
      </c>
      <c r="EI359">
        <v>3.38</v>
      </c>
      <c r="EJ359">
        <v>3.65</v>
      </c>
    </row>
    <row r="360" spans="1:140" x14ac:dyDescent="0.35">
      <c r="A360" s="1">
        <v>358</v>
      </c>
      <c r="B360">
        <v>-120.27077113443811</v>
      </c>
      <c r="C360">
        <v>48.06065737612753</v>
      </c>
      <c r="D360" t="s">
        <v>1728</v>
      </c>
      <c r="E360">
        <v>0.1</v>
      </c>
      <c r="F360" t="s">
        <v>135</v>
      </c>
      <c r="G360">
        <v>0.1956</v>
      </c>
      <c r="H360" t="s">
        <v>161</v>
      </c>
      <c r="I360">
        <v>-13388481</v>
      </c>
      <c r="J360">
        <v>6116952</v>
      </c>
      <c r="K360" t="s">
        <v>1433</v>
      </c>
      <c r="L360" t="s">
        <v>1729</v>
      </c>
      <c r="M360">
        <v>4</v>
      </c>
      <c r="N360">
        <v>4.6630000000000003</v>
      </c>
      <c r="O360">
        <v>4</v>
      </c>
      <c r="P360">
        <v>9</v>
      </c>
      <c r="Q360">
        <v>53</v>
      </c>
      <c r="R360">
        <v>7</v>
      </c>
      <c r="S360">
        <v>79078</v>
      </c>
      <c r="T360" t="s">
        <v>1646</v>
      </c>
      <c r="U360">
        <v>8.5625160875160873</v>
      </c>
      <c r="V360" t="s">
        <v>1433</v>
      </c>
      <c r="W360">
        <v>0.1013</v>
      </c>
      <c r="X360">
        <v>10</v>
      </c>
      <c r="Y360">
        <v>8.9</v>
      </c>
      <c r="Z360">
        <v>8.9</v>
      </c>
      <c r="AA360">
        <v>20</v>
      </c>
      <c r="AB360">
        <v>26</v>
      </c>
      <c r="AC360">
        <v>0.249</v>
      </c>
      <c r="AD360">
        <v>67</v>
      </c>
      <c r="AE360">
        <v>3.9574062301335033E-2</v>
      </c>
      <c r="AF360">
        <v>2.86</v>
      </c>
      <c r="AG360" t="s">
        <v>1646</v>
      </c>
      <c r="AH360" t="s">
        <v>1433</v>
      </c>
      <c r="AI360">
        <v>75</v>
      </c>
      <c r="AJ360">
        <v>2.5000000000000001E-2</v>
      </c>
      <c r="AK360">
        <v>25</v>
      </c>
      <c r="AL360" t="s">
        <v>1730</v>
      </c>
      <c r="AM360">
        <v>0</v>
      </c>
      <c r="AN360">
        <v>1.74</v>
      </c>
      <c r="AO360">
        <v>0.09</v>
      </c>
      <c r="AP360">
        <v>0.19</v>
      </c>
      <c r="AQ360">
        <v>1.45</v>
      </c>
      <c r="AR360">
        <v>1.35</v>
      </c>
      <c r="AS360">
        <v>0.09</v>
      </c>
      <c r="AT360">
        <v>0.01</v>
      </c>
      <c r="AU360">
        <v>0.02</v>
      </c>
      <c r="AV360">
        <v>2.75</v>
      </c>
      <c r="AW360">
        <v>1.75</v>
      </c>
      <c r="AX360">
        <v>0.21</v>
      </c>
      <c r="AY360">
        <v>0.53</v>
      </c>
      <c r="AZ360">
        <v>0</v>
      </c>
      <c r="BA360">
        <v>1.44</v>
      </c>
      <c r="BB360">
        <v>0.16</v>
      </c>
      <c r="BC360">
        <v>0.15</v>
      </c>
      <c r="BD360">
        <v>0.27</v>
      </c>
      <c r="BE360">
        <v>6.31</v>
      </c>
      <c r="BF360">
        <v>5.63</v>
      </c>
      <c r="BG360">
        <v>0.24</v>
      </c>
      <c r="BH360">
        <v>0.45</v>
      </c>
      <c r="BI360">
        <v>0</v>
      </c>
      <c r="BJ360">
        <v>0.08</v>
      </c>
      <c r="BK360">
        <v>5.55</v>
      </c>
      <c r="BL360">
        <v>0</v>
      </c>
      <c r="BM360">
        <v>2.23</v>
      </c>
      <c r="BN360">
        <v>0.21</v>
      </c>
      <c r="BO360">
        <v>0.46</v>
      </c>
      <c r="BP360">
        <v>1.56</v>
      </c>
      <c r="BQ360">
        <v>1.34</v>
      </c>
      <c r="BR360">
        <v>0.12</v>
      </c>
      <c r="BS360">
        <v>0.11</v>
      </c>
      <c r="BT360">
        <v>0</v>
      </c>
      <c r="BU360">
        <v>6.72</v>
      </c>
      <c r="BV360">
        <v>5.66</v>
      </c>
      <c r="BW360">
        <v>0.34</v>
      </c>
      <c r="BX360">
        <v>0.72</v>
      </c>
      <c r="BY360">
        <v>0</v>
      </c>
      <c r="BZ360">
        <v>0.08</v>
      </c>
      <c r="CA360">
        <v>5.58</v>
      </c>
      <c r="CB360">
        <v>0</v>
      </c>
      <c r="CC360">
        <f t="shared" si="10"/>
        <v>2.75</v>
      </c>
      <c r="CD360">
        <v>3.96</v>
      </c>
      <c r="CE360">
        <v>0.34230769230769231</v>
      </c>
      <c r="CF360">
        <v>0.44500000000000001</v>
      </c>
      <c r="CG360">
        <v>0.1492537313432836</v>
      </c>
      <c r="CH360">
        <v>8.7062937062937065E-2</v>
      </c>
      <c r="CI360">
        <v>0</v>
      </c>
      <c r="CJ360">
        <v>16217</v>
      </c>
      <c r="CK360" t="s">
        <v>141</v>
      </c>
      <c r="CL360" t="s">
        <v>845</v>
      </c>
      <c r="CM360" t="s">
        <v>143</v>
      </c>
      <c r="CN360">
        <v>1.0591809847</v>
      </c>
      <c r="CO360">
        <v>63.515339253178418</v>
      </c>
      <c r="CP360">
        <v>359</v>
      </c>
      <c r="CQ360" t="s">
        <v>1731</v>
      </c>
      <c r="CR360">
        <v>49</v>
      </c>
      <c r="CS360" t="s">
        <v>1558</v>
      </c>
      <c r="CT360" t="s">
        <v>1559</v>
      </c>
      <c r="CU360" t="s">
        <v>1560</v>
      </c>
      <c r="CV360" t="s">
        <v>1561</v>
      </c>
      <c r="CW360" t="s">
        <v>1562</v>
      </c>
      <c r="CX360" t="s">
        <v>1563</v>
      </c>
      <c r="CY360" t="s">
        <v>1564</v>
      </c>
      <c r="CZ360" t="s">
        <v>1339</v>
      </c>
      <c r="DA360" t="s">
        <v>152</v>
      </c>
      <c r="DB360" t="s">
        <v>153</v>
      </c>
      <c r="DC360" t="s">
        <v>459</v>
      </c>
      <c r="DD360" t="s">
        <v>1565</v>
      </c>
      <c r="DE360">
        <v>4809</v>
      </c>
      <c r="DF360">
        <v>-111.57566799999999</v>
      </c>
      <c r="DG360">
        <v>48.433261000000002</v>
      </c>
      <c r="DH360">
        <v>3400</v>
      </c>
      <c r="DI360">
        <v>400</v>
      </c>
      <c r="DL360">
        <v>7</v>
      </c>
      <c r="DM360">
        <v>5</v>
      </c>
      <c r="DN360">
        <v>10</v>
      </c>
      <c r="DO360">
        <v>10</v>
      </c>
      <c r="DP360">
        <v>1</v>
      </c>
      <c r="DQ360">
        <v>50</v>
      </c>
      <c r="DR360" t="s">
        <v>866</v>
      </c>
      <c r="DS360" t="s">
        <v>1566</v>
      </c>
      <c r="DT360">
        <v>1.2500000000000001E-2</v>
      </c>
      <c r="DU360">
        <v>1.2500000000000001E-2</v>
      </c>
      <c r="DV360">
        <v>0.32500000000000001</v>
      </c>
      <c r="DW360">
        <v>0.32500000000000001</v>
      </c>
      <c r="DX360">
        <v>0.32500000000000001</v>
      </c>
      <c r="DY360">
        <v>10.881268022553151</v>
      </c>
      <c r="DZ360" s="4">
        <v>4.9960000000000004</v>
      </c>
      <c r="EA360" s="4" t="s">
        <v>1649</v>
      </c>
      <c r="EB360" s="4" t="s">
        <v>1650</v>
      </c>
      <c r="EC360">
        <v>5.8609999999999998</v>
      </c>
      <c r="ED360">
        <v>941</v>
      </c>
      <c r="EE360" t="s">
        <v>1730</v>
      </c>
      <c r="EF360">
        <v>0</v>
      </c>
      <c r="EH360">
        <f t="shared" si="11"/>
        <v>0.58000000000000007</v>
      </c>
      <c r="EI360">
        <v>3.38</v>
      </c>
      <c r="EJ360">
        <v>3.65</v>
      </c>
    </row>
    <row r="361" spans="1:140" x14ac:dyDescent="0.35">
      <c r="A361" s="1">
        <v>359</v>
      </c>
      <c r="B361">
        <v>-118.4741405661991</v>
      </c>
      <c r="C361">
        <v>48.06065737612753</v>
      </c>
      <c r="D361" t="s">
        <v>1732</v>
      </c>
      <c r="E361">
        <v>0.1</v>
      </c>
      <c r="F361" t="s">
        <v>135</v>
      </c>
      <c r="G361">
        <v>0.1956</v>
      </c>
      <c r="H361" t="s">
        <v>161</v>
      </c>
      <c r="I361">
        <v>-13188481</v>
      </c>
      <c r="J361">
        <v>6116952</v>
      </c>
      <c r="K361" t="s">
        <v>1433</v>
      </c>
      <c r="L361" t="s">
        <v>1733</v>
      </c>
      <c r="M361">
        <v>10</v>
      </c>
      <c r="N361">
        <v>4.6609999999999996</v>
      </c>
      <c r="O361">
        <v>4</v>
      </c>
      <c r="P361">
        <v>9</v>
      </c>
      <c r="Q361">
        <v>53</v>
      </c>
      <c r="R361">
        <v>19</v>
      </c>
      <c r="S361">
        <v>7178</v>
      </c>
      <c r="T361" t="s">
        <v>1646</v>
      </c>
      <c r="U361">
        <v>8.5625160875160873</v>
      </c>
      <c r="V361" t="s">
        <v>1433</v>
      </c>
      <c r="W361">
        <v>0.1013</v>
      </c>
      <c r="X361">
        <v>10</v>
      </c>
      <c r="Y361">
        <v>8.9</v>
      </c>
      <c r="Z361">
        <v>8.9</v>
      </c>
      <c r="AA361">
        <v>20</v>
      </c>
      <c r="AB361">
        <v>26</v>
      </c>
      <c r="AC361">
        <v>0.249</v>
      </c>
      <c r="AD361">
        <v>67</v>
      </c>
      <c r="AE361">
        <v>3.9574062301335033E-2</v>
      </c>
      <c r="AF361">
        <v>2.86</v>
      </c>
      <c r="AG361" t="s">
        <v>1646</v>
      </c>
      <c r="AH361" t="s">
        <v>1433</v>
      </c>
      <c r="AI361">
        <v>75</v>
      </c>
      <c r="AJ361">
        <v>2.5000000000000001E-2</v>
      </c>
      <c r="AK361">
        <v>25</v>
      </c>
      <c r="AL361" t="s">
        <v>1734</v>
      </c>
      <c r="AM361">
        <v>9746.2219715132051</v>
      </c>
      <c r="AN361">
        <v>1.74</v>
      </c>
      <c r="AO361">
        <v>0.09</v>
      </c>
      <c r="AP361">
        <v>0.19</v>
      </c>
      <c r="AQ361">
        <v>1.45</v>
      </c>
      <c r="AR361">
        <v>1.35</v>
      </c>
      <c r="AS361">
        <v>0.09</v>
      </c>
      <c r="AT361">
        <v>0.01</v>
      </c>
      <c r="AU361">
        <v>0.02</v>
      </c>
      <c r="AV361">
        <v>2.75</v>
      </c>
      <c r="AW361">
        <v>1.75</v>
      </c>
      <c r="AX361">
        <v>0.21</v>
      </c>
      <c r="AY361">
        <v>0.53</v>
      </c>
      <c r="AZ361">
        <v>0</v>
      </c>
      <c r="BA361">
        <v>1.44</v>
      </c>
      <c r="BB361">
        <v>0.16</v>
      </c>
      <c r="BC361">
        <v>0.15</v>
      </c>
      <c r="BD361">
        <v>0.27</v>
      </c>
      <c r="BE361">
        <v>6.31</v>
      </c>
      <c r="BF361">
        <v>5.63</v>
      </c>
      <c r="BG361">
        <v>0.24</v>
      </c>
      <c r="BH361">
        <v>0.45</v>
      </c>
      <c r="BI361">
        <v>0</v>
      </c>
      <c r="BJ361">
        <v>0.08</v>
      </c>
      <c r="BK361">
        <v>5.55</v>
      </c>
      <c r="BL361">
        <v>0</v>
      </c>
      <c r="BM361">
        <v>2.23</v>
      </c>
      <c r="BN361">
        <v>0.21</v>
      </c>
      <c r="BO361">
        <v>0.46</v>
      </c>
      <c r="BP361">
        <v>1.56</v>
      </c>
      <c r="BQ361">
        <v>1.34</v>
      </c>
      <c r="BR361">
        <v>0.12</v>
      </c>
      <c r="BS361">
        <v>0.11</v>
      </c>
      <c r="BT361">
        <v>0</v>
      </c>
      <c r="BU361">
        <v>6.72</v>
      </c>
      <c r="BV361">
        <v>5.66</v>
      </c>
      <c r="BW361">
        <v>0.34</v>
      </c>
      <c r="BX361">
        <v>0.72</v>
      </c>
      <c r="BY361">
        <v>0</v>
      </c>
      <c r="BZ361">
        <v>0.08</v>
      </c>
      <c r="CA361">
        <v>5.58</v>
      </c>
      <c r="CB361">
        <v>0</v>
      </c>
      <c r="CC361">
        <f t="shared" si="10"/>
        <v>2.75</v>
      </c>
      <c r="CD361">
        <v>3.96</v>
      </c>
      <c r="CE361">
        <v>0.34230769230769231</v>
      </c>
      <c r="CF361">
        <v>0.44500000000000001</v>
      </c>
      <c r="CG361">
        <v>0.1492537313432836</v>
      </c>
      <c r="CH361">
        <v>8.7062937062937065E-2</v>
      </c>
      <c r="CI361">
        <v>0</v>
      </c>
      <c r="CJ361">
        <v>16175</v>
      </c>
      <c r="CK361" t="s">
        <v>141</v>
      </c>
      <c r="CL361" t="s">
        <v>845</v>
      </c>
      <c r="CM361" t="s">
        <v>143</v>
      </c>
      <c r="CN361">
        <v>0.41939734481399998</v>
      </c>
      <c r="CO361">
        <v>71.26355608892159</v>
      </c>
      <c r="CP361">
        <v>360</v>
      </c>
      <c r="CQ361" t="s">
        <v>1735</v>
      </c>
      <c r="CR361">
        <v>49</v>
      </c>
      <c r="CS361" t="s">
        <v>1558</v>
      </c>
      <c r="CT361" t="s">
        <v>1559</v>
      </c>
      <c r="CU361" t="s">
        <v>1560</v>
      </c>
      <c r="CV361" t="s">
        <v>1561</v>
      </c>
      <c r="CW361" t="s">
        <v>1562</v>
      </c>
      <c r="CX361" t="s">
        <v>1563</v>
      </c>
      <c r="CY361" t="s">
        <v>1564</v>
      </c>
      <c r="CZ361" t="s">
        <v>1339</v>
      </c>
      <c r="DA361" t="s">
        <v>152</v>
      </c>
      <c r="DB361" t="s">
        <v>153</v>
      </c>
      <c r="DC361" t="s">
        <v>459</v>
      </c>
      <c r="DD361" t="s">
        <v>1565</v>
      </c>
      <c r="DE361">
        <v>4809</v>
      </c>
      <c r="DF361">
        <v>-111.57566799999999</v>
      </c>
      <c r="DG361">
        <v>48.433261000000002</v>
      </c>
      <c r="DH361">
        <v>3400</v>
      </c>
      <c r="DI361">
        <v>400</v>
      </c>
      <c r="DL361">
        <v>7</v>
      </c>
      <c r="DM361">
        <v>5</v>
      </c>
      <c r="DN361">
        <v>10</v>
      </c>
      <c r="DO361">
        <v>10</v>
      </c>
      <c r="DP361">
        <v>1</v>
      </c>
      <c r="DQ361">
        <v>50</v>
      </c>
      <c r="DR361" t="s">
        <v>866</v>
      </c>
      <c r="DS361" t="s">
        <v>1566</v>
      </c>
      <c r="DT361">
        <v>1.2500000000000001E-2</v>
      </c>
      <c r="DU361">
        <v>1.2500000000000001E-2</v>
      </c>
      <c r="DV361">
        <v>0.32500000000000001</v>
      </c>
      <c r="DW361">
        <v>0.32500000000000001</v>
      </c>
      <c r="DX361">
        <v>0.32500000000000001</v>
      </c>
      <c r="DY361">
        <v>99.613134735855994</v>
      </c>
      <c r="DZ361" s="4">
        <v>4.9960000000000004</v>
      </c>
      <c r="EA361" s="4" t="s">
        <v>1649</v>
      </c>
      <c r="EB361" s="4" t="s">
        <v>1650</v>
      </c>
      <c r="EC361">
        <v>5.8609999999999998</v>
      </c>
      <c r="ED361">
        <v>143</v>
      </c>
      <c r="EE361" t="s">
        <v>1734</v>
      </c>
      <c r="EF361">
        <v>7.950160959582199E-2</v>
      </c>
      <c r="EH361">
        <f t="shared" si="11"/>
        <v>0.58000000000000007</v>
      </c>
      <c r="EI361">
        <v>3.38</v>
      </c>
      <c r="EJ361">
        <v>3.65</v>
      </c>
    </row>
    <row r="362" spans="1:140" x14ac:dyDescent="0.35">
      <c r="A362" s="1">
        <v>360</v>
      </c>
      <c r="B362">
        <v>-116.6775099979601</v>
      </c>
      <c r="C362">
        <v>48.06065737612753</v>
      </c>
      <c r="D362" t="s">
        <v>1736</v>
      </c>
      <c r="E362">
        <v>0.1</v>
      </c>
      <c r="F362" t="s">
        <v>306</v>
      </c>
      <c r="G362">
        <v>0.1956</v>
      </c>
      <c r="H362" t="s">
        <v>161</v>
      </c>
      <c r="I362">
        <v>-12988481</v>
      </c>
      <c r="J362">
        <v>6116952</v>
      </c>
      <c r="K362" t="s">
        <v>1304</v>
      </c>
      <c r="L362" t="s">
        <v>1737</v>
      </c>
      <c r="M362">
        <v>9</v>
      </c>
      <c r="N362">
        <v>4.0350000000000001</v>
      </c>
      <c r="O362">
        <v>4</v>
      </c>
      <c r="P362">
        <v>8</v>
      </c>
      <c r="Q362">
        <v>16</v>
      </c>
      <c r="R362">
        <v>17</v>
      </c>
      <c r="S362">
        <v>47105</v>
      </c>
      <c r="T362" t="s">
        <v>1306</v>
      </c>
      <c r="U362">
        <v>5.8816805527331848</v>
      </c>
      <c r="V362" t="s">
        <v>1304</v>
      </c>
      <c r="W362">
        <v>9.5100000000000004E-2</v>
      </c>
      <c r="X362">
        <v>10</v>
      </c>
      <c r="Y362">
        <v>8.9</v>
      </c>
      <c r="Z362">
        <v>8.9</v>
      </c>
      <c r="AA362">
        <v>20</v>
      </c>
      <c r="AB362">
        <v>26</v>
      </c>
      <c r="AC362">
        <v>0.38200000000000001</v>
      </c>
      <c r="AD362">
        <v>67</v>
      </c>
      <c r="AE362">
        <v>6.0712015257469797E-2</v>
      </c>
      <c r="AF362">
        <v>2.86</v>
      </c>
      <c r="AG362" t="s">
        <v>1306</v>
      </c>
      <c r="AH362" t="s">
        <v>1304</v>
      </c>
      <c r="AI362">
        <v>38</v>
      </c>
      <c r="AJ362">
        <v>1.266666666666667E-2</v>
      </c>
      <c r="AK362">
        <v>12.66666666666667</v>
      </c>
      <c r="AL362" t="s">
        <v>1738</v>
      </c>
      <c r="AM362">
        <v>0</v>
      </c>
      <c r="AN362">
        <v>1.27</v>
      </c>
      <c r="AO362">
        <v>0.09</v>
      </c>
      <c r="AP362">
        <v>0.19</v>
      </c>
      <c r="AQ362">
        <v>0.99</v>
      </c>
      <c r="AR362">
        <v>0.93</v>
      </c>
      <c r="AS362">
        <v>0.04</v>
      </c>
      <c r="AT362">
        <v>0.01</v>
      </c>
      <c r="AU362">
        <v>0.02</v>
      </c>
      <c r="AV362">
        <v>2.2200000000000002</v>
      </c>
      <c r="AW362">
        <v>1.22</v>
      </c>
      <c r="AX362">
        <v>0.21</v>
      </c>
      <c r="AY362">
        <v>0.53</v>
      </c>
      <c r="AZ362">
        <v>0</v>
      </c>
      <c r="BA362">
        <v>0.99</v>
      </c>
      <c r="BB362">
        <v>0.08</v>
      </c>
      <c r="BC362">
        <v>0.15</v>
      </c>
      <c r="BD362">
        <v>0.27</v>
      </c>
      <c r="BE362">
        <v>6.28</v>
      </c>
      <c r="BF362">
        <v>5.59</v>
      </c>
      <c r="BG362">
        <v>0.24</v>
      </c>
      <c r="BH362">
        <v>0.45</v>
      </c>
      <c r="BI362">
        <v>0</v>
      </c>
      <c r="BJ362">
        <v>0.04</v>
      </c>
      <c r="BK362">
        <v>5.55</v>
      </c>
      <c r="BL362">
        <v>0</v>
      </c>
      <c r="BM362">
        <v>1.76</v>
      </c>
      <c r="BN362">
        <v>0.21</v>
      </c>
      <c r="BO362">
        <v>0.46</v>
      </c>
      <c r="BP362">
        <v>1.0900000000000001</v>
      </c>
      <c r="BQ362">
        <v>0.92</v>
      </c>
      <c r="BR362">
        <v>0.06</v>
      </c>
      <c r="BS362">
        <v>0.11</v>
      </c>
      <c r="BT362">
        <v>0</v>
      </c>
      <c r="BU362">
        <v>6.68</v>
      </c>
      <c r="BV362">
        <v>5.62</v>
      </c>
      <c r="BW362">
        <v>0.34</v>
      </c>
      <c r="BX362">
        <v>0.72</v>
      </c>
      <c r="BY362">
        <v>0</v>
      </c>
      <c r="BZ362">
        <v>0.04</v>
      </c>
      <c r="CA362">
        <v>5.58</v>
      </c>
      <c r="CB362">
        <v>0</v>
      </c>
      <c r="CC362">
        <f t="shared" si="10"/>
        <v>2.75</v>
      </c>
      <c r="CD362">
        <v>3.96</v>
      </c>
      <c r="CE362">
        <v>0.34230769230769231</v>
      </c>
      <c r="CF362">
        <v>0.44500000000000001</v>
      </c>
      <c r="CG362">
        <v>0.1492537313432836</v>
      </c>
      <c r="CH362">
        <v>0.13356643356643361</v>
      </c>
      <c r="CI362">
        <v>0</v>
      </c>
      <c r="CJ362">
        <v>21449</v>
      </c>
      <c r="CK362" t="s">
        <v>141</v>
      </c>
      <c r="CL362" t="s">
        <v>1295</v>
      </c>
      <c r="CM362" t="s">
        <v>143</v>
      </c>
      <c r="CN362">
        <v>0.225780743521</v>
      </c>
      <c r="CO362">
        <v>1.7255270149157229</v>
      </c>
      <c r="CP362">
        <v>361</v>
      </c>
      <c r="CQ362" t="s">
        <v>1739</v>
      </c>
      <c r="CR362">
        <v>49</v>
      </c>
      <c r="CS362" t="s">
        <v>1558</v>
      </c>
      <c r="CT362" t="s">
        <v>1559</v>
      </c>
      <c r="CU362" t="s">
        <v>1560</v>
      </c>
      <c r="CV362" t="s">
        <v>1561</v>
      </c>
      <c r="CW362" t="s">
        <v>1562</v>
      </c>
      <c r="CX362" t="s">
        <v>1563</v>
      </c>
      <c r="CY362" t="s">
        <v>1564</v>
      </c>
      <c r="CZ362" t="s">
        <v>1339</v>
      </c>
      <c r="DA362" t="s">
        <v>152</v>
      </c>
      <c r="DB362" t="s">
        <v>153</v>
      </c>
      <c r="DC362" t="s">
        <v>459</v>
      </c>
      <c r="DD362" t="s">
        <v>1565</v>
      </c>
      <c r="DE362">
        <v>4809</v>
      </c>
      <c r="DF362">
        <v>-111.57566799999999</v>
      </c>
      <c r="DG362">
        <v>48.433261000000002</v>
      </c>
      <c r="DH362">
        <v>3400</v>
      </c>
      <c r="DI362">
        <v>400</v>
      </c>
      <c r="DL362">
        <v>7</v>
      </c>
      <c r="DM362">
        <v>5</v>
      </c>
      <c r="DN362">
        <v>10</v>
      </c>
      <c r="DO362">
        <v>10</v>
      </c>
      <c r="DP362">
        <v>1</v>
      </c>
      <c r="DQ362">
        <v>50</v>
      </c>
      <c r="DR362" t="s">
        <v>866</v>
      </c>
      <c r="DS362" t="s">
        <v>1566</v>
      </c>
      <c r="DT362">
        <v>1.2500000000000001E-2</v>
      </c>
      <c r="DU362">
        <v>1.2500000000000001E-2</v>
      </c>
      <c r="DV362">
        <v>0.32500000000000001</v>
      </c>
      <c r="DW362">
        <v>0.32500000000000001</v>
      </c>
      <c r="DX362">
        <v>0.32500000000000001</v>
      </c>
      <c r="DY362">
        <v>141.62614561089251</v>
      </c>
      <c r="DZ362" s="4">
        <v>4.016</v>
      </c>
      <c r="EA362" s="4" t="s">
        <v>1309</v>
      </c>
      <c r="EB362" s="4" t="s">
        <v>1310</v>
      </c>
      <c r="EC362">
        <v>4.6689999999999996</v>
      </c>
      <c r="ED362">
        <v>456</v>
      </c>
      <c r="EE362" t="s">
        <v>1738</v>
      </c>
      <c r="EF362">
        <v>0</v>
      </c>
      <c r="EH362">
        <f t="shared" si="11"/>
        <v>0.58000000000000007</v>
      </c>
      <c r="EI362">
        <v>3.38</v>
      </c>
      <c r="EJ362">
        <v>3.65</v>
      </c>
    </row>
    <row r="363" spans="1:140" x14ac:dyDescent="0.35">
      <c r="A363" s="1">
        <v>361</v>
      </c>
      <c r="B363">
        <v>-114.88087942972101</v>
      </c>
      <c r="C363">
        <v>48.06065737612753</v>
      </c>
      <c r="D363" t="s">
        <v>1740</v>
      </c>
      <c r="E363">
        <v>0.1</v>
      </c>
      <c r="F363" t="s">
        <v>135</v>
      </c>
      <c r="G363">
        <v>0.1956</v>
      </c>
      <c r="H363" t="s">
        <v>161</v>
      </c>
      <c r="I363">
        <v>-12788481</v>
      </c>
      <c r="J363">
        <v>6116952</v>
      </c>
      <c r="K363" t="s">
        <v>1578</v>
      </c>
      <c r="L363" t="s">
        <v>1741</v>
      </c>
      <c r="M363">
        <v>15</v>
      </c>
      <c r="N363">
        <v>3.8980000000000001</v>
      </c>
      <c r="O363">
        <v>4</v>
      </c>
      <c r="P363">
        <v>8</v>
      </c>
      <c r="Q363">
        <v>30</v>
      </c>
      <c r="R363">
        <v>29</v>
      </c>
      <c r="S363">
        <v>104349</v>
      </c>
      <c r="T363" t="s">
        <v>1560</v>
      </c>
      <c r="U363">
        <v>7.1869284698232052</v>
      </c>
      <c r="V363" t="s">
        <v>1578</v>
      </c>
      <c r="W363">
        <v>0.10829999999999999</v>
      </c>
      <c r="X363">
        <v>10</v>
      </c>
      <c r="Y363">
        <v>8.9</v>
      </c>
      <c r="Z363">
        <v>8.9</v>
      </c>
      <c r="AA363">
        <v>20</v>
      </c>
      <c r="AB363">
        <v>26</v>
      </c>
      <c r="AC363">
        <v>0.96899999999999997</v>
      </c>
      <c r="AD363">
        <v>67</v>
      </c>
      <c r="AE363">
        <v>0.15400508582326761</v>
      </c>
      <c r="AF363">
        <v>2.86</v>
      </c>
      <c r="AG363" t="s">
        <v>1560</v>
      </c>
      <c r="AH363" t="s">
        <v>1578</v>
      </c>
      <c r="AI363">
        <v>38</v>
      </c>
      <c r="AJ363">
        <v>1.266666666666667E-2</v>
      </c>
      <c r="AK363">
        <v>12.66666666666667</v>
      </c>
      <c r="AL363" t="s">
        <v>1742</v>
      </c>
      <c r="AM363">
        <v>0</v>
      </c>
      <c r="AN363">
        <v>1.48</v>
      </c>
      <c r="AO363">
        <v>0.09</v>
      </c>
      <c r="AP363">
        <v>0.19</v>
      </c>
      <c r="AQ363">
        <v>1.19</v>
      </c>
      <c r="AR363">
        <v>1.1399999999999999</v>
      </c>
      <c r="AS363">
        <v>0.04</v>
      </c>
      <c r="AT363">
        <v>0.01</v>
      </c>
      <c r="AU363">
        <v>0.02</v>
      </c>
      <c r="AV363">
        <v>2.4500000000000002</v>
      </c>
      <c r="AW363">
        <v>1.45</v>
      </c>
      <c r="AX363">
        <v>0.21</v>
      </c>
      <c r="AY363">
        <v>0.53</v>
      </c>
      <c r="AZ363">
        <v>0</v>
      </c>
      <c r="BA363">
        <v>1.21</v>
      </c>
      <c r="BB363">
        <v>0.08</v>
      </c>
      <c r="BC363">
        <v>0.17</v>
      </c>
      <c r="BD363">
        <v>0.27</v>
      </c>
      <c r="BE363">
        <v>6.83</v>
      </c>
      <c r="BF363">
        <v>6.14</v>
      </c>
      <c r="BG363">
        <v>0.24</v>
      </c>
      <c r="BH363">
        <v>0.45</v>
      </c>
      <c r="BI363">
        <v>0</v>
      </c>
      <c r="BJ363">
        <v>0.04</v>
      </c>
      <c r="BK363">
        <v>6.1</v>
      </c>
      <c r="BL363">
        <v>0</v>
      </c>
      <c r="BM363">
        <v>1.97</v>
      </c>
      <c r="BN363">
        <v>0.21</v>
      </c>
      <c r="BO363">
        <v>0.46</v>
      </c>
      <c r="BP363">
        <v>1.3</v>
      </c>
      <c r="BQ363">
        <v>1.1200000000000001</v>
      </c>
      <c r="BR363">
        <v>0.06</v>
      </c>
      <c r="BS363">
        <v>0.12</v>
      </c>
      <c r="BT363">
        <v>0</v>
      </c>
      <c r="BU363">
        <v>7.24</v>
      </c>
      <c r="BV363">
        <v>6.18</v>
      </c>
      <c r="BW363">
        <v>0.34</v>
      </c>
      <c r="BX363">
        <v>0.72</v>
      </c>
      <c r="BY363">
        <v>0</v>
      </c>
      <c r="BZ363">
        <v>0.04</v>
      </c>
      <c r="CA363">
        <v>6.14</v>
      </c>
      <c r="CB363">
        <v>0</v>
      </c>
      <c r="CC363">
        <f t="shared" si="10"/>
        <v>2.75</v>
      </c>
      <c r="CD363">
        <v>3.96</v>
      </c>
      <c r="CE363">
        <v>0.34230769230769231</v>
      </c>
      <c r="CF363">
        <v>0.44500000000000001</v>
      </c>
      <c r="CG363">
        <v>0.1492537313432836</v>
      </c>
      <c r="CH363">
        <v>0.33881118881118882</v>
      </c>
      <c r="CI363">
        <v>0</v>
      </c>
      <c r="CJ363">
        <v>16051</v>
      </c>
      <c r="CK363" t="s">
        <v>169</v>
      </c>
      <c r="CL363" t="s">
        <v>1467</v>
      </c>
      <c r="CM363" t="s">
        <v>143</v>
      </c>
      <c r="CN363">
        <v>0.22821014611599999</v>
      </c>
      <c r="CO363">
        <v>41.653449941140643</v>
      </c>
      <c r="CP363">
        <v>362</v>
      </c>
      <c r="CQ363" t="s">
        <v>908</v>
      </c>
      <c r="CR363">
        <v>49</v>
      </c>
      <c r="CS363" t="s">
        <v>1558</v>
      </c>
      <c r="CT363" t="s">
        <v>1559</v>
      </c>
      <c r="CU363" t="s">
        <v>1560</v>
      </c>
      <c r="CV363" t="s">
        <v>1561</v>
      </c>
      <c r="CW363" t="s">
        <v>1562</v>
      </c>
      <c r="CX363" t="s">
        <v>1563</v>
      </c>
      <c r="CY363" t="s">
        <v>1564</v>
      </c>
      <c r="CZ363" t="s">
        <v>1339</v>
      </c>
      <c r="DA363" t="s">
        <v>152</v>
      </c>
      <c r="DB363" t="s">
        <v>153</v>
      </c>
      <c r="DC363" t="s">
        <v>459</v>
      </c>
      <c r="DD363" t="s">
        <v>1565</v>
      </c>
      <c r="DE363">
        <v>4809</v>
      </c>
      <c r="DF363">
        <v>-111.57566799999999</v>
      </c>
      <c r="DG363">
        <v>48.433261000000002</v>
      </c>
      <c r="DH363">
        <v>3400</v>
      </c>
      <c r="DI363">
        <v>400</v>
      </c>
      <c r="DL363">
        <v>7</v>
      </c>
      <c r="DM363">
        <v>5</v>
      </c>
      <c r="DN363">
        <v>10</v>
      </c>
      <c r="DO363">
        <v>10</v>
      </c>
      <c r="DP363">
        <v>1</v>
      </c>
      <c r="DQ363">
        <v>50</v>
      </c>
      <c r="DR363" t="s">
        <v>866</v>
      </c>
      <c r="DS363" t="s">
        <v>1566</v>
      </c>
      <c r="DT363">
        <v>1.2500000000000001E-2</v>
      </c>
      <c r="DU363">
        <v>1.2500000000000001E-2</v>
      </c>
      <c r="DV363">
        <v>0.32500000000000001</v>
      </c>
      <c r="DW363">
        <v>0.32500000000000001</v>
      </c>
      <c r="DX363">
        <v>0.32500000000000001</v>
      </c>
      <c r="DY363">
        <v>97.691829711322256</v>
      </c>
      <c r="DZ363" s="4">
        <v>3.9159999999999999</v>
      </c>
      <c r="EA363" s="4" t="s">
        <v>1581</v>
      </c>
      <c r="EB363" s="4" t="s">
        <v>1582</v>
      </c>
      <c r="EC363">
        <v>4.3879999999999999</v>
      </c>
      <c r="ED363">
        <v>614</v>
      </c>
      <c r="EE363" t="s">
        <v>1742</v>
      </c>
      <c r="EF363">
        <v>0</v>
      </c>
      <c r="EH363">
        <f t="shared" si="11"/>
        <v>0.58000000000000007</v>
      </c>
      <c r="EI363">
        <v>3.38</v>
      </c>
      <c r="EJ363">
        <v>3.65</v>
      </c>
    </row>
    <row r="364" spans="1:140" x14ac:dyDescent="0.35">
      <c r="A364" s="1">
        <v>362</v>
      </c>
      <c r="B364">
        <v>-113.084248861482</v>
      </c>
      <c r="C364">
        <v>48.06065737612753</v>
      </c>
      <c r="D364" t="s">
        <v>1743</v>
      </c>
      <c r="E364">
        <v>0.02</v>
      </c>
      <c r="F364" t="s">
        <v>160</v>
      </c>
      <c r="G364">
        <v>0.1956</v>
      </c>
      <c r="H364" t="s">
        <v>161</v>
      </c>
      <c r="I364">
        <v>-12588481</v>
      </c>
      <c r="J364">
        <v>6116952</v>
      </c>
      <c r="K364" t="s">
        <v>1578</v>
      </c>
      <c r="L364" t="s">
        <v>1741</v>
      </c>
      <c r="M364">
        <v>15</v>
      </c>
      <c r="N364">
        <v>3.8980000000000001</v>
      </c>
      <c r="O364">
        <v>4</v>
      </c>
      <c r="P364">
        <v>8</v>
      </c>
      <c r="Q364">
        <v>30</v>
      </c>
      <c r="R364">
        <v>29</v>
      </c>
      <c r="S364">
        <v>104349</v>
      </c>
      <c r="T364" t="s">
        <v>1560</v>
      </c>
      <c r="U364">
        <v>7.1869284698232052</v>
      </c>
      <c r="V364" t="s">
        <v>1578</v>
      </c>
      <c r="W364">
        <v>0.10829999999999999</v>
      </c>
      <c r="X364">
        <v>10</v>
      </c>
      <c r="Y364">
        <v>8.9</v>
      </c>
      <c r="Z364">
        <v>8.9</v>
      </c>
      <c r="AA364">
        <v>20</v>
      </c>
      <c r="AB364">
        <v>26</v>
      </c>
      <c r="AC364">
        <v>0.96899999999999997</v>
      </c>
      <c r="AD364">
        <v>67</v>
      </c>
      <c r="AE364">
        <v>0.15400508582326761</v>
      </c>
      <c r="AF364">
        <v>2.86</v>
      </c>
      <c r="AG364" t="s">
        <v>1560</v>
      </c>
      <c r="AH364" t="s">
        <v>1578</v>
      </c>
      <c r="AI364">
        <v>38</v>
      </c>
      <c r="AJ364">
        <v>1.266666666666667E-2</v>
      </c>
      <c r="AK364">
        <v>12.66666666666667</v>
      </c>
      <c r="AL364" t="s">
        <v>1742</v>
      </c>
      <c r="AM364">
        <v>0</v>
      </c>
      <c r="AN364">
        <v>1.48</v>
      </c>
      <c r="AO364">
        <v>0.09</v>
      </c>
      <c r="AP364">
        <v>0.19</v>
      </c>
      <c r="AQ364">
        <v>1.19</v>
      </c>
      <c r="AR364">
        <v>1.1399999999999999</v>
      </c>
      <c r="AS364">
        <v>0.04</v>
      </c>
      <c r="AT364">
        <v>0.01</v>
      </c>
      <c r="AU364">
        <v>0.02</v>
      </c>
      <c r="AV364">
        <v>2.4500000000000002</v>
      </c>
      <c r="AW364">
        <v>1.45</v>
      </c>
      <c r="AX364">
        <v>0.21</v>
      </c>
      <c r="AY364">
        <v>0.53</v>
      </c>
      <c r="AZ364">
        <v>0</v>
      </c>
      <c r="BA364">
        <v>1.21</v>
      </c>
      <c r="BB364">
        <v>0.08</v>
      </c>
      <c r="BC364">
        <v>0.17</v>
      </c>
      <c r="BD364">
        <v>0.27</v>
      </c>
      <c r="BE364">
        <v>6.83</v>
      </c>
      <c r="BF364">
        <v>6.14</v>
      </c>
      <c r="BG364">
        <v>0.24</v>
      </c>
      <c r="BH364">
        <v>0.45</v>
      </c>
      <c r="BI364">
        <v>0</v>
      </c>
      <c r="BJ364">
        <v>0.04</v>
      </c>
      <c r="BK364">
        <v>6.1</v>
      </c>
      <c r="BL364">
        <v>0</v>
      </c>
      <c r="BM364">
        <v>1.97</v>
      </c>
      <c r="BN364">
        <v>0.21</v>
      </c>
      <c r="BO364">
        <v>0.46</v>
      </c>
      <c r="BP364">
        <v>1.3</v>
      </c>
      <c r="BQ364">
        <v>1.1200000000000001</v>
      </c>
      <c r="BR364">
        <v>0.06</v>
      </c>
      <c r="BS364">
        <v>0.12</v>
      </c>
      <c r="BT364">
        <v>0</v>
      </c>
      <c r="BU364">
        <v>7.24</v>
      </c>
      <c r="BV364">
        <v>6.18</v>
      </c>
      <c r="BW364">
        <v>0.34</v>
      </c>
      <c r="BX364">
        <v>0.72</v>
      </c>
      <c r="BY364">
        <v>0</v>
      </c>
      <c r="BZ364">
        <v>0.04</v>
      </c>
      <c r="CA364">
        <v>6.14</v>
      </c>
      <c r="CB364">
        <v>0</v>
      </c>
      <c r="CC364">
        <f t="shared" si="10"/>
        <v>2.75</v>
      </c>
      <c r="CD364">
        <v>3.96</v>
      </c>
      <c r="CE364">
        <v>0.34230769230769231</v>
      </c>
      <c r="CF364">
        <v>0.44500000000000001</v>
      </c>
      <c r="CG364">
        <v>0.1492537313432836</v>
      </c>
      <c r="CH364">
        <v>0.33881118881118882</v>
      </c>
      <c r="CI364">
        <v>0</v>
      </c>
      <c r="CJ364">
        <v>16147</v>
      </c>
      <c r="CK364" t="s">
        <v>169</v>
      </c>
      <c r="CL364" t="s">
        <v>1467</v>
      </c>
      <c r="CM364" t="s">
        <v>143</v>
      </c>
      <c r="CN364">
        <v>0.98566026419300001</v>
      </c>
      <c r="CO364">
        <v>30.5145684428504</v>
      </c>
      <c r="CP364">
        <v>363</v>
      </c>
      <c r="CQ364" t="s">
        <v>908</v>
      </c>
      <c r="CR364">
        <v>49</v>
      </c>
      <c r="CS364" t="s">
        <v>1558</v>
      </c>
      <c r="CT364" t="s">
        <v>1559</v>
      </c>
      <c r="CU364" t="s">
        <v>1560</v>
      </c>
      <c r="CV364" t="s">
        <v>1561</v>
      </c>
      <c r="CW364" t="s">
        <v>1562</v>
      </c>
      <c r="CX364" t="s">
        <v>1563</v>
      </c>
      <c r="CY364" t="s">
        <v>1564</v>
      </c>
      <c r="CZ364" t="s">
        <v>1339</v>
      </c>
      <c r="DA364" t="s">
        <v>152</v>
      </c>
      <c r="DB364" t="s">
        <v>153</v>
      </c>
      <c r="DC364" t="s">
        <v>459</v>
      </c>
      <c r="DD364" t="s">
        <v>1565</v>
      </c>
      <c r="DE364">
        <v>4809</v>
      </c>
      <c r="DF364">
        <v>-111.57566799999999</v>
      </c>
      <c r="DG364">
        <v>48.433261000000002</v>
      </c>
      <c r="DH364">
        <v>3400</v>
      </c>
      <c r="DI364">
        <v>400</v>
      </c>
      <c r="DL364">
        <v>7</v>
      </c>
      <c r="DM364">
        <v>5</v>
      </c>
      <c r="DN364">
        <v>10</v>
      </c>
      <c r="DO364">
        <v>10</v>
      </c>
      <c r="DP364">
        <v>1</v>
      </c>
      <c r="DQ364">
        <v>50</v>
      </c>
      <c r="DR364" t="s">
        <v>866</v>
      </c>
      <c r="DS364" t="s">
        <v>1566</v>
      </c>
      <c r="DT364">
        <v>1.2500000000000001E-2</v>
      </c>
      <c r="DU364">
        <v>1.2500000000000001E-2</v>
      </c>
      <c r="DV364">
        <v>0.32500000000000001</v>
      </c>
      <c r="DW364">
        <v>0.32500000000000001</v>
      </c>
      <c r="DX364">
        <v>0.32500000000000001</v>
      </c>
      <c r="DY364">
        <v>0</v>
      </c>
      <c r="DZ364" s="4">
        <v>3.9159999999999999</v>
      </c>
      <c r="EA364" s="4" t="s">
        <v>1581</v>
      </c>
      <c r="EB364" s="4" t="s">
        <v>1582</v>
      </c>
      <c r="EC364">
        <v>4.3879999999999999</v>
      </c>
      <c r="ED364">
        <v>614</v>
      </c>
      <c r="EE364" t="s">
        <v>1742</v>
      </c>
      <c r="EF364">
        <v>0</v>
      </c>
      <c r="EH364">
        <f t="shared" si="11"/>
        <v>0.58000000000000007</v>
      </c>
      <c r="EI364">
        <v>3.38</v>
      </c>
      <c r="EJ364">
        <v>3.65</v>
      </c>
    </row>
    <row r="365" spans="1:140" x14ac:dyDescent="0.35">
      <c r="A365" s="1">
        <v>363</v>
      </c>
      <c r="B365">
        <v>-111.2876182932429</v>
      </c>
      <c r="C365">
        <v>48.06065737612753</v>
      </c>
      <c r="D365" t="s">
        <v>1744</v>
      </c>
      <c r="E365">
        <v>0.02</v>
      </c>
      <c r="F365" t="s">
        <v>160</v>
      </c>
      <c r="G365">
        <v>0.1956</v>
      </c>
      <c r="H365" t="s">
        <v>161</v>
      </c>
      <c r="I365">
        <v>-12388481</v>
      </c>
      <c r="J365">
        <v>6116952</v>
      </c>
      <c r="K365" t="s">
        <v>1578</v>
      </c>
      <c r="L365" t="s">
        <v>1745</v>
      </c>
      <c r="M365">
        <v>8</v>
      </c>
      <c r="N365">
        <v>3.9580000000000002</v>
      </c>
      <c r="O365">
        <v>4</v>
      </c>
      <c r="P365">
        <v>8</v>
      </c>
      <c r="Q365">
        <v>30</v>
      </c>
      <c r="R365">
        <v>15</v>
      </c>
      <c r="S365">
        <v>5896</v>
      </c>
      <c r="T365" t="s">
        <v>1560</v>
      </c>
      <c r="U365">
        <v>7.1869284698232052</v>
      </c>
      <c r="V365" t="s">
        <v>1578</v>
      </c>
      <c r="W365">
        <v>0.10829999999999999</v>
      </c>
      <c r="X365">
        <v>10</v>
      </c>
      <c r="Y365">
        <v>8.9</v>
      </c>
      <c r="Z365">
        <v>8.9</v>
      </c>
      <c r="AA365">
        <v>20</v>
      </c>
      <c r="AB365">
        <v>26</v>
      </c>
      <c r="AC365">
        <v>0.96899999999999997</v>
      </c>
      <c r="AD365">
        <v>67</v>
      </c>
      <c r="AE365">
        <v>0.15400508582326761</v>
      </c>
      <c r="AF365">
        <v>2.86</v>
      </c>
      <c r="AG365" t="s">
        <v>1560</v>
      </c>
      <c r="AH365" t="s">
        <v>1578</v>
      </c>
      <c r="AI365">
        <v>38</v>
      </c>
      <c r="AJ365">
        <v>1.266666666666667E-2</v>
      </c>
      <c r="AK365">
        <v>12.66666666666667</v>
      </c>
      <c r="AL365" t="s">
        <v>1670</v>
      </c>
      <c r="AM365">
        <v>60219.041063996789</v>
      </c>
      <c r="AN365">
        <v>1.48</v>
      </c>
      <c r="AO365">
        <v>0.09</v>
      </c>
      <c r="AP365">
        <v>0.19</v>
      </c>
      <c r="AQ365">
        <v>1.19</v>
      </c>
      <c r="AR365">
        <v>1.1399999999999999</v>
      </c>
      <c r="AS365">
        <v>0.04</v>
      </c>
      <c r="AT365">
        <v>0.01</v>
      </c>
      <c r="AU365">
        <v>0.02</v>
      </c>
      <c r="AV365">
        <v>2.4500000000000002</v>
      </c>
      <c r="AW365">
        <v>1.45</v>
      </c>
      <c r="AX365">
        <v>0.21</v>
      </c>
      <c r="AY365">
        <v>0.53</v>
      </c>
      <c r="AZ365">
        <v>0</v>
      </c>
      <c r="BA365">
        <v>1.21</v>
      </c>
      <c r="BB365">
        <v>0.08</v>
      </c>
      <c r="BC365">
        <v>0.17</v>
      </c>
      <c r="BD365">
        <v>0.27</v>
      </c>
      <c r="BE365">
        <v>6.83</v>
      </c>
      <c r="BF365">
        <v>6.14</v>
      </c>
      <c r="BG365">
        <v>0.24</v>
      </c>
      <c r="BH365">
        <v>0.45</v>
      </c>
      <c r="BI365">
        <v>0</v>
      </c>
      <c r="BJ365">
        <v>0.04</v>
      </c>
      <c r="BK365">
        <v>6.1</v>
      </c>
      <c r="BL365">
        <v>0</v>
      </c>
      <c r="BM365">
        <v>1.97</v>
      </c>
      <c r="BN365">
        <v>0.21</v>
      </c>
      <c r="BO365">
        <v>0.46</v>
      </c>
      <c r="BP365">
        <v>1.3</v>
      </c>
      <c r="BQ365">
        <v>1.1200000000000001</v>
      </c>
      <c r="BR365">
        <v>0.06</v>
      </c>
      <c r="BS365">
        <v>0.12</v>
      </c>
      <c r="BT365">
        <v>0</v>
      </c>
      <c r="BU365">
        <v>7.24</v>
      </c>
      <c r="BV365">
        <v>6.18</v>
      </c>
      <c r="BW365">
        <v>0.34</v>
      </c>
      <c r="BX365">
        <v>0.72</v>
      </c>
      <c r="BY365">
        <v>0</v>
      </c>
      <c r="BZ365">
        <v>0.04</v>
      </c>
      <c r="CA365">
        <v>6.14</v>
      </c>
      <c r="CB365">
        <v>0</v>
      </c>
      <c r="CC365">
        <f t="shared" si="10"/>
        <v>2.75</v>
      </c>
      <c r="CD365">
        <v>3.96</v>
      </c>
      <c r="CE365">
        <v>0.34230769230769231</v>
      </c>
      <c r="CF365">
        <v>0.44500000000000001</v>
      </c>
      <c r="CG365">
        <v>0.1492537313432836</v>
      </c>
      <c r="CH365">
        <v>0.33881118881118882</v>
      </c>
      <c r="CI365">
        <v>0</v>
      </c>
      <c r="CJ365">
        <v>15634</v>
      </c>
      <c r="CK365" t="s">
        <v>169</v>
      </c>
      <c r="CL365" t="s">
        <v>1467</v>
      </c>
      <c r="CM365" t="s">
        <v>143</v>
      </c>
      <c r="CN365">
        <v>0.61239545113100002</v>
      </c>
      <c r="CO365">
        <v>8.2655098916642995</v>
      </c>
      <c r="CP365">
        <v>364</v>
      </c>
      <c r="CQ365" t="s">
        <v>1673</v>
      </c>
      <c r="CR365">
        <v>49</v>
      </c>
      <c r="CS365" t="s">
        <v>1558</v>
      </c>
      <c r="CT365" t="s">
        <v>1559</v>
      </c>
      <c r="CU365" t="s">
        <v>1560</v>
      </c>
      <c r="CV365" t="s">
        <v>1561</v>
      </c>
      <c r="CW365" t="s">
        <v>1562</v>
      </c>
      <c r="CX365" t="s">
        <v>1563</v>
      </c>
      <c r="CY365" t="s">
        <v>1564</v>
      </c>
      <c r="CZ365" t="s">
        <v>1339</v>
      </c>
      <c r="DA365" t="s">
        <v>152</v>
      </c>
      <c r="DB365" t="s">
        <v>153</v>
      </c>
      <c r="DC365" t="s">
        <v>459</v>
      </c>
      <c r="DD365" t="s">
        <v>1565</v>
      </c>
      <c r="DE365">
        <v>4809</v>
      </c>
      <c r="DF365">
        <v>-111.57566799999999</v>
      </c>
      <c r="DG365">
        <v>48.433261000000002</v>
      </c>
      <c r="DH365">
        <v>3400</v>
      </c>
      <c r="DI365">
        <v>400</v>
      </c>
      <c r="DL365">
        <v>7</v>
      </c>
      <c r="DM365">
        <v>5</v>
      </c>
      <c r="DN365">
        <v>10</v>
      </c>
      <c r="DO365">
        <v>10</v>
      </c>
      <c r="DP365">
        <v>1</v>
      </c>
      <c r="DQ365">
        <v>50</v>
      </c>
      <c r="DR365" t="s">
        <v>866</v>
      </c>
      <c r="DS365" t="s">
        <v>1566</v>
      </c>
      <c r="DT365">
        <v>1.2500000000000001E-2</v>
      </c>
      <c r="DU365">
        <v>1.2500000000000001E-2</v>
      </c>
      <c r="DV365">
        <v>0.32500000000000001</v>
      </c>
      <c r="DW365">
        <v>0.32500000000000001</v>
      </c>
      <c r="DX365">
        <v>0.32500000000000001</v>
      </c>
      <c r="DY365">
        <v>0</v>
      </c>
      <c r="DZ365" s="4">
        <v>3.9159999999999999</v>
      </c>
      <c r="EA365" s="4" t="s">
        <v>1581</v>
      </c>
      <c r="EB365" s="4" t="s">
        <v>1582</v>
      </c>
      <c r="EC365">
        <v>4.3879999999999999</v>
      </c>
      <c r="ED365">
        <v>89</v>
      </c>
      <c r="EE365" t="s">
        <v>1670</v>
      </c>
      <c r="EF365">
        <v>0.36281632261980679</v>
      </c>
      <c r="EH365">
        <f t="shared" si="11"/>
        <v>0.58000000000000007</v>
      </c>
      <c r="EI365">
        <v>3.38</v>
      </c>
      <c r="EJ365">
        <v>3.65</v>
      </c>
    </row>
    <row r="366" spans="1:140" x14ac:dyDescent="0.35">
      <c r="A366" s="1">
        <v>364</v>
      </c>
      <c r="B366">
        <v>-109.4909877250039</v>
      </c>
      <c r="C366">
        <v>48.06065737612753</v>
      </c>
      <c r="D366" t="s">
        <v>1746</v>
      </c>
      <c r="E366">
        <v>0.02</v>
      </c>
      <c r="F366" t="s">
        <v>160</v>
      </c>
      <c r="G366">
        <v>7.9399999999999998E-2</v>
      </c>
      <c r="H366" t="s">
        <v>161</v>
      </c>
      <c r="I366">
        <v>-12188481</v>
      </c>
      <c r="J366">
        <v>6116952</v>
      </c>
      <c r="K366" t="s">
        <v>1578</v>
      </c>
      <c r="L366" t="s">
        <v>1747</v>
      </c>
      <c r="M366">
        <v>3</v>
      </c>
      <c r="N366">
        <v>3.956</v>
      </c>
      <c r="O366">
        <v>4</v>
      </c>
      <c r="P366">
        <v>8</v>
      </c>
      <c r="Q366">
        <v>30</v>
      </c>
      <c r="R366">
        <v>5</v>
      </c>
      <c r="S366">
        <v>7042</v>
      </c>
      <c r="T366" t="s">
        <v>1560</v>
      </c>
      <c r="U366">
        <v>7.1869284698232052</v>
      </c>
      <c r="V366" t="s">
        <v>1578</v>
      </c>
      <c r="W366">
        <v>0.10829999999999999</v>
      </c>
      <c r="X366">
        <v>10</v>
      </c>
      <c r="Y366">
        <v>8.9</v>
      </c>
      <c r="Z366">
        <v>8.9</v>
      </c>
      <c r="AA366">
        <v>20</v>
      </c>
      <c r="AB366">
        <v>26</v>
      </c>
      <c r="AC366">
        <v>0.96899999999999997</v>
      </c>
      <c r="AD366">
        <v>67</v>
      </c>
      <c r="AE366">
        <v>0.15400508582326761</v>
      </c>
      <c r="AF366">
        <v>2.86</v>
      </c>
      <c r="AG366" t="s">
        <v>1560</v>
      </c>
      <c r="AH366" t="s">
        <v>1578</v>
      </c>
      <c r="AI366">
        <v>38</v>
      </c>
      <c r="AJ366">
        <v>1.266666666666667E-2</v>
      </c>
      <c r="AK366">
        <v>12.66666666666667</v>
      </c>
      <c r="AL366" t="s">
        <v>1670</v>
      </c>
      <c r="AM366">
        <v>163477.49871053119</v>
      </c>
      <c r="AN366">
        <v>1.48</v>
      </c>
      <c r="AO366">
        <v>0.09</v>
      </c>
      <c r="AP366">
        <v>0.19</v>
      </c>
      <c r="AQ366">
        <v>1.19</v>
      </c>
      <c r="AR366">
        <v>1.1399999999999999</v>
      </c>
      <c r="AS366">
        <v>0.04</v>
      </c>
      <c r="AT366">
        <v>0.01</v>
      </c>
      <c r="AU366">
        <v>0.02</v>
      </c>
      <c r="AV366">
        <v>2.4500000000000002</v>
      </c>
      <c r="AW366">
        <v>1.45</v>
      </c>
      <c r="AX366">
        <v>0.21</v>
      </c>
      <c r="AY366">
        <v>0.53</v>
      </c>
      <c r="AZ366">
        <v>0</v>
      </c>
      <c r="BA366">
        <v>1.21</v>
      </c>
      <c r="BB366">
        <v>0.08</v>
      </c>
      <c r="BC366">
        <v>0.17</v>
      </c>
      <c r="BD366">
        <v>0.27</v>
      </c>
      <c r="BE366">
        <v>6.83</v>
      </c>
      <c r="BF366">
        <v>6.14</v>
      </c>
      <c r="BG366">
        <v>0.24</v>
      </c>
      <c r="BH366">
        <v>0.45</v>
      </c>
      <c r="BI366">
        <v>0</v>
      </c>
      <c r="BJ366">
        <v>0.04</v>
      </c>
      <c r="BK366">
        <v>6.1</v>
      </c>
      <c r="BL366">
        <v>0</v>
      </c>
      <c r="BM366">
        <v>1.97</v>
      </c>
      <c r="BN366">
        <v>0.21</v>
      </c>
      <c r="BO366">
        <v>0.46</v>
      </c>
      <c r="BP366">
        <v>1.3</v>
      </c>
      <c r="BQ366">
        <v>1.1200000000000001</v>
      </c>
      <c r="BR366">
        <v>0.06</v>
      </c>
      <c r="BS366">
        <v>0.12</v>
      </c>
      <c r="BT366">
        <v>0</v>
      </c>
      <c r="BU366">
        <v>7.24</v>
      </c>
      <c r="BV366">
        <v>6.18</v>
      </c>
      <c r="BW366">
        <v>0.34</v>
      </c>
      <c r="BX366">
        <v>0.72</v>
      </c>
      <c r="BY366">
        <v>0</v>
      </c>
      <c r="BZ366">
        <v>0.04</v>
      </c>
      <c r="CA366">
        <v>6.14</v>
      </c>
      <c r="CB366">
        <v>0</v>
      </c>
      <c r="CC366">
        <f t="shared" si="10"/>
        <v>2.75</v>
      </c>
      <c r="CD366">
        <v>3.96</v>
      </c>
      <c r="CE366">
        <v>0.34230769230769231</v>
      </c>
      <c r="CF366">
        <v>0.44500000000000001</v>
      </c>
      <c r="CG366">
        <v>0.1492537313432836</v>
      </c>
      <c r="CH366">
        <v>0.33881118881118882</v>
      </c>
      <c r="CI366">
        <v>0</v>
      </c>
      <c r="CJ366">
        <v>15168</v>
      </c>
      <c r="CK366" t="s">
        <v>169</v>
      </c>
      <c r="CL366" t="s">
        <v>1467</v>
      </c>
      <c r="CM366" t="s">
        <v>143</v>
      </c>
      <c r="CN366">
        <v>7.1830922234300001E-2</v>
      </c>
      <c r="CO366">
        <v>1.5182022325328159</v>
      </c>
      <c r="CP366">
        <v>365</v>
      </c>
      <c r="CQ366" t="s">
        <v>908</v>
      </c>
      <c r="CR366">
        <v>7</v>
      </c>
      <c r="CS366" t="s">
        <v>1674</v>
      </c>
      <c r="CT366" t="s">
        <v>1366</v>
      </c>
      <c r="CU366" t="s">
        <v>1560</v>
      </c>
      <c r="CV366" t="s">
        <v>1675</v>
      </c>
      <c r="CW366" t="s">
        <v>1562</v>
      </c>
      <c r="CX366" t="s">
        <v>1563</v>
      </c>
      <c r="CY366" t="s">
        <v>1676</v>
      </c>
      <c r="CZ366" t="s">
        <v>1352</v>
      </c>
      <c r="DA366" t="s">
        <v>152</v>
      </c>
      <c r="DB366" t="s">
        <v>178</v>
      </c>
      <c r="DC366" t="s">
        <v>1373</v>
      </c>
      <c r="DD366" t="s">
        <v>657</v>
      </c>
      <c r="DE366">
        <v>8799</v>
      </c>
      <c r="DF366">
        <v>-111.34087</v>
      </c>
      <c r="DG366">
        <v>48.435290000000002</v>
      </c>
      <c r="DH366">
        <v>4980</v>
      </c>
      <c r="DI366">
        <v>260</v>
      </c>
      <c r="DL366">
        <v>9.1</v>
      </c>
      <c r="DM366">
        <v>5</v>
      </c>
      <c r="DN366">
        <v>14</v>
      </c>
      <c r="DO366">
        <v>210</v>
      </c>
      <c r="DP366">
        <v>104</v>
      </c>
      <c r="DQ366">
        <v>223</v>
      </c>
      <c r="DR366">
        <v>100000</v>
      </c>
      <c r="DS366">
        <v>60</v>
      </c>
      <c r="DT366">
        <v>1.2500000000000001E-2</v>
      </c>
      <c r="DU366">
        <v>1.2500000000000001E-2</v>
      </c>
      <c r="DV366">
        <v>0.32500000000000001</v>
      </c>
      <c r="DW366">
        <v>0.32500000000000001</v>
      </c>
      <c r="DX366">
        <v>0.32500000000000001</v>
      </c>
      <c r="DY366">
        <v>0</v>
      </c>
      <c r="DZ366" s="4">
        <v>3.9159999999999999</v>
      </c>
      <c r="EA366" s="4" t="s">
        <v>1581</v>
      </c>
      <c r="EB366" s="4" t="s">
        <v>1582</v>
      </c>
      <c r="EC366">
        <v>4.3879999999999999</v>
      </c>
      <c r="ED366">
        <v>89</v>
      </c>
      <c r="EE366" t="s">
        <v>1670</v>
      </c>
      <c r="EF366">
        <v>1.302994921539691</v>
      </c>
      <c r="EH366">
        <f t="shared" si="11"/>
        <v>0.58000000000000007</v>
      </c>
      <c r="EI366">
        <v>3.38</v>
      </c>
      <c r="EJ366">
        <v>3.65</v>
      </c>
    </row>
    <row r="367" spans="1:140" x14ac:dyDescent="0.35">
      <c r="A367" s="1">
        <v>365</v>
      </c>
      <c r="B367">
        <v>-107.6943571567648</v>
      </c>
      <c r="C367">
        <v>48.06065737612753</v>
      </c>
      <c r="D367" t="s">
        <v>1748</v>
      </c>
      <c r="E367">
        <v>0.02</v>
      </c>
      <c r="F367" t="s">
        <v>160</v>
      </c>
      <c r="G367">
        <v>7.9399999999999998E-2</v>
      </c>
      <c r="H367" t="s">
        <v>161</v>
      </c>
      <c r="I367">
        <v>-11988481</v>
      </c>
      <c r="J367">
        <v>6116952</v>
      </c>
      <c r="K367" t="s">
        <v>1578</v>
      </c>
      <c r="L367" t="s">
        <v>1749</v>
      </c>
      <c r="M367">
        <v>36</v>
      </c>
      <c r="N367">
        <v>3.7989999999999999</v>
      </c>
      <c r="O367">
        <v>4</v>
      </c>
      <c r="P367">
        <v>8</v>
      </c>
      <c r="Q367">
        <v>30</v>
      </c>
      <c r="R367">
        <v>71</v>
      </c>
      <c r="S367">
        <v>4215</v>
      </c>
      <c r="T367" t="s">
        <v>1560</v>
      </c>
      <c r="U367">
        <v>7.1869284698232052</v>
      </c>
      <c r="V367" t="s">
        <v>1578</v>
      </c>
      <c r="W367">
        <v>0.10829999999999999</v>
      </c>
      <c r="X367">
        <v>10</v>
      </c>
      <c r="Y367">
        <v>8.9</v>
      </c>
      <c r="Z367">
        <v>8.9</v>
      </c>
      <c r="AA367">
        <v>20</v>
      </c>
      <c r="AB367">
        <v>26</v>
      </c>
      <c r="AC367">
        <v>0.96899999999999997</v>
      </c>
      <c r="AD367">
        <v>67</v>
      </c>
      <c r="AE367">
        <v>0.15400508582326761</v>
      </c>
      <c r="AF367">
        <v>2.86</v>
      </c>
      <c r="AG367" t="s">
        <v>1560</v>
      </c>
      <c r="AH367" t="s">
        <v>1578</v>
      </c>
      <c r="AI367">
        <v>38</v>
      </c>
      <c r="AJ367">
        <v>1.266666666666667E-2</v>
      </c>
      <c r="AK367">
        <v>12.66666666666667</v>
      </c>
      <c r="AL367" t="s">
        <v>1593</v>
      </c>
      <c r="AM367">
        <v>256840.2841017647</v>
      </c>
      <c r="AN367">
        <v>1.48</v>
      </c>
      <c r="AO367">
        <v>0.09</v>
      </c>
      <c r="AP367">
        <v>0.19</v>
      </c>
      <c r="AQ367">
        <v>1.19</v>
      </c>
      <c r="AR367">
        <v>1.1399999999999999</v>
      </c>
      <c r="AS367">
        <v>0.04</v>
      </c>
      <c r="AT367">
        <v>0.01</v>
      </c>
      <c r="AU367">
        <v>0.02</v>
      </c>
      <c r="AV367">
        <v>2.4500000000000002</v>
      </c>
      <c r="AW367">
        <v>1.45</v>
      </c>
      <c r="AX367">
        <v>0.21</v>
      </c>
      <c r="AY367">
        <v>0.53</v>
      </c>
      <c r="AZ367">
        <v>0</v>
      </c>
      <c r="BA367">
        <v>1.21</v>
      </c>
      <c r="BB367">
        <v>0.08</v>
      </c>
      <c r="BC367">
        <v>0.17</v>
      </c>
      <c r="BD367">
        <v>0.27</v>
      </c>
      <c r="BE367">
        <v>6.83</v>
      </c>
      <c r="BF367">
        <v>6.14</v>
      </c>
      <c r="BG367">
        <v>0.24</v>
      </c>
      <c r="BH367">
        <v>0.45</v>
      </c>
      <c r="BI367">
        <v>0</v>
      </c>
      <c r="BJ367">
        <v>0.04</v>
      </c>
      <c r="BK367">
        <v>6.1</v>
      </c>
      <c r="BL367">
        <v>0</v>
      </c>
      <c r="BM367">
        <v>1.97</v>
      </c>
      <c r="BN367">
        <v>0.21</v>
      </c>
      <c r="BO367">
        <v>0.46</v>
      </c>
      <c r="BP367">
        <v>1.3</v>
      </c>
      <c r="BQ367">
        <v>1.1200000000000001</v>
      </c>
      <c r="BR367">
        <v>0.06</v>
      </c>
      <c r="BS367">
        <v>0.12</v>
      </c>
      <c r="BT367">
        <v>0</v>
      </c>
      <c r="BU367">
        <v>7.24</v>
      </c>
      <c r="BV367">
        <v>6.18</v>
      </c>
      <c r="BW367">
        <v>0.34</v>
      </c>
      <c r="BX367">
        <v>0.72</v>
      </c>
      <c r="BY367">
        <v>0</v>
      </c>
      <c r="BZ367">
        <v>0.04</v>
      </c>
      <c r="CA367">
        <v>6.14</v>
      </c>
      <c r="CB367">
        <v>0</v>
      </c>
      <c r="CC367">
        <f t="shared" si="10"/>
        <v>2.75</v>
      </c>
      <c r="CD367">
        <v>3.96</v>
      </c>
      <c r="CE367">
        <v>0.34230769230769231</v>
      </c>
      <c r="CF367">
        <v>0.44500000000000001</v>
      </c>
      <c r="CG367">
        <v>0.1492537313432836</v>
      </c>
      <c r="CH367">
        <v>0.33881118881118882</v>
      </c>
      <c r="CI367">
        <v>0</v>
      </c>
      <c r="CJ367">
        <v>26954</v>
      </c>
      <c r="CK367" t="s">
        <v>141</v>
      </c>
      <c r="CL367" t="s">
        <v>1365</v>
      </c>
      <c r="CM367" t="s">
        <v>143</v>
      </c>
      <c r="CN367">
        <v>0.36412740240699998</v>
      </c>
      <c r="CO367">
        <v>35.569834705892077</v>
      </c>
      <c r="CP367">
        <v>366</v>
      </c>
      <c r="CQ367" t="s">
        <v>1673</v>
      </c>
      <c r="CR367">
        <v>7</v>
      </c>
      <c r="CS367" t="s">
        <v>1674</v>
      </c>
      <c r="CT367" t="s">
        <v>1366</v>
      </c>
      <c r="CU367" t="s">
        <v>1560</v>
      </c>
      <c r="CV367" t="s">
        <v>1675</v>
      </c>
      <c r="CW367" t="s">
        <v>1562</v>
      </c>
      <c r="CX367" t="s">
        <v>1563</v>
      </c>
      <c r="CY367" t="s">
        <v>1676</v>
      </c>
      <c r="CZ367" t="s">
        <v>1352</v>
      </c>
      <c r="DA367" t="s">
        <v>152</v>
      </c>
      <c r="DB367" t="s">
        <v>178</v>
      </c>
      <c r="DC367" t="s">
        <v>1373</v>
      </c>
      <c r="DD367" t="s">
        <v>657</v>
      </c>
      <c r="DE367">
        <v>8799</v>
      </c>
      <c r="DF367">
        <v>-111.34087</v>
      </c>
      <c r="DG367">
        <v>48.435290000000002</v>
      </c>
      <c r="DH367">
        <v>4980</v>
      </c>
      <c r="DI367">
        <v>260</v>
      </c>
      <c r="DL367">
        <v>9.1</v>
      </c>
      <c r="DM367">
        <v>5</v>
      </c>
      <c r="DN367">
        <v>14</v>
      </c>
      <c r="DO367">
        <v>210</v>
      </c>
      <c r="DP367">
        <v>104</v>
      </c>
      <c r="DQ367">
        <v>223</v>
      </c>
      <c r="DR367">
        <v>100000</v>
      </c>
      <c r="DS367">
        <v>60</v>
      </c>
      <c r="DT367">
        <v>1.2500000000000001E-2</v>
      </c>
      <c r="DU367">
        <v>1.2500000000000001E-2</v>
      </c>
      <c r="DV367">
        <v>0.32500000000000001</v>
      </c>
      <c r="DW367">
        <v>0.32500000000000001</v>
      </c>
      <c r="DX367">
        <v>0.32500000000000001</v>
      </c>
      <c r="DY367">
        <v>0</v>
      </c>
      <c r="DZ367" s="4">
        <v>3.9159999999999999</v>
      </c>
      <c r="EA367" s="4" t="s">
        <v>1581</v>
      </c>
      <c r="EB367" s="4" t="s">
        <v>1582</v>
      </c>
      <c r="EC367">
        <v>4.3879999999999999</v>
      </c>
      <c r="ED367">
        <v>263</v>
      </c>
      <c r="EE367" t="s">
        <v>1593</v>
      </c>
      <c r="EF367">
        <v>1.565782355602396</v>
      </c>
      <c r="EH367">
        <f t="shared" si="11"/>
        <v>0.58000000000000007</v>
      </c>
      <c r="EI367">
        <v>3.38</v>
      </c>
      <c r="EJ367">
        <v>3.65</v>
      </c>
    </row>
    <row r="368" spans="1:140" x14ac:dyDescent="0.35">
      <c r="A368" s="1">
        <v>366</v>
      </c>
      <c r="B368">
        <v>-105.8977265885258</v>
      </c>
      <c r="C368">
        <v>48.06065737612753</v>
      </c>
      <c r="D368" t="s">
        <v>1750</v>
      </c>
      <c r="E368">
        <v>0.02</v>
      </c>
      <c r="F368" t="s">
        <v>160</v>
      </c>
      <c r="G368">
        <v>9.7899999999999987E-2</v>
      </c>
      <c r="H368" t="s">
        <v>161</v>
      </c>
      <c r="I368">
        <v>-11788481</v>
      </c>
      <c r="J368">
        <v>6116952</v>
      </c>
      <c r="K368" t="s">
        <v>1578</v>
      </c>
      <c r="L368" t="s">
        <v>1751</v>
      </c>
      <c r="M368">
        <v>53</v>
      </c>
      <c r="N368">
        <v>3.7989999999999999</v>
      </c>
      <c r="O368">
        <v>4</v>
      </c>
      <c r="P368">
        <v>8</v>
      </c>
      <c r="Q368">
        <v>30</v>
      </c>
      <c r="R368">
        <v>105</v>
      </c>
      <c r="S368">
        <v>7577</v>
      </c>
      <c r="T368" t="s">
        <v>1560</v>
      </c>
      <c r="U368">
        <v>7.1869284698232052</v>
      </c>
      <c r="V368" t="s">
        <v>1578</v>
      </c>
      <c r="W368">
        <v>0.10829999999999999</v>
      </c>
      <c r="X368">
        <v>10</v>
      </c>
      <c r="Y368">
        <v>8.9</v>
      </c>
      <c r="Z368">
        <v>8.9</v>
      </c>
      <c r="AA368">
        <v>20</v>
      </c>
      <c r="AB368">
        <v>26</v>
      </c>
      <c r="AC368">
        <v>0.96899999999999997</v>
      </c>
      <c r="AD368">
        <v>67</v>
      </c>
      <c r="AE368">
        <v>0.15400508582326761</v>
      </c>
      <c r="AF368">
        <v>2.86</v>
      </c>
      <c r="AG368" t="s">
        <v>1560</v>
      </c>
      <c r="AH368" t="s">
        <v>1578</v>
      </c>
      <c r="AI368">
        <v>38</v>
      </c>
      <c r="AJ368">
        <v>1.266666666666667E-2</v>
      </c>
      <c r="AK368">
        <v>12.66666666666667</v>
      </c>
      <c r="AL368" t="s">
        <v>1752</v>
      </c>
      <c r="AM368">
        <v>206285.28238071091</v>
      </c>
      <c r="AN368">
        <v>1.48</v>
      </c>
      <c r="AO368">
        <v>0.09</v>
      </c>
      <c r="AP368">
        <v>0.19</v>
      </c>
      <c r="AQ368">
        <v>1.19</v>
      </c>
      <c r="AR368">
        <v>1.1399999999999999</v>
      </c>
      <c r="AS368">
        <v>0.04</v>
      </c>
      <c r="AT368">
        <v>0.01</v>
      </c>
      <c r="AU368">
        <v>0.02</v>
      </c>
      <c r="AV368">
        <v>2.4500000000000002</v>
      </c>
      <c r="AW368">
        <v>1.45</v>
      </c>
      <c r="AX368">
        <v>0.21</v>
      </c>
      <c r="AY368">
        <v>0.53</v>
      </c>
      <c r="AZ368">
        <v>0</v>
      </c>
      <c r="BA368">
        <v>1.21</v>
      </c>
      <c r="BB368">
        <v>0.08</v>
      </c>
      <c r="BC368">
        <v>0.17</v>
      </c>
      <c r="BD368">
        <v>0.27</v>
      </c>
      <c r="BE368">
        <v>6.83</v>
      </c>
      <c r="BF368">
        <v>6.14</v>
      </c>
      <c r="BG368">
        <v>0.24</v>
      </c>
      <c r="BH368">
        <v>0.45</v>
      </c>
      <c r="BI368">
        <v>0</v>
      </c>
      <c r="BJ368">
        <v>0.04</v>
      </c>
      <c r="BK368">
        <v>6.1</v>
      </c>
      <c r="BL368">
        <v>0</v>
      </c>
      <c r="BM368">
        <v>1.97</v>
      </c>
      <c r="BN368">
        <v>0.21</v>
      </c>
      <c r="BO368">
        <v>0.46</v>
      </c>
      <c r="BP368">
        <v>1.3</v>
      </c>
      <c r="BQ368">
        <v>1.1200000000000001</v>
      </c>
      <c r="BR368">
        <v>0.06</v>
      </c>
      <c r="BS368">
        <v>0.12</v>
      </c>
      <c r="BT368">
        <v>0</v>
      </c>
      <c r="BU368">
        <v>7.24</v>
      </c>
      <c r="BV368">
        <v>6.18</v>
      </c>
      <c r="BW368">
        <v>0.34</v>
      </c>
      <c r="BX368">
        <v>0.72</v>
      </c>
      <c r="BY368">
        <v>0</v>
      </c>
      <c r="BZ368">
        <v>0.04</v>
      </c>
      <c r="CA368">
        <v>6.14</v>
      </c>
      <c r="CB368">
        <v>0</v>
      </c>
      <c r="CC368">
        <f t="shared" si="10"/>
        <v>2.75</v>
      </c>
      <c r="CD368">
        <v>3.96</v>
      </c>
      <c r="CE368">
        <v>0.34230769230769231</v>
      </c>
      <c r="CF368">
        <v>0.44500000000000001</v>
      </c>
      <c r="CG368">
        <v>0.1492537313432836</v>
      </c>
      <c r="CH368">
        <v>0.33881118881118882</v>
      </c>
      <c r="CI368">
        <v>0</v>
      </c>
      <c r="CJ368">
        <v>26959</v>
      </c>
      <c r="CK368" t="s">
        <v>141</v>
      </c>
      <c r="CL368" t="s">
        <v>1365</v>
      </c>
      <c r="CM368" t="s">
        <v>143</v>
      </c>
      <c r="CN368">
        <v>0.56290622156100001</v>
      </c>
      <c r="CO368">
        <v>4.1226687782675926</v>
      </c>
      <c r="CP368">
        <v>367</v>
      </c>
      <c r="CQ368" t="s">
        <v>1680</v>
      </c>
      <c r="CR368">
        <v>117</v>
      </c>
      <c r="CS368" t="s">
        <v>1681</v>
      </c>
      <c r="CT368" t="s">
        <v>1486</v>
      </c>
      <c r="CU368" t="s">
        <v>1560</v>
      </c>
      <c r="CV368" t="s">
        <v>1682</v>
      </c>
      <c r="CW368" t="s">
        <v>1370</v>
      </c>
      <c r="CX368" t="s">
        <v>1683</v>
      </c>
      <c r="CY368" t="s">
        <v>1684</v>
      </c>
      <c r="CZ368" t="s">
        <v>1352</v>
      </c>
      <c r="DA368" t="s">
        <v>152</v>
      </c>
      <c r="DB368" t="s">
        <v>153</v>
      </c>
      <c r="DC368" t="s">
        <v>207</v>
      </c>
      <c r="DD368" t="s">
        <v>1353</v>
      </c>
      <c r="DE368">
        <v>42151</v>
      </c>
      <c r="DF368">
        <v>-105.802876</v>
      </c>
      <c r="DG368">
        <v>47.237958999999996</v>
      </c>
      <c r="DH368">
        <v>6500</v>
      </c>
      <c r="DI368">
        <v>545</v>
      </c>
      <c r="DL368">
        <v>12</v>
      </c>
      <c r="DM368">
        <v>11</v>
      </c>
      <c r="DN368">
        <v>14</v>
      </c>
      <c r="DO368">
        <v>8</v>
      </c>
      <c r="DP368">
        <v>4</v>
      </c>
      <c r="DQ368">
        <v>8</v>
      </c>
      <c r="DR368">
        <v>100000</v>
      </c>
      <c r="DS368" t="s">
        <v>1355</v>
      </c>
      <c r="DT368">
        <v>1.2500000000000001E-2</v>
      </c>
      <c r="DU368">
        <v>1.2500000000000001E-2</v>
      </c>
      <c r="DV368">
        <v>0.32500000000000001</v>
      </c>
      <c r="DW368">
        <v>0.32500000000000001</v>
      </c>
      <c r="DX368">
        <v>0.32500000000000001</v>
      </c>
      <c r="DY368">
        <v>0</v>
      </c>
      <c r="DZ368" s="4">
        <v>3.9159999999999999</v>
      </c>
      <c r="EA368" s="4" t="s">
        <v>1581</v>
      </c>
      <c r="EB368" s="4" t="s">
        <v>1582</v>
      </c>
      <c r="EC368">
        <v>4.3879999999999999</v>
      </c>
      <c r="ED368">
        <v>99</v>
      </c>
      <c r="EE368" t="s">
        <v>1752</v>
      </c>
      <c r="EF368">
        <v>1.853062467006259</v>
      </c>
      <c r="EH368">
        <f t="shared" si="11"/>
        <v>0.58000000000000007</v>
      </c>
      <c r="EI368">
        <v>3.38</v>
      </c>
      <c r="EJ368">
        <v>3.65</v>
      </c>
    </row>
    <row r="369" spans="1:140" x14ac:dyDescent="0.35">
      <c r="A369" s="1">
        <v>367</v>
      </c>
      <c r="B369">
        <v>-104.1010960202868</v>
      </c>
      <c r="C369">
        <v>48.06065737612753</v>
      </c>
      <c r="D369" t="s">
        <v>1753</v>
      </c>
      <c r="E369">
        <v>0.02</v>
      </c>
      <c r="F369" t="s">
        <v>160</v>
      </c>
      <c r="G369">
        <v>9.7899999999999987E-2</v>
      </c>
      <c r="H369" t="s">
        <v>161</v>
      </c>
      <c r="I369">
        <v>-11588481</v>
      </c>
      <c r="J369">
        <v>6116952</v>
      </c>
      <c r="K369" t="s">
        <v>1578</v>
      </c>
      <c r="L369" t="s">
        <v>1754</v>
      </c>
      <c r="M369">
        <v>43</v>
      </c>
      <c r="N369">
        <v>3.7440000000000002</v>
      </c>
      <c r="O369">
        <v>4</v>
      </c>
      <c r="P369">
        <v>8</v>
      </c>
      <c r="Q369">
        <v>30</v>
      </c>
      <c r="R369">
        <v>85</v>
      </c>
      <c r="S369">
        <v>10792</v>
      </c>
      <c r="T369" t="s">
        <v>1560</v>
      </c>
      <c r="U369">
        <v>7.1869284698232052</v>
      </c>
      <c r="V369" t="s">
        <v>1578</v>
      </c>
      <c r="W369">
        <v>0.10829999999999999</v>
      </c>
      <c r="X369">
        <v>10</v>
      </c>
      <c r="Y369">
        <v>8.9</v>
      </c>
      <c r="Z369">
        <v>8.9</v>
      </c>
      <c r="AA369">
        <v>20</v>
      </c>
      <c r="AB369">
        <v>26</v>
      </c>
      <c r="AC369">
        <v>0.96899999999999997</v>
      </c>
      <c r="AD369">
        <v>67</v>
      </c>
      <c r="AE369">
        <v>0.15400508582326761</v>
      </c>
      <c r="AF369">
        <v>2.86</v>
      </c>
      <c r="AG369" t="s">
        <v>1560</v>
      </c>
      <c r="AH369" t="s">
        <v>1578</v>
      </c>
      <c r="AI369">
        <v>38</v>
      </c>
      <c r="AJ369">
        <v>1.266666666666667E-2</v>
      </c>
      <c r="AK369">
        <v>12.66666666666667</v>
      </c>
      <c r="AL369" t="s">
        <v>1752</v>
      </c>
      <c r="AM369">
        <v>6287.8618332650231</v>
      </c>
      <c r="AN369">
        <v>1.48</v>
      </c>
      <c r="AO369">
        <v>0.09</v>
      </c>
      <c r="AP369">
        <v>0.19</v>
      </c>
      <c r="AQ369">
        <v>1.19</v>
      </c>
      <c r="AR369">
        <v>1.1399999999999999</v>
      </c>
      <c r="AS369">
        <v>0.04</v>
      </c>
      <c r="AT369">
        <v>0.01</v>
      </c>
      <c r="AU369">
        <v>0.02</v>
      </c>
      <c r="AV369">
        <v>2.4500000000000002</v>
      </c>
      <c r="AW369">
        <v>1.45</v>
      </c>
      <c r="AX369">
        <v>0.21</v>
      </c>
      <c r="AY369">
        <v>0.53</v>
      </c>
      <c r="AZ369">
        <v>0</v>
      </c>
      <c r="BA369">
        <v>1.21</v>
      </c>
      <c r="BB369">
        <v>0.08</v>
      </c>
      <c r="BC369">
        <v>0.17</v>
      </c>
      <c r="BD369">
        <v>0.27</v>
      </c>
      <c r="BE369">
        <v>6.83</v>
      </c>
      <c r="BF369">
        <v>6.14</v>
      </c>
      <c r="BG369">
        <v>0.24</v>
      </c>
      <c r="BH369">
        <v>0.45</v>
      </c>
      <c r="BI369">
        <v>0</v>
      </c>
      <c r="BJ369">
        <v>0.04</v>
      </c>
      <c r="BK369">
        <v>6.1</v>
      </c>
      <c r="BL369">
        <v>0</v>
      </c>
      <c r="BM369">
        <v>1.97</v>
      </c>
      <c r="BN369">
        <v>0.21</v>
      </c>
      <c r="BO369">
        <v>0.46</v>
      </c>
      <c r="BP369">
        <v>1.3</v>
      </c>
      <c r="BQ369">
        <v>1.1200000000000001</v>
      </c>
      <c r="BR369">
        <v>0.06</v>
      </c>
      <c r="BS369">
        <v>0.12</v>
      </c>
      <c r="BT369">
        <v>0</v>
      </c>
      <c r="BU369">
        <v>7.24</v>
      </c>
      <c r="BV369">
        <v>6.18</v>
      </c>
      <c r="BW369">
        <v>0.34</v>
      </c>
      <c r="BX369">
        <v>0.72</v>
      </c>
      <c r="BY369">
        <v>0</v>
      </c>
      <c r="BZ369">
        <v>0.04</v>
      </c>
      <c r="CA369">
        <v>6.14</v>
      </c>
      <c r="CB369">
        <v>0</v>
      </c>
      <c r="CC369">
        <f t="shared" si="10"/>
        <v>2.75</v>
      </c>
      <c r="CD369">
        <v>3.96</v>
      </c>
      <c r="CE369">
        <v>0.34230769230769231</v>
      </c>
      <c r="CF369">
        <v>0.44500000000000001</v>
      </c>
      <c r="CG369">
        <v>0.1492537313432836</v>
      </c>
      <c r="CH369">
        <v>0.33881118881118882</v>
      </c>
      <c r="CI369">
        <v>0</v>
      </c>
      <c r="CJ369">
        <v>11564</v>
      </c>
      <c r="CK369" t="s">
        <v>141</v>
      </c>
      <c r="CL369" t="s">
        <v>1604</v>
      </c>
      <c r="CM369" t="s">
        <v>143</v>
      </c>
      <c r="CN369">
        <v>4.8059173328300002E-2</v>
      </c>
      <c r="CO369">
        <v>4.2384598140438916</v>
      </c>
      <c r="CP369">
        <v>368</v>
      </c>
      <c r="CQ369" t="s">
        <v>1680</v>
      </c>
      <c r="CR369">
        <v>117</v>
      </c>
      <c r="CS369" t="s">
        <v>1681</v>
      </c>
      <c r="CT369" t="s">
        <v>1486</v>
      </c>
      <c r="CU369" t="s">
        <v>1560</v>
      </c>
      <c r="CV369" t="s">
        <v>1682</v>
      </c>
      <c r="CW369" t="s">
        <v>1370</v>
      </c>
      <c r="CX369" t="s">
        <v>1683</v>
      </c>
      <c r="CY369" t="s">
        <v>1684</v>
      </c>
      <c r="CZ369" t="s">
        <v>1352</v>
      </c>
      <c r="DA369" t="s">
        <v>152</v>
      </c>
      <c r="DB369" t="s">
        <v>153</v>
      </c>
      <c r="DC369" t="s">
        <v>207</v>
      </c>
      <c r="DD369" t="s">
        <v>1353</v>
      </c>
      <c r="DE369">
        <v>42151</v>
      </c>
      <c r="DF369">
        <v>-105.802876</v>
      </c>
      <c r="DG369">
        <v>47.237958999999996</v>
      </c>
      <c r="DH369">
        <v>6500</v>
      </c>
      <c r="DI369">
        <v>545</v>
      </c>
      <c r="DL369">
        <v>12</v>
      </c>
      <c r="DM369">
        <v>11</v>
      </c>
      <c r="DN369">
        <v>14</v>
      </c>
      <c r="DO369">
        <v>8</v>
      </c>
      <c r="DP369">
        <v>4</v>
      </c>
      <c r="DQ369">
        <v>8</v>
      </c>
      <c r="DR369">
        <v>100000</v>
      </c>
      <c r="DS369" t="s">
        <v>1355</v>
      </c>
      <c r="DT369">
        <v>1.2500000000000001E-2</v>
      </c>
      <c r="DU369">
        <v>1.2500000000000001E-2</v>
      </c>
      <c r="DV369">
        <v>0.32500000000000001</v>
      </c>
      <c r="DW369">
        <v>0.32500000000000001</v>
      </c>
      <c r="DX369">
        <v>0.32500000000000001</v>
      </c>
      <c r="DY369">
        <v>0</v>
      </c>
      <c r="DZ369" s="4">
        <v>3.9159999999999999</v>
      </c>
      <c r="EA369" s="4" t="s">
        <v>1581</v>
      </c>
      <c r="EB369" s="4" t="s">
        <v>1582</v>
      </c>
      <c r="EC369">
        <v>4.3879999999999999</v>
      </c>
      <c r="ED369">
        <v>99</v>
      </c>
      <c r="EE369" t="s">
        <v>1752</v>
      </c>
      <c r="EF369">
        <v>5.6483787202146342E-2</v>
      </c>
      <c r="EH369">
        <f t="shared" si="11"/>
        <v>0.58000000000000007</v>
      </c>
      <c r="EI369">
        <v>3.38</v>
      </c>
      <c r="EJ369">
        <v>3.65</v>
      </c>
    </row>
    <row r="370" spans="1:140" x14ac:dyDescent="0.35">
      <c r="A370" s="1">
        <v>368</v>
      </c>
      <c r="B370">
        <v>-102.30446545204769</v>
      </c>
      <c r="C370">
        <v>48.06065737612753</v>
      </c>
      <c r="D370" t="s">
        <v>1755</v>
      </c>
      <c r="E370">
        <v>0.02</v>
      </c>
      <c r="F370" t="s">
        <v>160</v>
      </c>
      <c r="G370">
        <v>7.9399999999999998E-2</v>
      </c>
      <c r="H370" t="s">
        <v>161</v>
      </c>
      <c r="I370">
        <v>-11388481</v>
      </c>
      <c r="J370">
        <v>6116952</v>
      </c>
      <c r="K370" t="s">
        <v>1689</v>
      </c>
      <c r="L370" t="s">
        <v>1756</v>
      </c>
      <c r="M370">
        <v>31</v>
      </c>
      <c r="N370">
        <v>3.7570000000000001</v>
      </c>
      <c r="O370">
        <v>2</v>
      </c>
      <c r="P370">
        <v>4</v>
      </c>
      <c r="Q370">
        <v>38</v>
      </c>
      <c r="R370">
        <v>61</v>
      </c>
      <c r="S370">
        <v>9812</v>
      </c>
      <c r="T370" t="s">
        <v>1368</v>
      </c>
      <c r="U370">
        <v>4.5251219264377163</v>
      </c>
      <c r="V370" t="s">
        <v>1689</v>
      </c>
      <c r="W370">
        <v>7.9299999999999995E-2</v>
      </c>
      <c r="X370">
        <v>10</v>
      </c>
      <c r="Y370">
        <v>8.9</v>
      </c>
      <c r="Z370">
        <v>8.9</v>
      </c>
      <c r="AA370">
        <v>20</v>
      </c>
      <c r="AB370">
        <v>26</v>
      </c>
      <c r="AC370">
        <v>1.4239999999999999</v>
      </c>
      <c r="AD370">
        <v>67</v>
      </c>
      <c r="AE370">
        <v>0.2263191354100445</v>
      </c>
      <c r="AF370">
        <v>2.86</v>
      </c>
      <c r="AG370" t="s">
        <v>1368</v>
      </c>
      <c r="AH370" t="s">
        <v>1689</v>
      </c>
      <c r="AI370">
        <v>31</v>
      </c>
      <c r="AJ370">
        <v>1.033333333333333E-2</v>
      </c>
      <c r="AK370">
        <v>10.33333333333333</v>
      </c>
      <c r="AL370" t="s">
        <v>1757</v>
      </c>
      <c r="AM370">
        <v>42557.550221986006</v>
      </c>
      <c r="AN370">
        <v>1.06</v>
      </c>
      <c r="AO370">
        <v>0.09</v>
      </c>
      <c r="AP370">
        <v>0.19</v>
      </c>
      <c r="AQ370">
        <v>0.77</v>
      </c>
      <c r="AR370">
        <v>0.72</v>
      </c>
      <c r="AS370">
        <v>0.04</v>
      </c>
      <c r="AT370">
        <v>0.01</v>
      </c>
      <c r="AU370">
        <v>0.02</v>
      </c>
      <c r="AV370">
        <v>1.96</v>
      </c>
      <c r="AW370">
        <v>0.96</v>
      </c>
      <c r="AX370">
        <v>0.21</v>
      </c>
      <c r="AY370">
        <v>0.53</v>
      </c>
      <c r="AZ370">
        <v>0</v>
      </c>
      <c r="BA370">
        <v>0.76</v>
      </c>
      <c r="BB370">
        <v>0.08</v>
      </c>
      <c r="BC370">
        <v>0.12</v>
      </c>
      <c r="BD370">
        <v>0.27</v>
      </c>
      <c r="BE370">
        <v>5.17</v>
      </c>
      <c r="BF370">
        <v>4.4800000000000004</v>
      </c>
      <c r="BG370">
        <v>0.24</v>
      </c>
      <c r="BH370">
        <v>0.45</v>
      </c>
      <c r="BI370">
        <v>0</v>
      </c>
      <c r="BJ370">
        <v>0.04</v>
      </c>
      <c r="BK370">
        <v>4.4400000000000004</v>
      </c>
      <c r="BL370">
        <v>0</v>
      </c>
      <c r="BM370">
        <v>1.52</v>
      </c>
      <c r="BN370">
        <v>0.21</v>
      </c>
      <c r="BO370">
        <v>0.46</v>
      </c>
      <c r="BP370">
        <v>0.85</v>
      </c>
      <c r="BQ370">
        <v>0.71</v>
      </c>
      <c r="BR370">
        <v>0.06</v>
      </c>
      <c r="BS370">
        <v>0.09</v>
      </c>
      <c r="BT370">
        <v>0</v>
      </c>
      <c r="BU370">
        <v>5.56</v>
      </c>
      <c r="BV370">
        <v>4.5</v>
      </c>
      <c r="BW370">
        <v>0.34</v>
      </c>
      <c r="BX370">
        <v>0.72</v>
      </c>
      <c r="BY370">
        <v>0</v>
      </c>
      <c r="BZ370">
        <v>0.04</v>
      </c>
      <c r="CA370">
        <v>4.46</v>
      </c>
      <c r="CB370">
        <v>0</v>
      </c>
      <c r="CC370">
        <f t="shared" si="10"/>
        <v>2.75</v>
      </c>
      <c r="CD370">
        <v>3.96</v>
      </c>
      <c r="CE370">
        <v>0.34230769230769231</v>
      </c>
      <c r="CF370">
        <v>0.44500000000000001</v>
      </c>
      <c r="CG370">
        <v>0.1492537313432836</v>
      </c>
      <c r="CH370">
        <v>0.49790209790209788</v>
      </c>
      <c r="CI370">
        <v>0</v>
      </c>
      <c r="CJ370">
        <v>26851</v>
      </c>
      <c r="CK370" t="s">
        <v>141</v>
      </c>
      <c r="CL370" t="s">
        <v>1365</v>
      </c>
      <c r="CM370" t="s">
        <v>143</v>
      </c>
      <c r="CN370">
        <v>1.5109792873900001</v>
      </c>
      <c r="CO370">
        <v>24.79935750911914</v>
      </c>
      <c r="CP370">
        <v>369</v>
      </c>
      <c r="CQ370" t="s">
        <v>1366</v>
      </c>
      <c r="CR370">
        <v>13</v>
      </c>
      <c r="CS370" t="s">
        <v>1367</v>
      </c>
      <c r="CT370" t="s">
        <v>1366</v>
      </c>
      <c r="CU370" t="s">
        <v>1368</v>
      </c>
      <c r="CV370" t="s">
        <v>1369</v>
      </c>
      <c r="CW370" t="s">
        <v>1370</v>
      </c>
      <c r="CX370" t="s">
        <v>1371</v>
      </c>
      <c r="CY370" t="s">
        <v>1372</v>
      </c>
      <c r="CZ370" t="s">
        <v>1352</v>
      </c>
      <c r="DA370" t="s">
        <v>152</v>
      </c>
      <c r="DB370" t="s">
        <v>178</v>
      </c>
      <c r="DC370" t="s">
        <v>1373</v>
      </c>
      <c r="DD370" t="s">
        <v>657</v>
      </c>
      <c r="DE370">
        <v>10823</v>
      </c>
      <c r="DF370">
        <v>-100.88397000000001</v>
      </c>
      <c r="DG370">
        <v>47.47186</v>
      </c>
      <c r="DH370">
        <v>7525</v>
      </c>
      <c r="DI370">
        <v>260</v>
      </c>
      <c r="DL370">
        <v>8.6</v>
      </c>
      <c r="DM370">
        <v>0.8</v>
      </c>
      <c r="DN370">
        <v>16.2</v>
      </c>
      <c r="DO370">
        <v>190</v>
      </c>
      <c r="DP370">
        <v>104</v>
      </c>
      <c r="DQ370">
        <v>223</v>
      </c>
      <c r="DR370">
        <v>100000</v>
      </c>
      <c r="DS370" t="s">
        <v>1374</v>
      </c>
      <c r="DT370">
        <v>1.2500000000000001E-2</v>
      </c>
      <c r="DU370">
        <v>1.2500000000000001E-2</v>
      </c>
      <c r="DV370">
        <v>0.32500000000000001</v>
      </c>
      <c r="DW370">
        <v>0.32500000000000001</v>
      </c>
      <c r="DX370">
        <v>0.32500000000000001</v>
      </c>
      <c r="DY370">
        <v>0</v>
      </c>
      <c r="DZ370" s="4">
        <v>3.621</v>
      </c>
      <c r="EA370" s="4" t="s">
        <v>1691</v>
      </c>
      <c r="EB370" s="4" t="s">
        <v>1692</v>
      </c>
      <c r="EC370">
        <v>4.3179999999999996</v>
      </c>
      <c r="ED370">
        <v>809</v>
      </c>
      <c r="EE370" t="s">
        <v>1757</v>
      </c>
      <c r="EF370">
        <v>0.3823008293294442</v>
      </c>
      <c r="EH370">
        <f t="shared" si="11"/>
        <v>0.58000000000000007</v>
      </c>
      <c r="EI370">
        <v>3.38</v>
      </c>
      <c r="EJ370">
        <v>3.65</v>
      </c>
    </row>
    <row r="371" spans="1:140" x14ac:dyDescent="0.35">
      <c r="A371" s="1">
        <v>369</v>
      </c>
      <c r="B371">
        <v>-100.5078348838087</v>
      </c>
      <c r="C371">
        <v>48.06065737612753</v>
      </c>
      <c r="D371" t="s">
        <v>1758</v>
      </c>
      <c r="E371">
        <v>0.02</v>
      </c>
      <c r="F371" t="s">
        <v>160</v>
      </c>
      <c r="G371">
        <v>7.9399999999999998E-2</v>
      </c>
      <c r="H371" t="s">
        <v>161</v>
      </c>
      <c r="I371">
        <v>-11188481</v>
      </c>
      <c r="J371">
        <v>6116952</v>
      </c>
      <c r="K371" t="s">
        <v>1689</v>
      </c>
      <c r="L371" t="s">
        <v>1759</v>
      </c>
      <c r="M371">
        <v>25</v>
      </c>
      <c r="N371">
        <v>3.7389999999999999</v>
      </c>
      <c r="O371">
        <v>2</v>
      </c>
      <c r="P371">
        <v>4</v>
      </c>
      <c r="Q371">
        <v>38</v>
      </c>
      <c r="R371">
        <v>49</v>
      </c>
      <c r="S371">
        <v>5332</v>
      </c>
      <c r="T371" t="s">
        <v>1368</v>
      </c>
      <c r="U371">
        <v>4.5251219264377163</v>
      </c>
      <c r="V371" t="s">
        <v>1689</v>
      </c>
      <c r="W371">
        <v>7.9299999999999995E-2</v>
      </c>
      <c r="X371">
        <v>10</v>
      </c>
      <c r="Y371">
        <v>8.9</v>
      </c>
      <c r="Z371">
        <v>8.9</v>
      </c>
      <c r="AA371">
        <v>20</v>
      </c>
      <c r="AB371">
        <v>26</v>
      </c>
      <c r="AC371">
        <v>1.4239999999999999</v>
      </c>
      <c r="AD371">
        <v>67</v>
      </c>
      <c r="AE371">
        <v>0.2263191354100445</v>
      </c>
      <c r="AF371">
        <v>2.86</v>
      </c>
      <c r="AG371" t="s">
        <v>1368</v>
      </c>
      <c r="AH371" t="s">
        <v>1689</v>
      </c>
      <c r="AI371">
        <v>31</v>
      </c>
      <c r="AJ371">
        <v>1.033333333333333E-2</v>
      </c>
      <c r="AK371">
        <v>10.33333333333333</v>
      </c>
      <c r="AL371" t="s">
        <v>1757</v>
      </c>
      <c r="AM371">
        <v>0</v>
      </c>
      <c r="AN371">
        <v>1.06</v>
      </c>
      <c r="AO371">
        <v>0.09</v>
      </c>
      <c r="AP371">
        <v>0.19</v>
      </c>
      <c r="AQ371">
        <v>0.77</v>
      </c>
      <c r="AR371">
        <v>0.72</v>
      </c>
      <c r="AS371">
        <v>0.04</v>
      </c>
      <c r="AT371">
        <v>0.01</v>
      </c>
      <c r="AU371">
        <v>0.02</v>
      </c>
      <c r="AV371">
        <v>1.96</v>
      </c>
      <c r="AW371">
        <v>0.96</v>
      </c>
      <c r="AX371">
        <v>0.21</v>
      </c>
      <c r="AY371">
        <v>0.53</v>
      </c>
      <c r="AZ371">
        <v>0</v>
      </c>
      <c r="BA371">
        <v>0.76</v>
      </c>
      <c r="BB371">
        <v>0.08</v>
      </c>
      <c r="BC371">
        <v>0.12</v>
      </c>
      <c r="BD371">
        <v>0.27</v>
      </c>
      <c r="BE371">
        <v>5.17</v>
      </c>
      <c r="BF371">
        <v>4.4800000000000004</v>
      </c>
      <c r="BG371">
        <v>0.24</v>
      </c>
      <c r="BH371">
        <v>0.45</v>
      </c>
      <c r="BI371">
        <v>0</v>
      </c>
      <c r="BJ371">
        <v>0.04</v>
      </c>
      <c r="BK371">
        <v>4.4400000000000004</v>
      </c>
      <c r="BL371">
        <v>0</v>
      </c>
      <c r="BM371">
        <v>1.52</v>
      </c>
      <c r="BN371">
        <v>0.21</v>
      </c>
      <c r="BO371">
        <v>0.46</v>
      </c>
      <c r="BP371">
        <v>0.85</v>
      </c>
      <c r="BQ371">
        <v>0.71</v>
      </c>
      <c r="BR371">
        <v>0.06</v>
      </c>
      <c r="BS371">
        <v>0.09</v>
      </c>
      <c r="BT371">
        <v>0</v>
      </c>
      <c r="BU371">
        <v>5.56</v>
      </c>
      <c r="BV371">
        <v>4.5</v>
      </c>
      <c r="BW371">
        <v>0.34</v>
      </c>
      <c r="BX371">
        <v>0.72</v>
      </c>
      <c r="BY371">
        <v>0</v>
      </c>
      <c r="BZ371">
        <v>0.04</v>
      </c>
      <c r="CA371">
        <v>4.46</v>
      </c>
      <c r="CB371">
        <v>0</v>
      </c>
      <c r="CC371">
        <f t="shared" si="10"/>
        <v>2.75</v>
      </c>
      <c r="CD371">
        <v>3.96</v>
      </c>
      <c r="CE371">
        <v>0.34230769230769231</v>
      </c>
      <c r="CF371">
        <v>0.44500000000000001</v>
      </c>
      <c r="CG371">
        <v>0.1492537313432836</v>
      </c>
      <c r="CH371">
        <v>0.49790209790209788</v>
      </c>
      <c r="CI371">
        <v>0</v>
      </c>
      <c r="CJ371">
        <v>773</v>
      </c>
      <c r="CK371" t="s">
        <v>141</v>
      </c>
      <c r="CL371" t="s">
        <v>1610</v>
      </c>
      <c r="CM371" t="s">
        <v>143</v>
      </c>
      <c r="CN371">
        <v>6.00436757745</v>
      </c>
      <c r="CO371">
        <v>16.15720948402852</v>
      </c>
      <c r="CP371">
        <v>370</v>
      </c>
      <c r="CQ371" t="s">
        <v>1695</v>
      </c>
      <c r="CR371">
        <v>13</v>
      </c>
      <c r="CS371" t="s">
        <v>1367</v>
      </c>
      <c r="CT371" t="s">
        <v>1366</v>
      </c>
      <c r="CU371" t="s">
        <v>1368</v>
      </c>
      <c r="CV371" t="s">
        <v>1369</v>
      </c>
      <c r="CW371" t="s">
        <v>1370</v>
      </c>
      <c r="CX371" t="s">
        <v>1371</v>
      </c>
      <c r="CY371" t="s">
        <v>1372</v>
      </c>
      <c r="CZ371" t="s">
        <v>1352</v>
      </c>
      <c r="DA371" t="s">
        <v>152</v>
      </c>
      <c r="DB371" t="s">
        <v>178</v>
      </c>
      <c r="DC371" t="s">
        <v>1373</v>
      </c>
      <c r="DD371" t="s">
        <v>657</v>
      </c>
      <c r="DE371">
        <v>10823</v>
      </c>
      <c r="DF371">
        <v>-100.88397000000001</v>
      </c>
      <c r="DG371">
        <v>47.47186</v>
      </c>
      <c r="DH371">
        <v>7525</v>
      </c>
      <c r="DI371">
        <v>260</v>
      </c>
      <c r="DL371">
        <v>8.6</v>
      </c>
      <c r="DM371">
        <v>0.8</v>
      </c>
      <c r="DN371">
        <v>16.2</v>
      </c>
      <c r="DO371">
        <v>190</v>
      </c>
      <c r="DP371">
        <v>104</v>
      </c>
      <c r="DQ371">
        <v>223</v>
      </c>
      <c r="DR371">
        <v>100000</v>
      </c>
      <c r="DS371" t="s">
        <v>1374</v>
      </c>
      <c r="DT371">
        <v>1.2500000000000001E-2</v>
      </c>
      <c r="DU371">
        <v>1.2500000000000001E-2</v>
      </c>
      <c r="DV371">
        <v>0.32500000000000001</v>
      </c>
      <c r="DW371">
        <v>0.32500000000000001</v>
      </c>
      <c r="DX371">
        <v>0.32500000000000001</v>
      </c>
      <c r="DY371">
        <v>0</v>
      </c>
      <c r="DZ371" s="4">
        <v>3.621</v>
      </c>
      <c r="EA371" s="4" t="s">
        <v>1691</v>
      </c>
      <c r="EB371" s="4" t="s">
        <v>1692</v>
      </c>
      <c r="EC371">
        <v>4.3179999999999996</v>
      </c>
      <c r="ED371">
        <v>809</v>
      </c>
      <c r="EE371" t="s">
        <v>1757</v>
      </c>
      <c r="EF371">
        <v>0</v>
      </c>
      <c r="EH371">
        <f t="shared" si="11"/>
        <v>0.58000000000000007</v>
      </c>
      <c r="EI371">
        <v>3.38</v>
      </c>
      <c r="EJ371">
        <v>3.65</v>
      </c>
    </row>
    <row r="372" spans="1:140" x14ac:dyDescent="0.35">
      <c r="A372" s="1">
        <v>370</v>
      </c>
      <c r="B372">
        <v>-98.711204315569631</v>
      </c>
      <c r="C372">
        <v>48.06065737612753</v>
      </c>
      <c r="D372" t="s">
        <v>1760</v>
      </c>
      <c r="E372">
        <v>0.02</v>
      </c>
      <c r="F372" t="s">
        <v>160</v>
      </c>
      <c r="G372">
        <v>7.9399999999999998E-2</v>
      </c>
      <c r="H372" t="s">
        <v>161</v>
      </c>
      <c r="I372">
        <v>-10988481</v>
      </c>
      <c r="J372">
        <v>6116952</v>
      </c>
      <c r="K372" t="s">
        <v>1689</v>
      </c>
      <c r="L372" t="s">
        <v>1761</v>
      </c>
      <c r="M372">
        <v>36</v>
      </c>
      <c r="N372">
        <v>3.625</v>
      </c>
      <c r="O372">
        <v>2</v>
      </c>
      <c r="P372">
        <v>4</v>
      </c>
      <c r="Q372">
        <v>38</v>
      </c>
      <c r="R372">
        <v>71</v>
      </c>
      <c r="S372">
        <v>11604</v>
      </c>
      <c r="T372" t="s">
        <v>1368</v>
      </c>
      <c r="U372">
        <v>4.5251219264377163</v>
      </c>
      <c r="V372" t="s">
        <v>1689</v>
      </c>
      <c r="W372">
        <v>7.9299999999999995E-2</v>
      </c>
      <c r="X372">
        <v>10</v>
      </c>
      <c r="Y372">
        <v>8.9</v>
      </c>
      <c r="Z372">
        <v>8.9</v>
      </c>
      <c r="AA372">
        <v>20</v>
      </c>
      <c r="AB372">
        <v>26</v>
      </c>
      <c r="AC372">
        <v>1.4239999999999999</v>
      </c>
      <c r="AD372">
        <v>67</v>
      </c>
      <c r="AE372">
        <v>0.2263191354100445</v>
      </c>
      <c r="AF372">
        <v>2.86</v>
      </c>
      <c r="AG372" t="s">
        <v>1368</v>
      </c>
      <c r="AH372" t="s">
        <v>1689</v>
      </c>
      <c r="AI372">
        <v>31</v>
      </c>
      <c r="AJ372">
        <v>1.033333333333333E-2</v>
      </c>
      <c r="AK372">
        <v>10.33333333333333</v>
      </c>
      <c r="AL372" t="s">
        <v>1762</v>
      </c>
      <c r="AM372">
        <v>89914.253726055642</v>
      </c>
      <c r="AN372">
        <v>1.06</v>
      </c>
      <c r="AO372">
        <v>0.09</v>
      </c>
      <c r="AP372">
        <v>0.19</v>
      </c>
      <c r="AQ372">
        <v>0.77</v>
      </c>
      <c r="AR372">
        <v>0.72</v>
      </c>
      <c r="AS372">
        <v>0.04</v>
      </c>
      <c r="AT372">
        <v>0.01</v>
      </c>
      <c r="AU372">
        <v>0.02</v>
      </c>
      <c r="AV372">
        <v>1.96</v>
      </c>
      <c r="AW372">
        <v>0.96</v>
      </c>
      <c r="AX372">
        <v>0.21</v>
      </c>
      <c r="AY372">
        <v>0.53</v>
      </c>
      <c r="AZ372">
        <v>0</v>
      </c>
      <c r="BA372">
        <v>0.76</v>
      </c>
      <c r="BB372">
        <v>0.08</v>
      </c>
      <c r="BC372">
        <v>0.12</v>
      </c>
      <c r="BD372">
        <v>0.27</v>
      </c>
      <c r="BE372">
        <v>5.17</v>
      </c>
      <c r="BF372">
        <v>4.4800000000000004</v>
      </c>
      <c r="BG372">
        <v>0.24</v>
      </c>
      <c r="BH372">
        <v>0.45</v>
      </c>
      <c r="BI372">
        <v>0</v>
      </c>
      <c r="BJ372">
        <v>0.04</v>
      </c>
      <c r="BK372">
        <v>4.4400000000000004</v>
      </c>
      <c r="BL372">
        <v>0</v>
      </c>
      <c r="BM372">
        <v>1.52</v>
      </c>
      <c r="BN372">
        <v>0.21</v>
      </c>
      <c r="BO372">
        <v>0.46</v>
      </c>
      <c r="BP372">
        <v>0.85</v>
      </c>
      <c r="BQ372">
        <v>0.71</v>
      </c>
      <c r="BR372">
        <v>0.06</v>
      </c>
      <c r="BS372">
        <v>0.09</v>
      </c>
      <c r="BT372">
        <v>0</v>
      </c>
      <c r="BU372">
        <v>5.56</v>
      </c>
      <c r="BV372">
        <v>4.5</v>
      </c>
      <c r="BW372">
        <v>0.34</v>
      </c>
      <c r="BX372">
        <v>0.72</v>
      </c>
      <c r="BY372">
        <v>0</v>
      </c>
      <c r="BZ372">
        <v>0.04</v>
      </c>
      <c r="CA372">
        <v>4.46</v>
      </c>
      <c r="CB372">
        <v>0</v>
      </c>
      <c r="CC372">
        <f t="shared" si="10"/>
        <v>2.75</v>
      </c>
      <c r="CD372">
        <v>3.96</v>
      </c>
      <c r="CE372">
        <v>0.34230769230769231</v>
      </c>
      <c r="CF372">
        <v>0.44500000000000001</v>
      </c>
      <c r="CG372">
        <v>0.1492537313432836</v>
      </c>
      <c r="CH372">
        <v>0.49790209790209788</v>
      </c>
      <c r="CI372">
        <v>0</v>
      </c>
      <c r="CJ372">
        <v>26873</v>
      </c>
      <c r="CK372" t="s">
        <v>141</v>
      </c>
      <c r="CL372" t="s">
        <v>1365</v>
      </c>
      <c r="CM372" t="s">
        <v>143</v>
      </c>
      <c r="CN372">
        <v>0.23278945845499999</v>
      </c>
      <c r="CO372">
        <v>10.78763342330115</v>
      </c>
      <c r="CP372">
        <v>371</v>
      </c>
      <c r="CQ372" t="s">
        <v>1366</v>
      </c>
      <c r="CR372">
        <v>13</v>
      </c>
      <c r="CS372" t="s">
        <v>1367</v>
      </c>
      <c r="CT372" t="s">
        <v>1366</v>
      </c>
      <c r="CU372" t="s">
        <v>1368</v>
      </c>
      <c r="CV372" t="s">
        <v>1369</v>
      </c>
      <c r="CW372" t="s">
        <v>1370</v>
      </c>
      <c r="CX372" t="s">
        <v>1371</v>
      </c>
      <c r="CY372" t="s">
        <v>1372</v>
      </c>
      <c r="CZ372" t="s">
        <v>1352</v>
      </c>
      <c r="DA372" t="s">
        <v>152</v>
      </c>
      <c r="DB372" t="s">
        <v>178</v>
      </c>
      <c r="DC372" t="s">
        <v>1373</v>
      </c>
      <c r="DD372" t="s">
        <v>657</v>
      </c>
      <c r="DE372">
        <v>10823</v>
      </c>
      <c r="DF372">
        <v>-100.88397000000001</v>
      </c>
      <c r="DG372">
        <v>47.47186</v>
      </c>
      <c r="DH372">
        <v>7525</v>
      </c>
      <c r="DI372">
        <v>260</v>
      </c>
      <c r="DL372">
        <v>8.6</v>
      </c>
      <c r="DM372">
        <v>0.8</v>
      </c>
      <c r="DN372">
        <v>16.2</v>
      </c>
      <c r="DO372">
        <v>190</v>
      </c>
      <c r="DP372">
        <v>104</v>
      </c>
      <c r="DQ372">
        <v>223</v>
      </c>
      <c r="DR372">
        <v>100000</v>
      </c>
      <c r="DS372" t="s">
        <v>1374</v>
      </c>
      <c r="DT372">
        <v>1.2500000000000001E-2</v>
      </c>
      <c r="DU372">
        <v>1.2500000000000001E-2</v>
      </c>
      <c r="DV372">
        <v>0.32500000000000001</v>
      </c>
      <c r="DW372">
        <v>0.32500000000000001</v>
      </c>
      <c r="DX372">
        <v>0.32500000000000001</v>
      </c>
      <c r="DY372">
        <v>0</v>
      </c>
      <c r="DZ372" s="4">
        <v>3.621</v>
      </c>
      <c r="EA372" s="4" t="s">
        <v>1691</v>
      </c>
      <c r="EB372" s="4" t="s">
        <v>1692</v>
      </c>
      <c r="EC372">
        <v>4.3179999999999996</v>
      </c>
      <c r="ED372">
        <v>848</v>
      </c>
      <c r="EE372" t="s">
        <v>1698</v>
      </c>
      <c r="EF372">
        <v>0.7340078956426247</v>
      </c>
      <c r="EH372">
        <f t="shared" si="11"/>
        <v>0.58000000000000007</v>
      </c>
      <c r="EI372">
        <v>3.38</v>
      </c>
      <c r="EJ372">
        <v>3.65</v>
      </c>
    </row>
    <row r="373" spans="1:140" x14ac:dyDescent="0.35">
      <c r="A373" s="1">
        <v>371</v>
      </c>
      <c r="B373">
        <v>-96.914573747330593</v>
      </c>
      <c r="C373">
        <v>48.06065737612753</v>
      </c>
      <c r="D373" t="s">
        <v>1763</v>
      </c>
      <c r="E373">
        <v>0.02</v>
      </c>
      <c r="F373" t="s">
        <v>160</v>
      </c>
      <c r="G373">
        <v>7.9399999999999998E-2</v>
      </c>
      <c r="H373" t="s">
        <v>161</v>
      </c>
      <c r="I373">
        <v>-10788481</v>
      </c>
      <c r="J373">
        <v>6116952</v>
      </c>
      <c r="K373" t="s">
        <v>1497</v>
      </c>
      <c r="L373" t="s">
        <v>887</v>
      </c>
      <c r="M373">
        <v>60</v>
      </c>
      <c r="N373">
        <v>3.5550000000000002</v>
      </c>
      <c r="O373">
        <v>2</v>
      </c>
      <c r="P373">
        <v>4</v>
      </c>
      <c r="Q373">
        <v>27</v>
      </c>
      <c r="R373">
        <v>119</v>
      </c>
      <c r="S373">
        <v>31194</v>
      </c>
      <c r="T373" t="s">
        <v>1499</v>
      </c>
      <c r="U373">
        <v>5.6054727189595601</v>
      </c>
      <c r="V373" t="s">
        <v>1497</v>
      </c>
      <c r="W373">
        <v>0.1235</v>
      </c>
      <c r="X373">
        <v>10</v>
      </c>
      <c r="Y373">
        <v>8.9</v>
      </c>
      <c r="Z373">
        <v>8.9</v>
      </c>
      <c r="AA373">
        <v>20</v>
      </c>
      <c r="AB373">
        <v>26</v>
      </c>
      <c r="AC373">
        <v>0.76600000000000001</v>
      </c>
      <c r="AD373">
        <v>67</v>
      </c>
      <c r="AE373">
        <v>0.12174189446916719</v>
      </c>
      <c r="AF373">
        <v>2.86</v>
      </c>
      <c r="AG373" t="s">
        <v>1499</v>
      </c>
      <c r="AH373" t="s">
        <v>1497</v>
      </c>
      <c r="AI373">
        <v>28</v>
      </c>
      <c r="AJ373">
        <v>9.3333333333333341E-3</v>
      </c>
      <c r="AK373">
        <v>9.3333333333333339</v>
      </c>
      <c r="AL373" t="s">
        <v>1762</v>
      </c>
      <c r="AM373">
        <v>0</v>
      </c>
      <c r="AN373">
        <v>1.23</v>
      </c>
      <c r="AO373">
        <v>0.09</v>
      </c>
      <c r="AP373">
        <v>0.19</v>
      </c>
      <c r="AQ373">
        <v>0.95</v>
      </c>
      <c r="AR373">
        <v>0.89</v>
      </c>
      <c r="AS373">
        <v>0.04</v>
      </c>
      <c r="AT373">
        <v>0.02</v>
      </c>
      <c r="AU373">
        <v>0.02</v>
      </c>
      <c r="AV373">
        <v>2.2000000000000002</v>
      </c>
      <c r="AW373">
        <v>1.2</v>
      </c>
      <c r="AX373">
        <v>0.21</v>
      </c>
      <c r="AY373">
        <v>0.53</v>
      </c>
      <c r="AZ373">
        <v>0</v>
      </c>
      <c r="BA373">
        <v>0.94</v>
      </c>
      <c r="BB373">
        <v>0.08</v>
      </c>
      <c r="BC373">
        <v>0.18</v>
      </c>
      <c r="BD373">
        <v>0.27</v>
      </c>
      <c r="BE373">
        <v>7.39</v>
      </c>
      <c r="BF373">
        <v>6.7</v>
      </c>
      <c r="BG373">
        <v>0.24</v>
      </c>
      <c r="BH373">
        <v>0.45</v>
      </c>
      <c r="BI373">
        <v>0</v>
      </c>
      <c r="BJ373">
        <v>0.04</v>
      </c>
      <c r="BK373">
        <v>6.66</v>
      </c>
      <c r="BL373">
        <v>0</v>
      </c>
      <c r="BM373">
        <v>1.74</v>
      </c>
      <c r="BN373">
        <v>0.21</v>
      </c>
      <c r="BO373">
        <v>0.46</v>
      </c>
      <c r="BP373">
        <v>1.07</v>
      </c>
      <c r="BQ373">
        <v>0.88</v>
      </c>
      <c r="BR373">
        <v>0.06</v>
      </c>
      <c r="BS373">
        <v>0.13</v>
      </c>
      <c r="BT373">
        <v>0</v>
      </c>
      <c r="BU373">
        <v>7.79</v>
      </c>
      <c r="BV373">
        <v>6.73</v>
      </c>
      <c r="BW373">
        <v>0.34</v>
      </c>
      <c r="BX373">
        <v>0.72</v>
      </c>
      <c r="BY373">
        <v>0</v>
      </c>
      <c r="BZ373">
        <v>0.04</v>
      </c>
      <c r="CA373">
        <v>6.7</v>
      </c>
      <c r="CB373">
        <v>0</v>
      </c>
      <c r="CC373">
        <f t="shared" si="10"/>
        <v>2.75</v>
      </c>
      <c r="CD373">
        <v>3.96</v>
      </c>
      <c r="CE373">
        <v>0.34230769230769231</v>
      </c>
      <c r="CF373">
        <v>0.44500000000000001</v>
      </c>
      <c r="CG373">
        <v>0.1492537313432836</v>
      </c>
      <c r="CH373">
        <v>0.26783216783216779</v>
      </c>
      <c r="CI373">
        <v>0</v>
      </c>
      <c r="CJ373">
        <v>29790</v>
      </c>
      <c r="CK373" t="s">
        <v>141</v>
      </c>
      <c r="CL373" t="s">
        <v>1617</v>
      </c>
      <c r="CM373" t="s">
        <v>143</v>
      </c>
      <c r="CN373">
        <v>0.31029501291700001</v>
      </c>
      <c r="CO373">
        <v>9.2647571322108302</v>
      </c>
      <c r="CP373">
        <v>372</v>
      </c>
      <c r="CQ373" t="s">
        <v>1366</v>
      </c>
      <c r="CR373">
        <v>13</v>
      </c>
      <c r="CS373" t="s">
        <v>1367</v>
      </c>
      <c r="CT373" t="s">
        <v>1366</v>
      </c>
      <c r="CU373" t="s">
        <v>1368</v>
      </c>
      <c r="CV373" t="s">
        <v>1369</v>
      </c>
      <c r="CW373" t="s">
        <v>1370</v>
      </c>
      <c r="CX373" t="s">
        <v>1371</v>
      </c>
      <c r="CY373" t="s">
        <v>1372</v>
      </c>
      <c r="CZ373" t="s">
        <v>1352</v>
      </c>
      <c r="DA373" t="s">
        <v>152</v>
      </c>
      <c r="DB373" t="s">
        <v>178</v>
      </c>
      <c r="DC373" t="s">
        <v>1373</v>
      </c>
      <c r="DD373" t="s">
        <v>657</v>
      </c>
      <c r="DE373">
        <v>10823</v>
      </c>
      <c r="DF373">
        <v>-100.88397000000001</v>
      </c>
      <c r="DG373">
        <v>47.47186</v>
      </c>
      <c r="DH373">
        <v>7525</v>
      </c>
      <c r="DI373">
        <v>260</v>
      </c>
      <c r="DL373">
        <v>8.6</v>
      </c>
      <c r="DM373">
        <v>0.8</v>
      </c>
      <c r="DN373">
        <v>16.2</v>
      </c>
      <c r="DO373">
        <v>190</v>
      </c>
      <c r="DP373">
        <v>104</v>
      </c>
      <c r="DQ373">
        <v>223</v>
      </c>
      <c r="DR373">
        <v>100000</v>
      </c>
      <c r="DS373" t="s">
        <v>1374</v>
      </c>
      <c r="DT373">
        <v>1.2500000000000001E-2</v>
      </c>
      <c r="DU373">
        <v>1.2500000000000001E-2</v>
      </c>
      <c r="DV373">
        <v>0.32500000000000001</v>
      </c>
      <c r="DW373">
        <v>0.32500000000000001</v>
      </c>
      <c r="DX373">
        <v>0.32500000000000001</v>
      </c>
      <c r="DY373">
        <v>0</v>
      </c>
      <c r="DZ373" s="4">
        <v>3.766</v>
      </c>
      <c r="EA373" s="4" t="s">
        <v>1501</v>
      </c>
      <c r="EB373" s="4" t="s">
        <v>1502</v>
      </c>
      <c r="EC373">
        <v>4.6429999999999998</v>
      </c>
      <c r="ED373">
        <v>51</v>
      </c>
      <c r="EE373" t="s">
        <v>1762</v>
      </c>
      <c r="EF373">
        <v>0</v>
      </c>
      <c r="EH373">
        <f t="shared" si="11"/>
        <v>0.58000000000000007</v>
      </c>
      <c r="EI373">
        <v>3.38</v>
      </c>
      <c r="EJ373">
        <v>3.65</v>
      </c>
    </row>
    <row r="374" spans="1:140" x14ac:dyDescent="0.35">
      <c r="A374" s="1">
        <v>372</v>
      </c>
      <c r="B374">
        <v>-95.11794317909154</v>
      </c>
      <c r="C374">
        <v>48.06065737612753</v>
      </c>
      <c r="D374" t="s">
        <v>1764</v>
      </c>
      <c r="E374">
        <v>0.1</v>
      </c>
      <c r="F374" t="s">
        <v>135</v>
      </c>
      <c r="G374">
        <v>7.9399999999999998E-2</v>
      </c>
      <c r="H374" t="s">
        <v>161</v>
      </c>
      <c r="I374">
        <v>-10588481</v>
      </c>
      <c r="J374">
        <v>6116952</v>
      </c>
      <c r="K374" t="s">
        <v>1497</v>
      </c>
      <c r="L374" t="s">
        <v>1765</v>
      </c>
      <c r="M374">
        <v>4</v>
      </c>
      <c r="N374">
        <v>3.6749999999999998</v>
      </c>
      <c r="O374">
        <v>2</v>
      </c>
      <c r="P374">
        <v>4</v>
      </c>
      <c r="Q374">
        <v>27</v>
      </c>
      <c r="R374">
        <v>7</v>
      </c>
      <c r="S374">
        <v>46230</v>
      </c>
      <c r="T374" t="s">
        <v>1499</v>
      </c>
      <c r="U374">
        <v>5.6054727189595601</v>
      </c>
      <c r="V374" t="s">
        <v>1497</v>
      </c>
      <c r="W374">
        <v>0.1235</v>
      </c>
      <c r="X374">
        <v>10</v>
      </c>
      <c r="Y374">
        <v>8.9</v>
      </c>
      <c r="Z374">
        <v>8.9</v>
      </c>
      <c r="AA374">
        <v>20</v>
      </c>
      <c r="AB374">
        <v>26</v>
      </c>
      <c r="AC374">
        <v>0.76600000000000001</v>
      </c>
      <c r="AD374">
        <v>67</v>
      </c>
      <c r="AE374">
        <v>0.12174189446916719</v>
      </c>
      <c r="AF374">
        <v>2.86</v>
      </c>
      <c r="AG374" t="s">
        <v>1499</v>
      </c>
      <c r="AH374" t="s">
        <v>1497</v>
      </c>
      <c r="AI374">
        <v>28</v>
      </c>
      <c r="AJ374">
        <v>9.3333333333333341E-3</v>
      </c>
      <c r="AK374">
        <v>9.3333333333333339</v>
      </c>
      <c r="AL374" t="s">
        <v>1766</v>
      </c>
      <c r="AM374">
        <v>0</v>
      </c>
      <c r="AN374">
        <v>1.23</v>
      </c>
      <c r="AO374">
        <v>0.09</v>
      </c>
      <c r="AP374">
        <v>0.19</v>
      </c>
      <c r="AQ374">
        <v>0.95</v>
      </c>
      <c r="AR374">
        <v>0.89</v>
      </c>
      <c r="AS374">
        <v>0.04</v>
      </c>
      <c r="AT374">
        <v>0.02</v>
      </c>
      <c r="AU374">
        <v>0.02</v>
      </c>
      <c r="AV374">
        <v>2.2000000000000002</v>
      </c>
      <c r="AW374">
        <v>1.2</v>
      </c>
      <c r="AX374">
        <v>0.21</v>
      </c>
      <c r="AY374">
        <v>0.53</v>
      </c>
      <c r="AZ374">
        <v>0</v>
      </c>
      <c r="BA374">
        <v>0.94</v>
      </c>
      <c r="BB374">
        <v>0.08</v>
      </c>
      <c r="BC374">
        <v>0.18</v>
      </c>
      <c r="BD374">
        <v>0.27</v>
      </c>
      <c r="BE374">
        <v>7.39</v>
      </c>
      <c r="BF374">
        <v>6.7</v>
      </c>
      <c r="BG374">
        <v>0.24</v>
      </c>
      <c r="BH374">
        <v>0.45</v>
      </c>
      <c r="BI374">
        <v>0</v>
      </c>
      <c r="BJ374">
        <v>0.04</v>
      </c>
      <c r="BK374">
        <v>6.66</v>
      </c>
      <c r="BL374">
        <v>0</v>
      </c>
      <c r="BM374">
        <v>1.74</v>
      </c>
      <c r="BN374">
        <v>0.21</v>
      </c>
      <c r="BO374">
        <v>0.46</v>
      </c>
      <c r="BP374">
        <v>1.07</v>
      </c>
      <c r="BQ374">
        <v>0.88</v>
      </c>
      <c r="BR374">
        <v>0.06</v>
      </c>
      <c r="BS374">
        <v>0.13</v>
      </c>
      <c r="BT374">
        <v>0</v>
      </c>
      <c r="BU374">
        <v>7.79</v>
      </c>
      <c r="BV374">
        <v>6.73</v>
      </c>
      <c r="BW374">
        <v>0.34</v>
      </c>
      <c r="BX374">
        <v>0.72</v>
      </c>
      <c r="BY374">
        <v>0</v>
      </c>
      <c r="BZ374">
        <v>0.04</v>
      </c>
      <c r="CA374">
        <v>6.7</v>
      </c>
      <c r="CB374">
        <v>0</v>
      </c>
      <c r="CC374">
        <f t="shared" si="10"/>
        <v>2.75</v>
      </c>
      <c r="CD374">
        <v>3.96</v>
      </c>
      <c r="CE374">
        <v>0.34230769230769231</v>
      </c>
      <c r="CF374">
        <v>0.44500000000000001</v>
      </c>
      <c r="CG374">
        <v>0.1492537313432836</v>
      </c>
      <c r="CH374">
        <v>0.26783216783216779</v>
      </c>
      <c r="CI374">
        <v>0</v>
      </c>
      <c r="CJ374">
        <v>5628</v>
      </c>
      <c r="CK374" t="s">
        <v>141</v>
      </c>
      <c r="CL374" t="s">
        <v>1629</v>
      </c>
      <c r="CM374" t="s">
        <v>143</v>
      </c>
      <c r="CN374">
        <v>0.416704657024</v>
      </c>
      <c r="CO374">
        <v>42.092418169891957</v>
      </c>
      <c r="CP374">
        <v>373</v>
      </c>
      <c r="CQ374" t="s">
        <v>1366</v>
      </c>
      <c r="CR374">
        <v>13</v>
      </c>
      <c r="CS374" t="s">
        <v>1367</v>
      </c>
      <c r="CT374" t="s">
        <v>1366</v>
      </c>
      <c r="CU374" t="s">
        <v>1368</v>
      </c>
      <c r="CV374" t="s">
        <v>1369</v>
      </c>
      <c r="CW374" t="s">
        <v>1370</v>
      </c>
      <c r="CX374" t="s">
        <v>1371</v>
      </c>
      <c r="CY374" t="s">
        <v>1372</v>
      </c>
      <c r="CZ374" t="s">
        <v>1352</v>
      </c>
      <c r="DA374" t="s">
        <v>152</v>
      </c>
      <c r="DB374" t="s">
        <v>178</v>
      </c>
      <c r="DC374" t="s">
        <v>1373</v>
      </c>
      <c r="DD374" t="s">
        <v>657</v>
      </c>
      <c r="DE374">
        <v>10823</v>
      </c>
      <c r="DF374">
        <v>-100.88397000000001</v>
      </c>
      <c r="DG374">
        <v>47.47186</v>
      </c>
      <c r="DH374">
        <v>7525</v>
      </c>
      <c r="DI374">
        <v>260</v>
      </c>
      <c r="DL374">
        <v>8.6</v>
      </c>
      <c r="DM374">
        <v>0.8</v>
      </c>
      <c r="DN374">
        <v>16.2</v>
      </c>
      <c r="DO374">
        <v>190</v>
      </c>
      <c r="DP374">
        <v>104</v>
      </c>
      <c r="DQ374">
        <v>223</v>
      </c>
      <c r="DR374">
        <v>100000</v>
      </c>
      <c r="DS374" t="s">
        <v>1374</v>
      </c>
      <c r="DT374">
        <v>1.2500000000000001E-2</v>
      </c>
      <c r="DU374">
        <v>1.2500000000000001E-2</v>
      </c>
      <c r="DV374">
        <v>0.32500000000000001</v>
      </c>
      <c r="DW374">
        <v>0.32500000000000001</v>
      </c>
      <c r="DX374">
        <v>0.32500000000000001</v>
      </c>
      <c r="DY374">
        <v>71.012343647836985</v>
      </c>
      <c r="DZ374" s="4">
        <v>3.766</v>
      </c>
      <c r="EA374" s="4" t="s">
        <v>1501</v>
      </c>
      <c r="EB374" s="4" t="s">
        <v>1502</v>
      </c>
      <c r="EC374">
        <v>4.6429999999999998</v>
      </c>
      <c r="ED374">
        <v>462</v>
      </c>
      <c r="EE374" t="s">
        <v>1766</v>
      </c>
      <c r="EF374">
        <v>0</v>
      </c>
      <c r="EH374">
        <f t="shared" si="11"/>
        <v>0.58000000000000007</v>
      </c>
      <c r="EI374">
        <v>3.38</v>
      </c>
      <c r="EJ374">
        <v>3.65</v>
      </c>
    </row>
    <row r="375" spans="1:140" x14ac:dyDescent="0.35">
      <c r="A375" s="1">
        <v>373</v>
      </c>
      <c r="B375">
        <v>-93.321312610852502</v>
      </c>
      <c r="C375">
        <v>48.06065737612753</v>
      </c>
      <c r="D375" t="s">
        <v>1767</v>
      </c>
      <c r="E375">
        <v>0.1</v>
      </c>
      <c r="F375" t="s">
        <v>306</v>
      </c>
      <c r="G375">
        <v>7.9399999999999998E-2</v>
      </c>
      <c r="H375" t="s">
        <v>161</v>
      </c>
      <c r="I375">
        <v>-10388481</v>
      </c>
      <c r="J375">
        <v>6116952</v>
      </c>
      <c r="K375" t="s">
        <v>1497</v>
      </c>
      <c r="L375" t="s">
        <v>1768</v>
      </c>
      <c r="M375">
        <v>36</v>
      </c>
      <c r="N375">
        <v>3.726</v>
      </c>
      <c r="O375">
        <v>2</v>
      </c>
      <c r="P375">
        <v>4</v>
      </c>
      <c r="Q375">
        <v>27</v>
      </c>
      <c r="R375">
        <v>71</v>
      </c>
      <c r="S375">
        <v>12059</v>
      </c>
      <c r="T375" t="s">
        <v>1499</v>
      </c>
      <c r="U375">
        <v>5.6054727189595601</v>
      </c>
      <c r="V375" t="s">
        <v>1497</v>
      </c>
      <c r="W375">
        <v>0.1235</v>
      </c>
      <c r="X375">
        <v>10</v>
      </c>
      <c r="Y375">
        <v>8.9</v>
      </c>
      <c r="Z375">
        <v>8.9</v>
      </c>
      <c r="AA375">
        <v>20</v>
      </c>
      <c r="AB375">
        <v>26</v>
      </c>
      <c r="AC375">
        <v>0.76600000000000001</v>
      </c>
      <c r="AD375">
        <v>67</v>
      </c>
      <c r="AE375">
        <v>0.12174189446916719</v>
      </c>
      <c r="AF375">
        <v>2.86</v>
      </c>
      <c r="AG375" t="s">
        <v>1499</v>
      </c>
      <c r="AH375" t="s">
        <v>1497</v>
      </c>
      <c r="AI375">
        <v>28</v>
      </c>
      <c r="AJ375">
        <v>9.3333333333333341E-3</v>
      </c>
      <c r="AK375">
        <v>9.3333333333333339</v>
      </c>
      <c r="AL375" t="s">
        <v>1707</v>
      </c>
      <c r="AM375">
        <v>25055.830908495889</v>
      </c>
      <c r="AN375">
        <v>1.23</v>
      </c>
      <c r="AO375">
        <v>0.09</v>
      </c>
      <c r="AP375">
        <v>0.19</v>
      </c>
      <c r="AQ375">
        <v>0.95</v>
      </c>
      <c r="AR375">
        <v>0.89</v>
      </c>
      <c r="AS375">
        <v>0.04</v>
      </c>
      <c r="AT375">
        <v>0.02</v>
      </c>
      <c r="AU375">
        <v>0.02</v>
      </c>
      <c r="AV375">
        <v>2.2000000000000002</v>
      </c>
      <c r="AW375">
        <v>1.2</v>
      </c>
      <c r="AX375">
        <v>0.21</v>
      </c>
      <c r="AY375">
        <v>0.53</v>
      </c>
      <c r="AZ375">
        <v>0</v>
      </c>
      <c r="BA375">
        <v>0.94</v>
      </c>
      <c r="BB375">
        <v>0.08</v>
      </c>
      <c r="BC375">
        <v>0.18</v>
      </c>
      <c r="BD375">
        <v>0.27</v>
      </c>
      <c r="BE375">
        <v>7.39</v>
      </c>
      <c r="BF375">
        <v>6.7</v>
      </c>
      <c r="BG375">
        <v>0.24</v>
      </c>
      <c r="BH375">
        <v>0.45</v>
      </c>
      <c r="BI375">
        <v>0</v>
      </c>
      <c r="BJ375">
        <v>0.04</v>
      </c>
      <c r="BK375">
        <v>6.66</v>
      </c>
      <c r="BL375">
        <v>0</v>
      </c>
      <c r="BM375">
        <v>1.74</v>
      </c>
      <c r="BN375">
        <v>0.21</v>
      </c>
      <c r="BO375">
        <v>0.46</v>
      </c>
      <c r="BP375">
        <v>1.07</v>
      </c>
      <c r="BQ375">
        <v>0.88</v>
      </c>
      <c r="BR375">
        <v>0.06</v>
      </c>
      <c r="BS375">
        <v>0.13</v>
      </c>
      <c r="BT375">
        <v>0</v>
      </c>
      <c r="BU375">
        <v>7.79</v>
      </c>
      <c r="BV375">
        <v>6.73</v>
      </c>
      <c r="BW375">
        <v>0.34</v>
      </c>
      <c r="BX375">
        <v>0.72</v>
      </c>
      <c r="BY375">
        <v>0</v>
      </c>
      <c r="BZ375">
        <v>0.04</v>
      </c>
      <c r="CA375">
        <v>6.7</v>
      </c>
      <c r="CB375">
        <v>0</v>
      </c>
      <c r="CC375">
        <f t="shared" si="10"/>
        <v>2.75</v>
      </c>
      <c r="CD375">
        <v>3.96</v>
      </c>
      <c r="CE375">
        <v>0.34230769230769231</v>
      </c>
      <c r="CF375">
        <v>0.44500000000000001</v>
      </c>
      <c r="CG375">
        <v>0.1492537313432836</v>
      </c>
      <c r="CH375">
        <v>0.26783216783216779</v>
      </c>
      <c r="CI375">
        <v>0</v>
      </c>
      <c r="CJ375">
        <v>17500</v>
      </c>
      <c r="CK375" t="s">
        <v>141</v>
      </c>
      <c r="CL375" t="s">
        <v>475</v>
      </c>
      <c r="CM375" t="s">
        <v>143</v>
      </c>
      <c r="CN375">
        <v>0.213779227731</v>
      </c>
      <c r="CO375">
        <v>64.488566156060742</v>
      </c>
      <c r="CP375">
        <v>374</v>
      </c>
      <c r="CQ375" t="s">
        <v>1366</v>
      </c>
      <c r="CR375">
        <v>13</v>
      </c>
      <c r="CS375" t="s">
        <v>1367</v>
      </c>
      <c r="CT375" t="s">
        <v>1366</v>
      </c>
      <c r="CU375" t="s">
        <v>1368</v>
      </c>
      <c r="CV375" t="s">
        <v>1369</v>
      </c>
      <c r="CW375" t="s">
        <v>1370</v>
      </c>
      <c r="CX375" t="s">
        <v>1371</v>
      </c>
      <c r="CY375" t="s">
        <v>1372</v>
      </c>
      <c r="CZ375" t="s">
        <v>1352</v>
      </c>
      <c r="DA375" t="s">
        <v>152</v>
      </c>
      <c r="DB375" t="s">
        <v>178</v>
      </c>
      <c r="DC375" t="s">
        <v>1373</v>
      </c>
      <c r="DD375" t="s">
        <v>657</v>
      </c>
      <c r="DE375">
        <v>10823</v>
      </c>
      <c r="DF375">
        <v>-100.88397000000001</v>
      </c>
      <c r="DG375">
        <v>47.47186</v>
      </c>
      <c r="DH375">
        <v>7525</v>
      </c>
      <c r="DI375">
        <v>260</v>
      </c>
      <c r="DL375">
        <v>8.6</v>
      </c>
      <c r="DM375">
        <v>0.8</v>
      </c>
      <c r="DN375">
        <v>16.2</v>
      </c>
      <c r="DO375">
        <v>190</v>
      </c>
      <c r="DP375">
        <v>104</v>
      </c>
      <c r="DQ375">
        <v>223</v>
      </c>
      <c r="DR375">
        <v>100000</v>
      </c>
      <c r="DS375" t="s">
        <v>1374</v>
      </c>
      <c r="DT375">
        <v>1.2500000000000001E-2</v>
      </c>
      <c r="DU375">
        <v>1.2500000000000001E-2</v>
      </c>
      <c r="DV375">
        <v>0.32500000000000001</v>
      </c>
      <c r="DW375">
        <v>0.32500000000000001</v>
      </c>
      <c r="DX375">
        <v>0.32500000000000001</v>
      </c>
      <c r="DY375">
        <v>189.69292346939841</v>
      </c>
      <c r="DZ375" s="4">
        <v>3.766</v>
      </c>
      <c r="EA375" s="4" t="s">
        <v>1501</v>
      </c>
      <c r="EB375" s="4" t="s">
        <v>1502</v>
      </c>
      <c r="EC375">
        <v>4.6429999999999998</v>
      </c>
      <c r="ED375">
        <v>319</v>
      </c>
      <c r="EE375" t="s">
        <v>1708</v>
      </c>
      <c r="EF375">
        <v>0.16674483391892439</v>
      </c>
      <c r="EH375">
        <f t="shared" si="11"/>
        <v>0.58000000000000007</v>
      </c>
      <c r="EI375">
        <v>3.38</v>
      </c>
      <c r="EJ375">
        <v>3.65</v>
      </c>
    </row>
    <row r="376" spans="1:140" x14ac:dyDescent="0.35">
      <c r="A376" s="1">
        <v>374</v>
      </c>
      <c r="B376">
        <v>-91.524682042613449</v>
      </c>
      <c r="C376">
        <v>48.06065737612753</v>
      </c>
      <c r="D376" t="s">
        <v>1769</v>
      </c>
      <c r="E376">
        <v>0.1</v>
      </c>
      <c r="F376" t="s">
        <v>1277</v>
      </c>
      <c r="G376">
        <v>7.9399999999999998E-2</v>
      </c>
      <c r="H376" t="s">
        <v>161</v>
      </c>
      <c r="I376">
        <v>-10188481</v>
      </c>
      <c r="J376">
        <v>6116952</v>
      </c>
      <c r="K376" t="s">
        <v>1497</v>
      </c>
      <c r="L376" t="s">
        <v>1298</v>
      </c>
      <c r="M376">
        <v>38</v>
      </c>
      <c r="N376">
        <v>3.6629999999999998</v>
      </c>
      <c r="O376">
        <v>2</v>
      </c>
      <c r="P376">
        <v>4</v>
      </c>
      <c r="Q376">
        <v>27</v>
      </c>
      <c r="R376">
        <v>75</v>
      </c>
      <c r="S376">
        <v>10910</v>
      </c>
      <c r="T376" t="s">
        <v>1499</v>
      </c>
      <c r="U376">
        <v>5.6054727189595601</v>
      </c>
      <c r="V376" t="s">
        <v>1497</v>
      </c>
      <c r="W376">
        <v>0.1235</v>
      </c>
      <c r="X376">
        <v>10</v>
      </c>
      <c r="Y376">
        <v>8.9</v>
      </c>
      <c r="Z376">
        <v>8.9</v>
      </c>
      <c r="AA376">
        <v>20</v>
      </c>
      <c r="AB376">
        <v>26</v>
      </c>
      <c r="AC376">
        <v>0.76600000000000001</v>
      </c>
      <c r="AD376">
        <v>67</v>
      </c>
      <c r="AE376">
        <v>0.12174189446916719</v>
      </c>
      <c r="AF376">
        <v>2.86</v>
      </c>
      <c r="AG376" t="s">
        <v>1499</v>
      </c>
      <c r="AH376" t="s">
        <v>1497</v>
      </c>
      <c r="AI376">
        <v>28</v>
      </c>
      <c r="AJ376">
        <v>9.3333333333333341E-3</v>
      </c>
      <c r="AK376">
        <v>9.3333333333333339</v>
      </c>
      <c r="AL376" t="s">
        <v>1707</v>
      </c>
      <c r="AM376">
        <v>30657.640408089759</v>
      </c>
      <c r="AN376">
        <v>1.23</v>
      </c>
      <c r="AO376">
        <v>0.09</v>
      </c>
      <c r="AP376">
        <v>0.19</v>
      </c>
      <c r="AQ376">
        <v>0.95</v>
      </c>
      <c r="AR376">
        <v>0.89</v>
      </c>
      <c r="AS376">
        <v>0.04</v>
      </c>
      <c r="AT376">
        <v>0.02</v>
      </c>
      <c r="AU376">
        <v>0.02</v>
      </c>
      <c r="AV376">
        <v>2.2000000000000002</v>
      </c>
      <c r="AW376">
        <v>1.2</v>
      </c>
      <c r="AX376">
        <v>0.21</v>
      </c>
      <c r="AY376">
        <v>0.53</v>
      </c>
      <c r="AZ376">
        <v>0</v>
      </c>
      <c r="BA376">
        <v>0.94</v>
      </c>
      <c r="BB376">
        <v>0.08</v>
      </c>
      <c r="BC376">
        <v>0.18</v>
      </c>
      <c r="BD376">
        <v>0.27</v>
      </c>
      <c r="BE376">
        <v>7.39</v>
      </c>
      <c r="BF376">
        <v>6.7</v>
      </c>
      <c r="BG376">
        <v>0.24</v>
      </c>
      <c r="BH376">
        <v>0.45</v>
      </c>
      <c r="BI376">
        <v>0</v>
      </c>
      <c r="BJ376">
        <v>0.04</v>
      </c>
      <c r="BK376">
        <v>6.66</v>
      </c>
      <c r="BL376">
        <v>0</v>
      </c>
      <c r="BM376">
        <v>1.74</v>
      </c>
      <c r="BN376">
        <v>0.21</v>
      </c>
      <c r="BO376">
        <v>0.46</v>
      </c>
      <c r="BP376">
        <v>1.07</v>
      </c>
      <c r="BQ376">
        <v>0.88</v>
      </c>
      <c r="BR376">
        <v>0.06</v>
      </c>
      <c r="BS376">
        <v>0.13</v>
      </c>
      <c r="BT376">
        <v>0</v>
      </c>
      <c r="BU376">
        <v>7.79</v>
      </c>
      <c r="BV376">
        <v>6.73</v>
      </c>
      <c r="BW376">
        <v>0.34</v>
      </c>
      <c r="BX376">
        <v>0.72</v>
      </c>
      <c r="BY376">
        <v>0</v>
      </c>
      <c r="BZ376">
        <v>0.04</v>
      </c>
      <c r="CA376">
        <v>6.7</v>
      </c>
      <c r="CB376">
        <v>0</v>
      </c>
      <c r="CC376">
        <f t="shared" si="10"/>
        <v>2.75</v>
      </c>
      <c r="CD376">
        <v>3.96</v>
      </c>
      <c r="CE376">
        <v>0.34230769230769231</v>
      </c>
      <c r="CF376">
        <v>0.44500000000000001</v>
      </c>
      <c r="CG376">
        <v>0.1492537313432836</v>
      </c>
      <c r="CH376">
        <v>0.26783216783216779</v>
      </c>
      <c r="CI376">
        <v>0</v>
      </c>
      <c r="CJ376">
        <v>17486</v>
      </c>
      <c r="CK376" t="s">
        <v>141</v>
      </c>
      <c r="CL376" t="s">
        <v>475</v>
      </c>
      <c r="CM376" t="s">
        <v>143</v>
      </c>
      <c r="CN376">
        <v>0.34347082200399998</v>
      </c>
      <c r="CO376">
        <v>64.384717576452189</v>
      </c>
      <c r="CP376">
        <v>375</v>
      </c>
      <c r="CQ376" t="s">
        <v>1366</v>
      </c>
      <c r="CR376">
        <v>13</v>
      </c>
      <c r="CS376" t="s">
        <v>1367</v>
      </c>
      <c r="CT376" t="s">
        <v>1366</v>
      </c>
      <c r="CU376" t="s">
        <v>1368</v>
      </c>
      <c r="CV376" t="s">
        <v>1369</v>
      </c>
      <c r="CW376" t="s">
        <v>1370</v>
      </c>
      <c r="CX376" t="s">
        <v>1371</v>
      </c>
      <c r="CY376" t="s">
        <v>1372</v>
      </c>
      <c r="CZ376" t="s">
        <v>1352</v>
      </c>
      <c r="DA376" t="s">
        <v>152</v>
      </c>
      <c r="DB376" t="s">
        <v>178</v>
      </c>
      <c r="DC376" t="s">
        <v>1373</v>
      </c>
      <c r="DD376" t="s">
        <v>657</v>
      </c>
      <c r="DE376">
        <v>10823</v>
      </c>
      <c r="DF376">
        <v>-100.88397000000001</v>
      </c>
      <c r="DG376">
        <v>47.47186</v>
      </c>
      <c r="DH376">
        <v>7525</v>
      </c>
      <c r="DI376">
        <v>260</v>
      </c>
      <c r="DL376">
        <v>8.6</v>
      </c>
      <c r="DM376">
        <v>0.8</v>
      </c>
      <c r="DN376">
        <v>16.2</v>
      </c>
      <c r="DO376">
        <v>190</v>
      </c>
      <c r="DP376">
        <v>104</v>
      </c>
      <c r="DQ376">
        <v>223</v>
      </c>
      <c r="DR376">
        <v>100000</v>
      </c>
      <c r="DS376" t="s">
        <v>1374</v>
      </c>
      <c r="DT376">
        <v>1.2500000000000001E-2</v>
      </c>
      <c r="DU376">
        <v>1.2500000000000001E-2</v>
      </c>
      <c r="DV376">
        <v>0.32500000000000001</v>
      </c>
      <c r="DW376">
        <v>0.32500000000000001</v>
      </c>
      <c r="DX376">
        <v>0.32500000000000001</v>
      </c>
      <c r="DY376">
        <v>310.79125360364958</v>
      </c>
      <c r="DZ376" s="4">
        <v>3.766</v>
      </c>
      <c r="EA376" s="4" t="s">
        <v>1501</v>
      </c>
      <c r="EB376" s="4" t="s">
        <v>1502</v>
      </c>
      <c r="EC376">
        <v>4.6429999999999998</v>
      </c>
      <c r="ED376">
        <v>200</v>
      </c>
      <c r="EE376" t="s">
        <v>1707</v>
      </c>
      <c r="EF376">
        <v>0.27539259037009173</v>
      </c>
      <c r="EH376">
        <f t="shared" si="11"/>
        <v>0.58000000000000007</v>
      </c>
      <c r="EI376">
        <v>3.38</v>
      </c>
      <c r="EJ376">
        <v>3.65</v>
      </c>
    </row>
    <row r="377" spans="1:140" x14ac:dyDescent="0.35">
      <c r="A377" s="1">
        <v>375</v>
      </c>
      <c r="B377">
        <v>-89.728051474374411</v>
      </c>
      <c r="C377">
        <v>48.06065737612753</v>
      </c>
      <c r="D377" t="s">
        <v>1770</v>
      </c>
      <c r="E377">
        <v>0.1</v>
      </c>
      <c r="F377" t="s">
        <v>1277</v>
      </c>
      <c r="G377">
        <v>0.1239</v>
      </c>
      <c r="H377" t="s">
        <v>136</v>
      </c>
      <c r="I377">
        <v>-9988481</v>
      </c>
      <c r="J377">
        <v>6116952</v>
      </c>
      <c r="K377" t="s">
        <v>1497</v>
      </c>
      <c r="L377" t="s">
        <v>1239</v>
      </c>
      <c r="M377">
        <v>16</v>
      </c>
      <c r="N377">
        <v>3.7589999999999999</v>
      </c>
      <c r="O377">
        <v>2</v>
      </c>
      <c r="P377">
        <v>4</v>
      </c>
      <c r="Q377">
        <v>27</v>
      </c>
      <c r="R377">
        <v>31</v>
      </c>
      <c r="S377">
        <v>5599</v>
      </c>
      <c r="T377" t="s">
        <v>1499</v>
      </c>
      <c r="U377">
        <v>5.6054727189595601</v>
      </c>
      <c r="V377" t="s">
        <v>1497</v>
      </c>
      <c r="W377">
        <v>0.1235</v>
      </c>
      <c r="X377">
        <v>10</v>
      </c>
      <c r="Y377">
        <v>8.9</v>
      </c>
      <c r="Z377">
        <v>8.9</v>
      </c>
      <c r="AA377">
        <v>20</v>
      </c>
      <c r="AB377">
        <v>26</v>
      </c>
      <c r="AC377">
        <v>0.76600000000000001</v>
      </c>
      <c r="AD377">
        <v>67</v>
      </c>
      <c r="AE377">
        <v>0.12174189446916719</v>
      </c>
      <c r="AF377">
        <v>2.86</v>
      </c>
      <c r="AG377" t="s">
        <v>1499</v>
      </c>
      <c r="AH377" t="s">
        <v>1497</v>
      </c>
      <c r="AI377">
        <v>28</v>
      </c>
      <c r="AJ377">
        <v>9.3333333333333341E-3</v>
      </c>
      <c r="AK377">
        <v>9.3333333333333339</v>
      </c>
      <c r="AL377" t="s">
        <v>1712</v>
      </c>
      <c r="AM377">
        <v>60709.112771842447</v>
      </c>
      <c r="AN377">
        <v>1.23</v>
      </c>
      <c r="AO377">
        <v>0.09</v>
      </c>
      <c r="AP377">
        <v>0.19</v>
      </c>
      <c r="AQ377">
        <v>0.95</v>
      </c>
      <c r="AR377">
        <v>0.89</v>
      </c>
      <c r="AS377">
        <v>0.04</v>
      </c>
      <c r="AT377">
        <v>0.02</v>
      </c>
      <c r="AU377">
        <v>0.02</v>
      </c>
      <c r="AV377">
        <v>2.2000000000000002</v>
      </c>
      <c r="AW377">
        <v>1.2</v>
      </c>
      <c r="AX377">
        <v>0.21</v>
      </c>
      <c r="AY377">
        <v>0.53</v>
      </c>
      <c r="AZ377">
        <v>0</v>
      </c>
      <c r="BA377">
        <v>0.94</v>
      </c>
      <c r="BB377">
        <v>0.08</v>
      </c>
      <c r="BC377">
        <v>0.18</v>
      </c>
      <c r="BD377">
        <v>0.27</v>
      </c>
      <c r="BE377">
        <v>7.39</v>
      </c>
      <c r="BF377">
        <v>6.7</v>
      </c>
      <c r="BG377">
        <v>0.24</v>
      </c>
      <c r="BH377">
        <v>0.45</v>
      </c>
      <c r="BI377">
        <v>0</v>
      </c>
      <c r="BJ377">
        <v>0.04</v>
      </c>
      <c r="BK377">
        <v>6.66</v>
      </c>
      <c r="BL377">
        <v>0</v>
      </c>
      <c r="BM377">
        <v>1.74</v>
      </c>
      <c r="BN377">
        <v>0.21</v>
      </c>
      <c r="BO377">
        <v>0.46</v>
      </c>
      <c r="BP377">
        <v>1.07</v>
      </c>
      <c r="BQ377">
        <v>0.88</v>
      </c>
      <c r="BR377">
        <v>0.06</v>
      </c>
      <c r="BS377">
        <v>0.13</v>
      </c>
      <c r="BT377">
        <v>0</v>
      </c>
      <c r="BU377">
        <v>7.79</v>
      </c>
      <c r="BV377">
        <v>6.73</v>
      </c>
      <c r="BW377">
        <v>0.34</v>
      </c>
      <c r="BX377">
        <v>0.72</v>
      </c>
      <c r="BY377">
        <v>0</v>
      </c>
      <c r="BZ377">
        <v>0.04</v>
      </c>
      <c r="CA377">
        <v>6.7</v>
      </c>
      <c r="CB377">
        <v>0</v>
      </c>
      <c r="CC377">
        <f t="shared" si="10"/>
        <v>2.75</v>
      </c>
      <c r="CD377">
        <v>3.96</v>
      </c>
      <c r="CE377">
        <v>0.34230769230769231</v>
      </c>
      <c r="CF377">
        <v>0.44500000000000001</v>
      </c>
      <c r="CG377">
        <v>0.1492537313432836</v>
      </c>
      <c r="CH377">
        <v>0.26783216783216779</v>
      </c>
      <c r="CI377">
        <v>0</v>
      </c>
      <c r="CJ377">
        <v>17486</v>
      </c>
      <c r="CK377" t="s">
        <v>141</v>
      </c>
      <c r="CL377" t="s">
        <v>475</v>
      </c>
      <c r="CM377" t="s">
        <v>143</v>
      </c>
      <c r="CN377">
        <v>0.34347082200399998</v>
      </c>
      <c r="CO377">
        <v>108.19334259912659</v>
      </c>
      <c r="CP377">
        <v>376</v>
      </c>
      <c r="CQ377" t="s">
        <v>1622</v>
      </c>
      <c r="CR377">
        <v>201</v>
      </c>
      <c r="CS377" t="s">
        <v>1412</v>
      </c>
      <c r="CT377" t="s">
        <v>1413</v>
      </c>
      <c r="CU377" t="s">
        <v>1136</v>
      </c>
      <c r="CV377" t="s">
        <v>1414</v>
      </c>
      <c r="CW377" t="s">
        <v>1138</v>
      </c>
      <c r="CX377" t="s">
        <v>1139</v>
      </c>
      <c r="CY377" t="s">
        <v>1140</v>
      </c>
      <c r="CZ377" t="s">
        <v>686</v>
      </c>
      <c r="DA377" t="s">
        <v>152</v>
      </c>
      <c r="DB377" t="s">
        <v>178</v>
      </c>
      <c r="DC377" t="s">
        <v>459</v>
      </c>
      <c r="DD377" t="s">
        <v>492</v>
      </c>
      <c r="DE377">
        <v>9198</v>
      </c>
      <c r="DF377">
        <v>-84.445599999999999</v>
      </c>
      <c r="DG377">
        <v>43.7074</v>
      </c>
      <c r="DH377">
        <v>7310</v>
      </c>
      <c r="DI377">
        <v>450</v>
      </c>
      <c r="DL377">
        <v>7</v>
      </c>
      <c r="DM377">
        <v>5.5</v>
      </c>
      <c r="DN377">
        <v>8.4</v>
      </c>
      <c r="DO377">
        <v>75</v>
      </c>
      <c r="DP377">
        <v>10</v>
      </c>
      <c r="DQ377">
        <v>300</v>
      </c>
      <c r="DS377" t="s">
        <v>1415</v>
      </c>
      <c r="DT377">
        <v>1.2500000000000001E-2</v>
      </c>
      <c r="DU377">
        <v>1.2500000000000001E-2</v>
      </c>
      <c r="DV377">
        <v>0.32500000000000001</v>
      </c>
      <c r="DW377">
        <v>0.32500000000000001</v>
      </c>
      <c r="DX377">
        <v>0.32500000000000001</v>
      </c>
      <c r="DY377">
        <v>397.80366027777092</v>
      </c>
      <c r="DZ377" s="4">
        <v>3.766</v>
      </c>
      <c r="EA377" s="4" t="s">
        <v>1501</v>
      </c>
      <c r="EB377" s="4" t="s">
        <v>1502</v>
      </c>
      <c r="EC377">
        <v>4.6429999999999998</v>
      </c>
      <c r="ED377">
        <v>737</v>
      </c>
      <c r="EE377" t="s">
        <v>1712</v>
      </c>
      <c r="EF377">
        <v>0.50285290769938018</v>
      </c>
      <c r="EH377">
        <f t="shared" si="11"/>
        <v>0.58000000000000007</v>
      </c>
      <c r="EI377">
        <v>3.38</v>
      </c>
      <c r="EJ377">
        <v>3.65</v>
      </c>
    </row>
    <row r="378" spans="1:140" x14ac:dyDescent="0.35">
      <c r="A378" s="1">
        <v>376</v>
      </c>
      <c r="B378">
        <v>-87.931420906135358</v>
      </c>
      <c r="C378">
        <v>48.06065737612753</v>
      </c>
      <c r="D378" t="s">
        <v>1771</v>
      </c>
      <c r="E378">
        <v>0.1</v>
      </c>
      <c r="F378" t="s">
        <v>1277</v>
      </c>
      <c r="G378">
        <v>3.7100000000000001E-2</v>
      </c>
      <c r="H378" t="s">
        <v>161</v>
      </c>
      <c r="I378">
        <v>-9788481</v>
      </c>
      <c r="J378">
        <v>6116952</v>
      </c>
      <c r="K378" t="s">
        <v>1138</v>
      </c>
      <c r="L378" t="s">
        <v>1710</v>
      </c>
      <c r="T378" t="s">
        <v>1136</v>
      </c>
      <c r="U378">
        <v>7.3304777992277996</v>
      </c>
      <c r="V378" t="s">
        <v>1138</v>
      </c>
      <c r="W378">
        <v>0.1416</v>
      </c>
      <c r="X378">
        <v>10</v>
      </c>
      <c r="Y378">
        <v>8.9</v>
      </c>
      <c r="Z378">
        <v>8.9</v>
      </c>
      <c r="AA378">
        <v>20</v>
      </c>
      <c r="AB378">
        <v>26</v>
      </c>
      <c r="AC378">
        <v>0.95699999999999996</v>
      </c>
      <c r="AD378">
        <v>67</v>
      </c>
      <c r="AE378">
        <v>0.15209790209790211</v>
      </c>
      <c r="AF378">
        <v>2.86</v>
      </c>
      <c r="AG378" t="s">
        <v>1136</v>
      </c>
      <c r="AH378" t="s">
        <v>1138</v>
      </c>
      <c r="AI378">
        <v>29</v>
      </c>
      <c r="AJ378">
        <v>9.6666666666666672E-3</v>
      </c>
      <c r="AK378">
        <v>9.6666666666666679</v>
      </c>
      <c r="AL378" t="s">
        <v>1712</v>
      </c>
      <c r="AM378">
        <v>53840.794506871687</v>
      </c>
      <c r="AN378">
        <v>1.51</v>
      </c>
      <c r="AO378">
        <v>0.09</v>
      </c>
      <c r="AP378">
        <v>0.19</v>
      </c>
      <c r="AQ378">
        <v>1.22</v>
      </c>
      <c r="AR378">
        <v>1.1599999999999999</v>
      </c>
      <c r="AS378">
        <v>0.04</v>
      </c>
      <c r="AT378">
        <v>0.02</v>
      </c>
      <c r="AU378">
        <v>0.02</v>
      </c>
      <c r="AV378">
        <v>2.52</v>
      </c>
      <c r="AW378">
        <v>1.52</v>
      </c>
      <c r="AX378">
        <v>0.21</v>
      </c>
      <c r="AY378">
        <v>0.53</v>
      </c>
      <c r="AZ378">
        <v>0</v>
      </c>
      <c r="BA378">
        <v>1.23</v>
      </c>
      <c r="BB378">
        <v>0.08</v>
      </c>
      <c r="BC378">
        <v>0.21</v>
      </c>
      <c r="BD378">
        <v>0.27</v>
      </c>
      <c r="BE378">
        <v>8.5</v>
      </c>
      <c r="BF378">
        <v>7.81</v>
      </c>
      <c r="BG378">
        <v>0.24</v>
      </c>
      <c r="BH378">
        <v>0.45</v>
      </c>
      <c r="BI378">
        <v>0</v>
      </c>
      <c r="BJ378">
        <v>0.04</v>
      </c>
      <c r="BK378">
        <v>7.77</v>
      </c>
      <c r="BL378">
        <v>0</v>
      </c>
      <c r="BM378">
        <v>2.0299999999999998</v>
      </c>
      <c r="BN378">
        <v>0.21</v>
      </c>
      <c r="BO378">
        <v>0.46</v>
      </c>
      <c r="BP378">
        <v>1.36</v>
      </c>
      <c r="BQ378">
        <v>1.1399999999999999</v>
      </c>
      <c r="BR378">
        <v>0.06</v>
      </c>
      <c r="BS378">
        <v>0.16</v>
      </c>
      <c r="BT378">
        <v>0</v>
      </c>
      <c r="BU378">
        <v>8.91</v>
      </c>
      <c r="BV378">
        <v>7.85</v>
      </c>
      <c r="BW378">
        <v>0.34</v>
      </c>
      <c r="BX378">
        <v>0.72</v>
      </c>
      <c r="BY378">
        <v>0</v>
      </c>
      <c r="BZ378">
        <v>0.04</v>
      </c>
      <c r="CA378">
        <v>7.81</v>
      </c>
      <c r="CB378">
        <v>0</v>
      </c>
      <c r="CC378">
        <f t="shared" si="10"/>
        <v>2.75</v>
      </c>
      <c r="CD378">
        <v>3.96</v>
      </c>
      <c r="CE378">
        <v>0.34230769230769231</v>
      </c>
      <c r="CF378">
        <v>0.44500000000000001</v>
      </c>
      <c r="CG378">
        <v>0.1492537313432836</v>
      </c>
      <c r="CH378">
        <v>0.33461538461538459</v>
      </c>
      <c r="CI378">
        <v>0</v>
      </c>
      <c r="CJ378">
        <v>17371</v>
      </c>
      <c r="CK378" t="s">
        <v>141</v>
      </c>
      <c r="CL378" t="s">
        <v>475</v>
      </c>
      <c r="CM378" t="s">
        <v>143</v>
      </c>
      <c r="CN378">
        <v>0.26991676583699997</v>
      </c>
      <c r="CO378">
        <v>95.554033356883096</v>
      </c>
      <c r="CP378">
        <v>377</v>
      </c>
      <c r="CQ378" t="s">
        <v>1018</v>
      </c>
      <c r="CR378">
        <v>144</v>
      </c>
      <c r="CS378" t="s">
        <v>650</v>
      </c>
      <c r="CT378" t="s">
        <v>651</v>
      </c>
      <c r="CU378" t="s">
        <v>640</v>
      </c>
      <c r="CV378" t="s">
        <v>652</v>
      </c>
      <c r="CW378" t="s">
        <v>653</v>
      </c>
      <c r="CX378" t="s">
        <v>654</v>
      </c>
      <c r="CY378" t="s">
        <v>655</v>
      </c>
      <c r="CZ378" t="s">
        <v>645</v>
      </c>
      <c r="DA378" t="s">
        <v>152</v>
      </c>
      <c r="DB378" t="s">
        <v>178</v>
      </c>
      <c r="DC378" t="s">
        <v>656</v>
      </c>
      <c r="DD378" t="s">
        <v>657</v>
      </c>
      <c r="DE378">
        <v>10350</v>
      </c>
      <c r="DF378">
        <v>-84.596498999999994</v>
      </c>
      <c r="DG378">
        <v>38.291331</v>
      </c>
      <c r="DH378">
        <v>4500</v>
      </c>
      <c r="DI378">
        <v>200</v>
      </c>
      <c r="DL378">
        <v>10</v>
      </c>
      <c r="DM378">
        <v>8</v>
      </c>
      <c r="DN378">
        <v>12</v>
      </c>
      <c r="DO378">
        <v>50</v>
      </c>
      <c r="DP378">
        <v>25</v>
      </c>
      <c r="DQ378">
        <v>100</v>
      </c>
      <c r="DS378" t="s">
        <v>658</v>
      </c>
      <c r="DT378">
        <v>1.2500000000000001E-2</v>
      </c>
      <c r="DU378">
        <v>1.2500000000000001E-2</v>
      </c>
      <c r="DV378">
        <v>0.32500000000000001</v>
      </c>
      <c r="DW378">
        <v>0.32500000000000001</v>
      </c>
      <c r="DX378">
        <v>0.32500000000000001</v>
      </c>
      <c r="DY378">
        <v>305.09022203734258</v>
      </c>
      <c r="DZ378" s="4">
        <v>3.9670000000000001</v>
      </c>
      <c r="EA378" s="4" t="s">
        <v>1405</v>
      </c>
      <c r="EB378" s="4" t="s">
        <v>1406</v>
      </c>
      <c r="EC378">
        <v>4.9119999999999999</v>
      </c>
      <c r="ED378">
        <v>737</v>
      </c>
      <c r="EE378" t="s">
        <v>1712</v>
      </c>
      <c r="EF378">
        <v>0.44170861759643548</v>
      </c>
      <c r="EH378">
        <f t="shared" si="11"/>
        <v>0.58000000000000007</v>
      </c>
      <c r="EI378">
        <v>3.38</v>
      </c>
      <c r="EJ378">
        <v>3.65</v>
      </c>
    </row>
    <row r="379" spans="1:140" x14ac:dyDescent="0.35">
      <c r="A379" s="1">
        <v>377</v>
      </c>
      <c r="B379">
        <v>-86.13479033789632</v>
      </c>
      <c r="C379">
        <v>48.06065737612753</v>
      </c>
      <c r="D379" t="s">
        <v>1772</v>
      </c>
      <c r="E379">
        <v>0.1</v>
      </c>
      <c r="F379" t="s">
        <v>326</v>
      </c>
      <c r="G379">
        <v>3.7100000000000001E-2</v>
      </c>
      <c r="H379" t="s">
        <v>136</v>
      </c>
      <c r="I379">
        <v>-9588481</v>
      </c>
      <c r="J379">
        <v>6116952</v>
      </c>
      <c r="K379" t="s">
        <v>1138</v>
      </c>
      <c r="L379" t="s">
        <v>1710</v>
      </c>
      <c r="T379" t="s">
        <v>1136</v>
      </c>
      <c r="U379">
        <v>7.3304777992277996</v>
      </c>
      <c r="V379" t="s">
        <v>1138</v>
      </c>
      <c r="W379">
        <v>0.1416</v>
      </c>
      <c r="X379">
        <v>10</v>
      </c>
      <c r="Y379">
        <v>8.9</v>
      </c>
      <c r="Z379">
        <v>8.9</v>
      </c>
      <c r="AA379">
        <v>20</v>
      </c>
      <c r="AB379">
        <v>26</v>
      </c>
      <c r="AC379">
        <v>0.95699999999999996</v>
      </c>
      <c r="AD379">
        <v>67</v>
      </c>
      <c r="AE379">
        <v>0.15209790209790211</v>
      </c>
      <c r="AF379">
        <v>2.86</v>
      </c>
      <c r="AG379" t="s">
        <v>1136</v>
      </c>
      <c r="AH379" t="s">
        <v>1138</v>
      </c>
      <c r="AI379">
        <v>29</v>
      </c>
      <c r="AJ379">
        <v>9.6666666666666672E-3</v>
      </c>
      <c r="AK379">
        <v>9.6666666666666679</v>
      </c>
      <c r="AL379" t="s">
        <v>1712</v>
      </c>
      <c r="AM379">
        <v>193329.33137482169</v>
      </c>
      <c r="AN379">
        <v>1.51</v>
      </c>
      <c r="AO379">
        <v>0.09</v>
      </c>
      <c r="AP379">
        <v>0.19</v>
      </c>
      <c r="AQ379">
        <v>1.22</v>
      </c>
      <c r="AR379">
        <v>1.1599999999999999</v>
      </c>
      <c r="AS379">
        <v>0.04</v>
      </c>
      <c r="AT379">
        <v>0.02</v>
      </c>
      <c r="AU379">
        <v>0.02</v>
      </c>
      <c r="AV379">
        <v>2.52</v>
      </c>
      <c r="AW379">
        <v>1.52</v>
      </c>
      <c r="AX379">
        <v>0.21</v>
      </c>
      <c r="AY379">
        <v>0.53</v>
      </c>
      <c r="AZ379">
        <v>0</v>
      </c>
      <c r="BA379">
        <v>1.23</v>
      </c>
      <c r="BB379">
        <v>0.08</v>
      </c>
      <c r="BC379">
        <v>0.21</v>
      </c>
      <c r="BD379">
        <v>0.27</v>
      </c>
      <c r="BE379">
        <v>8.5</v>
      </c>
      <c r="BF379">
        <v>7.81</v>
      </c>
      <c r="BG379">
        <v>0.24</v>
      </c>
      <c r="BH379">
        <v>0.45</v>
      </c>
      <c r="BI379">
        <v>0</v>
      </c>
      <c r="BJ379">
        <v>0.04</v>
      </c>
      <c r="BK379">
        <v>7.77</v>
      </c>
      <c r="BL379">
        <v>0</v>
      </c>
      <c r="BM379">
        <v>2.0299999999999998</v>
      </c>
      <c r="BN379">
        <v>0.21</v>
      </c>
      <c r="BO379">
        <v>0.46</v>
      </c>
      <c r="BP379">
        <v>1.36</v>
      </c>
      <c r="BQ379">
        <v>1.1399999999999999</v>
      </c>
      <c r="BR379">
        <v>0.06</v>
      </c>
      <c r="BS379">
        <v>0.16</v>
      </c>
      <c r="BT379">
        <v>0</v>
      </c>
      <c r="BU379">
        <v>8.91</v>
      </c>
      <c r="BV379">
        <v>7.85</v>
      </c>
      <c r="BW379">
        <v>0.34</v>
      </c>
      <c r="BX379">
        <v>0.72</v>
      </c>
      <c r="BY379">
        <v>0</v>
      </c>
      <c r="BZ379">
        <v>0.04</v>
      </c>
      <c r="CA379">
        <v>7.81</v>
      </c>
      <c r="CB379">
        <v>0</v>
      </c>
      <c r="CC379">
        <f t="shared" si="10"/>
        <v>2.75</v>
      </c>
      <c r="CD379">
        <v>3.96</v>
      </c>
      <c r="CE379">
        <v>0.34230769230769231</v>
      </c>
      <c r="CF379">
        <v>0.44500000000000001</v>
      </c>
      <c r="CG379">
        <v>0.1492537313432836</v>
      </c>
      <c r="CH379">
        <v>0.33461538461538459</v>
      </c>
      <c r="CI379">
        <v>0</v>
      </c>
      <c r="CJ379">
        <v>10023</v>
      </c>
      <c r="CK379" t="s">
        <v>169</v>
      </c>
      <c r="CL379" t="s">
        <v>1410</v>
      </c>
      <c r="CM379" t="s">
        <v>143</v>
      </c>
      <c r="CN379">
        <v>0.118607593146</v>
      </c>
      <c r="CO379">
        <v>168.33734556165851</v>
      </c>
      <c r="CP379">
        <v>378</v>
      </c>
      <c r="CQ379" t="s">
        <v>1018</v>
      </c>
      <c r="CR379">
        <v>144</v>
      </c>
      <c r="CS379" t="s">
        <v>650</v>
      </c>
      <c r="CT379" t="s">
        <v>651</v>
      </c>
      <c r="CU379" t="s">
        <v>640</v>
      </c>
      <c r="CV379" t="s">
        <v>652</v>
      </c>
      <c r="CW379" t="s">
        <v>653</v>
      </c>
      <c r="CX379" t="s">
        <v>654</v>
      </c>
      <c r="CY379" t="s">
        <v>655</v>
      </c>
      <c r="CZ379" t="s">
        <v>645</v>
      </c>
      <c r="DA379" t="s">
        <v>152</v>
      </c>
      <c r="DB379" t="s">
        <v>178</v>
      </c>
      <c r="DC379" t="s">
        <v>656</v>
      </c>
      <c r="DD379" t="s">
        <v>657</v>
      </c>
      <c r="DE379">
        <v>10350</v>
      </c>
      <c r="DF379">
        <v>-84.596498999999994</v>
      </c>
      <c r="DG379">
        <v>38.291331</v>
      </c>
      <c r="DH379">
        <v>4500</v>
      </c>
      <c r="DI379">
        <v>200</v>
      </c>
      <c r="DL379">
        <v>10</v>
      </c>
      <c r="DM379">
        <v>8</v>
      </c>
      <c r="DN379">
        <v>12</v>
      </c>
      <c r="DO379">
        <v>50</v>
      </c>
      <c r="DP379">
        <v>25</v>
      </c>
      <c r="DQ379">
        <v>100</v>
      </c>
      <c r="DS379" t="s">
        <v>658</v>
      </c>
      <c r="DT379">
        <v>1.2500000000000001E-2</v>
      </c>
      <c r="DU379">
        <v>1.2500000000000001E-2</v>
      </c>
      <c r="DV379">
        <v>0.32500000000000001</v>
      </c>
      <c r="DW379">
        <v>0.32500000000000001</v>
      </c>
      <c r="DX379">
        <v>0.32500000000000001</v>
      </c>
      <c r="DY379">
        <v>239.79525810780891</v>
      </c>
      <c r="DZ379" s="4">
        <v>3.9670000000000001</v>
      </c>
      <c r="EA379" s="4" t="s">
        <v>1405</v>
      </c>
      <c r="EB379" s="4" t="s">
        <v>1406</v>
      </c>
      <c r="EC379">
        <v>4.9119999999999999</v>
      </c>
      <c r="ED379">
        <v>438</v>
      </c>
      <c r="EE379" t="s">
        <v>1632</v>
      </c>
      <c r="EF379">
        <v>1.5834853875160251</v>
      </c>
      <c r="EH379">
        <f t="shared" si="11"/>
        <v>0.58000000000000007</v>
      </c>
      <c r="EI379">
        <v>3.38</v>
      </c>
      <c r="EJ379">
        <v>3.65</v>
      </c>
    </row>
    <row r="380" spans="1:140" x14ac:dyDescent="0.35">
      <c r="A380" s="1">
        <v>378</v>
      </c>
      <c r="B380">
        <v>-123.8640322709162</v>
      </c>
      <c r="C380">
        <v>49.247442607724963</v>
      </c>
      <c r="D380" t="s">
        <v>1773</v>
      </c>
      <c r="E380">
        <v>0.1</v>
      </c>
      <c r="F380" t="s">
        <v>135</v>
      </c>
      <c r="G380">
        <v>0.1956</v>
      </c>
      <c r="H380" t="s">
        <v>136</v>
      </c>
      <c r="I380">
        <v>-13788481</v>
      </c>
      <c r="J380">
        <v>6316952</v>
      </c>
      <c r="K380" t="s">
        <v>1433</v>
      </c>
      <c r="L380" t="s">
        <v>1774</v>
      </c>
      <c r="M380">
        <v>37</v>
      </c>
      <c r="N380">
        <v>4.7510000000000003</v>
      </c>
      <c r="O380">
        <v>4</v>
      </c>
      <c r="P380">
        <v>9</v>
      </c>
      <c r="Q380">
        <v>53</v>
      </c>
      <c r="R380">
        <v>73</v>
      </c>
      <c r="S380">
        <v>226843</v>
      </c>
      <c r="T380" t="s">
        <v>1646</v>
      </c>
      <c r="U380">
        <v>8.5625160875160873</v>
      </c>
      <c r="V380" t="s">
        <v>1433</v>
      </c>
      <c r="W380">
        <v>0.1013</v>
      </c>
      <c r="X380">
        <v>10</v>
      </c>
      <c r="Y380">
        <v>8.9</v>
      </c>
      <c r="Z380">
        <v>8.9</v>
      </c>
      <c r="AA380">
        <v>20</v>
      </c>
      <c r="AB380">
        <v>26</v>
      </c>
      <c r="AC380">
        <v>0.249</v>
      </c>
      <c r="AD380">
        <v>67</v>
      </c>
      <c r="AE380">
        <v>3.9574062301335033E-2</v>
      </c>
      <c r="AF380">
        <v>2.86</v>
      </c>
      <c r="AG380" t="s">
        <v>1646</v>
      </c>
      <c r="AH380" t="s">
        <v>1433</v>
      </c>
      <c r="AI380">
        <v>75</v>
      </c>
      <c r="AJ380">
        <v>2.5000000000000001E-2</v>
      </c>
      <c r="AK380">
        <v>25</v>
      </c>
      <c r="AL380" t="s">
        <v>1775</v>
      </c>
      <c r="AM380">
        <v>95694.419192567002</v>
      </c>
      <c r="AN380">
        <v>1.74</v>
      </c>
      <c r="AO380">
        <v>0.09</v>
      </c>
      <c r="AP380">
        <v>0.19</v>
      </c>
      <c r="AQ380">
        <v>1.45</v>
      </c>
      <c r="AR380">
        <v>1.35</v>
      </c>
      <c r="AS380">
        <v>0.09</v>
      </c>
      <c r="AT380">
        <v>0.01</v>
      </c>
      <c r="AU380">
        <v>0.02</v>
      </c>
      <c r="AV380">
        <v>2.75</v>
      </c>
      <c r="AW380">
        <v>1.75</v>
      </c>
      <c r="AX380">
        <v>0.21</v>
      </c>
      <c r="AY380">
        <v>0.53</v>
      </c>
      <c r="AZ380">
        <v>0</v>
      </c>
      <c r="BA380">
        <v>1.44</v>
      </c>
      <c r="BB380">
        <v>0.16</v>
      </c>
      <c r="BC380">
        <v>0.15</v>
      </c>
      <c r="BD380">
        <v>0.27</v>
      </c>
      <c r="BE380">
        <v>6.31</v>
      </c>
      <c r="BF380">
        <v>5.63</v>
      </c>
      <c r="BG380">
        <v>0.24</v>
      </c>
      <c r="BH380">
        <v>0.45</v>
      </c>
      <c r="BI380">
        <v>0</v>
      </c>
      <c r="BJ380">
        <v>0.08</v>
      </c>
      <c r="BK380">
        <v>5.55</v>
      </c>
      <c r="BL380">
        <v>0</v>
      </c>
      <c r="BM380">
        <v>2.23</v>
      </c>
      <c r="BN380">
        <v>0.21</v>
      </c>
      <c r="BO380">
        <v>0.46</v>
      </c>
      <c r="BP380">
        <v>1.56</v>
      </c>
      <c r="BQ380">
        <v>1.34</v>
      </c>
      <c r="BR380">
        <v>0.12</v>
      </c>
      <c r="BS380">
        <v>0.11</v>
      </c>
      <c r="BT380">
        <v>0</v>
      </c>
      <c r="BU380">
        <v>6.72</v>
      </c>
      <c r="BV380">
        <v>5.66</v>
      </c>
      <c r="BW380">
        <v>0.34</v>
      </c>
      <c r="BX380">
        <v>0.72</v>
      </c>
      <c r="BY380">
        <v>0</v>
      </c>
      <c r="BZ380">
        <v>0.08</v>
      </c>
      <c r="CA380">
        <v>5.58</v>
      </c>
      <c r="CB380">
        <v>0</v>
      </c>
      <c r="CC380">
        <f t="shared" si="10"/>
        <v>2.75</v>
      </c>
      <c r="CD380">
        <v>3.96</v>
      </c>
      <c r="CE380">
        <v>0.34230769230769231</v>
      </c>
      <c r="CF380">
        <v>0.44500000000000001</v>
      </c>
      <c r="CG380">
        <v>0.1492537313432836</v>
      </c>
      <c r="CH380">
        <v>8.7062937062937065E-2</v>
      </c>
      <c r="CI380">
        <v>0</v>
      </c>
      <c r="CJ380">
        <v>16282</v>
      </c>
      <c r="CK380" t="s">
        <v>141</v>
      </c>
      <c r="CL380" t="s">
        <v>845</v>
      </c>
      <c r="CM380" t="s">
        <v>143</v>
      </c>
      <c r="CN380">
        <v>0.1441965405</v>
      </c>
      <c r="CO380">
        <v>112.7106508935494</v>
      </c>
      <c r="CP380">
        <v>379</v>
      </c>
      <c r="CQ380" t="s">
        <v>1776</v>
      </c>
      <c r="CR380">
        <v>49</v>
      </c>
      <c r="CS380" t="s">
        <v>1558</v>
      </c>
      <c r="CT380" t="s">
        <v>1559</v>
      </c>
      <c r="CU380" t="s">
        <v>1560</v>
      </c>
      <c r="CV380" t="s">
        <v>1561</v>
      </c>
      <c r="CW380" t="s">
        <v>1562</v>
      </c>
      <c r="CX380" t="s">
        <v>1563</v>
      </c>
      <c r="CY380" t="s">
        <v>1564</v>
      </c>
      <c r="CZ380" t="s">
        <v>1339</v>
      </c>
      <c r="DA380" t="s">
        <v>152</v>
      </c>
      <c r="DB380" t="s">
        <v>153</v>
      </c>
      <c r="DC380" t="s">
        <v>459</v>
      </c>
      <c r="DD380" t="s">
        <v>1565</v>
      </c>
      <c r="DE380">
        <v>4809</v>
      </c>
      <c r="DF380">
        <v>-111.57566799999999</v>
      </c>
      <c r="DG380">
        <v>48.433261000000002</v>
      </c>
      <c r="DH380">
        <v>3400</v>
      </c>
      <c r="DI380">
        <v>400</v>
      </c>
      <c r="DL380">
        <v>7</v>
      </c>
      <c r="DM380">
        <v>5</v>
      </c>
      <c r="DN380">
        <v>10</v>
      </c>
      <c r="DO380">
        <v>10</v>
      </c>
      <c r="DP380">
        <v>1</v>
      </c>
      <c r="DQ380">
        <v>50</v>
      </c>
      <c r="DR380" t="s">
        <v>866</v>
      </c>
      <c r="DS380" t="s">
        <v>1566</v>
      </c>
      <c r="DT380">
        <v>1.2500000000000001E-2</v>
      </c>
      <c r="DU380">
        <v>1.2500000000000001E-2</v>
      </c>
      <c r="DV380">
        <v>0.32500000000000001</v>
      </c>
      <c r="DW380">
        <v>0.32500000000000001</v>
      </c>
      <c r="DX380">
        <v>0.32500000000000001</v>
      </c>
      <c r="DY380">
        <v>5.0527918048137606</v>
      </c>
      <c r="DZ380" s="4">
        <v>4.9960000000000004</v>
      </c>
      <c r="EA380" s="4" t="s">
        <v>1649</v>
      </c>
      <c r="EB380" s="4" t="s">
        <v>1650</v>
      </c>
      <c r="EC380">
        <v>5.8609999999999998</v>
      </c>
      <c r="ED380">
        <v>323</v>
      </c>
      <c r="EE380" t="s">
        <v>1775</v>
      </c>
      <c r="EF380">
        <v>0.81150161232367868</v>
      </c>
      <c r="EH380">
        <f t="shared" si="11"/>
        <v>0.58000000000000007</v>
      </c>
      <c r="EI380">
        <v>3.38</v>
      </c>
      <c r="EJ380">
        <v>3.65</v>
      </c>
    </row>
    <row r="381" spans="1:140" x14ac:dyDescent="0.35">
      <c r="A381" s="1">
        <v>379</v>
      </c>
      <c r="B381">
        <v>-122.0674017026772</v>
      </c>
      <c r="C381">
        <v>49.247442607724963</v>
      </c>
      <c r="D381" t="s">
        <v>1777</v>
      </c>
      <c r="E381">
        <v>0.1</v>
      </c>
      <c r="F381" t="s">
        <v>135</v>
      </c>
      <c r="G381">
        <v>0.1956</v>
      </c>
      <c r="H381" t="s">
        <v>161</v>
      </c>
      <c r="I381">
        <v>-13588481</v>
      </c>
      <c r="J381">
        <v>6316952</v>
      </c>
      <c r="K381" t="s">
        <v>1433</v>
      </c>
      <c r="L381" t="s">
        <v>1774</v>
      </c>
      <c r="M381">
        <v>37</v>
      </c>
      <c r="N381">
        <v>4.7510000000000003</v>
      </c>
      <c r="O381">
        <v>4</v>
      </c>
      <c r="P381">
        <v>9</v>
      </c>
      <c r="Q381">
        <v>53</v>
      </c>
      <c r="R381">
        <v>73</v>
      </c>
      <c r="S381">
        <v>226843</v>
      </c>
      <c r="T381" t="s">
        <v>1646</v>
      </c>
      <c r="U381">
        <v>8.5625160875160873</v>
      </c>
      <c r="V381" t="s">
        <v>1433</v>
      </c>
      <c r="W381">
        <v>0.1013</v>
      </c>
      <c r="X381">
        <v>10</v>
      </c>
      <c r="Y381">
        <v>8.9</v>
      </c>
      <c r="Z381">
        <v>8.9</v>
      </c>
      <c r="AA381">
        <v>20</v>
      </c>
      <c r="AB381">
        <v>26</v>
      </c>
      <c r="AC381">
        <v>0.249</v>
      </c>
      <c r="AD381">
        <v>67</v>
      </c>
      <c r="AE381">
        <v>3.9574062301335033E-2</v>
      </c>
      <c r="AF381">
        <v>2.86</v>
      </c>
      <c r="AG381" t="s">
        <v>1646</v>
      </c>
      <c r="AH381" t="s">
        <v>1433</v>
      </c>
      <c r="AI381">
        <v>75</v>
      </c>
      <c r="AJ381">
        <v>2.5000000000000001E-2</v>
      </c>
      <c r="AK381">
        <v>25</v>
      </c>
      <c r="AL381" t="s">
        <v>1775</v>
      </c>
      <c r="AM381">
        <v>41789.222981655628</v>
      </c>
      <c r="AN381">
        <v>1.74</v>
      </c>
      <c r="AO381">
        <v>0.09</v>
      </c>
      <c r="AP381">
        <v>0.19</v>
      </c>
      <c r="AQ381">
        <v>1.45</v>
      </c>
      <c r="AR381">
        <v>1.35</v>
      </c>
      <c r="AS381">
        <v>0.09</v>
      </c>
      <c r="AT381">
        <v>0.01</v>
      </c>
      <c r="AU381">
        <v>0.02</v>
      </c>
      <c r="AV381">
        <v>2.75</v>
      </c>
      <c r="AW381">
        <v>1.75</v>
      </c>
      <c r="AX381">
        <v>0.21</v>
      </c>
      <c r="AY381">
        <v>0.53</v>
      </c>
      <c r="AZ381">
        <v>0</v>
      </c>
      <c r="BA381">
        <v>1.44</v>
      </c>
      <c r="BB381">
        <v>0.16</v>
      </c>
      <c r="BC381">
        <v>0.15</v>
      </c>
      <c r="BD381">
        <v>0.27</v>
      </c>
      <c r="BE381">
        <v>6.31</v>
      </c>
      <c r="BF381">
        <v>5.63</v>
      </c>
      <c r="BG381">
        <v>0.24</v>
      </c>
      <c r="BH381">
        <v>0.45</v>
      </c>
      <c r="BI381">
        <v>0</v>
      </c>
      <c r="BJ381">
        <v>0.08</v>
      </c>
      <c r="BK381">
        <v>5.55</v>
      </c>
      <c r="BL381">
        <v>0</v>
      </c>
      <c r="BM381">
        <v>2.23</v>
      </c>
      <c r="BN381">
        <v>0.21</v>
      </c>
      <c r="BO381">
        <v>0.46</v>
      </c>
      <c r="BP381">
        <v>1.56</v>
      </c>
      <c r="BQ381">
        <v>1.34</v>
      </c>
      <c r="BR381">
        <v>0.12</v>
      </c>
      <c r="BS381">
        <v>0.11</v>
      </c>
      <c r="BT381">
        <v>0</v>
      </c>
      <c r="BU381">
        <v>6.72</v>
      </c>
      <c r="BV381">
        <v>5.66</v>
      </c>
      <c r="BW381">
        <v>0.34</v>
      </c>
      <c r="BX381">
        <v>0.72</v>
      </c>
      <c r="BY381">
        <v>0</v>
      </c>
      <c r="BZ381">
        <v>0.08</v>
      </c>
      <c r="CA381">
        <v>5.58</v>
      </c>
      <c r="CB381">
        <v>0</v>
      </c>
      <c r="CC381">
        <f t="shared" si="10"/>
        <v>2.75</v>
      </c>
      <c r="CD381">
        <v>3.96</v>
      </c>
      <c r="CE381">
        <v>0.34230769230769231</v>
      </c>
      <c r="CF381">
        <v>0.44500000000000001</v>
      </c>
      <c r="CG381">
        <v>0.1492537313432836</v>
      </c>
      <c r="CH381">
        <v>8.7062937062937065E-2</v>
      </c>
      <c r="CI381">
        <v>0</v>
      </c>
      <c r="CJ381">
        <v>16213</v>
      </c>
      <c r="CK381" t="s">
        <v>141</v>
      </c>
      <c r="CL381" t="s">
        <v>845</v>
      </c>
      <c r="CM381" t="s">
        <v>143</v>
      </c>
      <c r="CN381">
        <v>0.185166833601</v>
      </c>
      <c r="CO381">
        <v>28.024978218319049</v>
      </c>
      <c r="CP381">
        <v>380</v>
      </c>
      <c r="CQ381" t="s">
        <v>1778</v>
      </c>
      <c r="CR381">
        <v>49</v>
      </c>
      <c r="CS381" t="s">
        <v>1558</v>
      </c>
      <c r="CT381" t="s">
        <v>1559</v>
      </c>
      <c r="CU381" t="s">
        <v>1560</v>
      </c>
      <c r="CV381" t="s">
        <v>1561</v>
      </c>
      <c r="CW381" t="s">
        <v>1562</v>
      </c>
      <c r="CX381" t="s">
        <v>1563</v>
      </c>
      <c r="CY381" t="s">
        <v>1564</v>
      </c>
      <c r="CZ381" t="s">
        <v>1339</v>
      </c>
      <c r="DA381" t="s">
        <v>152</v>
      </c>
      <c r="DB381" t="s">
        <v>153</v>
      </c>
      <c r="DC381" t="s">
        <v>459</v>
      </c>
      <c r="DD381" t="s">
        <v>1565</v>
      </c>
      <c r="DE381">
        <v>4809</v>
      </c>
      <c r="DF381">
        <v>-111.57566799999999</v>
      </c>
      <c r="DG381">
        <v>48.433261000000002</v>
      </c>
      <c r="DH381">
        <v>3400</v>
      </c>
      <c r="DI381">
        <v>400</v>
      </c>
      <c r="DL381">
        <v>7</v>
      </c>
      <c r="DM381">
        <v>5</v>
      </c>
      <c r="DN381">
        <v>10</v>
      </c>
      <c r="DO381">
        <v>10</v>
      </c>
      <c r="DP381">
        <v>1</v>
      </c>
      <c r="DQ381">
        <v>50</v>
      </c>
      <c r="DR381" t="s">
        <v>866</v>
      </c>
      <c r="DS381" t="s">
        <v>1566</v>
      </c>
      <c r="DT381">
        <v>1.2500000000000001E-2</v>
      </c>
      <c r="DU381">
        <v>1.2500000000000001E-2</v>
      </c>
      <c r="DV381">
        <v>0.32500000000000001</v>
      </c>
      <c r="DW381">
        <v>0.32500000000000001</v>
      </c>
      <c r="DX381">
        <v>0.32500000000000001</v>
      </c>
      <c r="DY381">
        <v>25.102029240937942</v>
      </c>
      <c r="DZ381" s="4">
        <v>4.9960000000000004</v>
      </c>
      <c r="EA381" s="4" t="s">
        <v>1649</v>
      </c>
      <c r="EB381" s="4" t="s">
        <v>1650</v>
      </c>
      <c r="EC381">
        <v>5.8609999999999998</v>
      </c>
      <c r="ED381">
        <v>323</v>
      </c>
      <c r="EE381" t="s">
        <v>1775</v>
      </c>
      <c r="EF381">
        <v>0.24569697609262989</v>
      </c>
      <c r="EH381">
        <f t="shared" si="11"/>
        <v>0.58000000000000007</v>
      </c>
      <c r="EI381">
        <v>3.38</v>
      </c>
      <c r="EJ381">
        <v>3.65</v>
      </c>
    </row>
    <row r="382" spans="1:140" x14ac:dyDescent="0.35">
      <c r="A382" s="1">
        <v>380</v>
      </c>
      <c r="B382">
        <v>-120.27077113443811</v>
      </c>
      <c r="C382">
        <v>49.247442607724963</v>
      </c>
      <c r="D382" t="s">
        <v>1779</v>
      </c>
      <c r="E382">
        <v>0.1</v>
      </c>
      <c r="F382" t="s">
        <v>135</v>
      </c>
      <c r="G382">
        <v>0.1956</v>
      </c>
      <c r="H382" t="s">
        <v>136</v>
      </c>
      <c r="I382">
        <v>-13388481</v>
      </c>
      <c r="J382">
        <v>6316952</v>
      </c>
      <c r="K382" t="s">
        <v>1433</v>
      </c>
      <c r="L382" t="s">
        <v>1780</v>
      </c>
      <c r="M382">
        <v>24</v>
      </c>
      <c r="N382">
        <v>4.7220000000000004</v>
      </c>
      <c r="O382">
        <v>4</v>
      </c>
      <c r="P382">
        <v>9</v>
      </c>
      <c r="Q382">
        <v>53</v>
      </c>
      <c r="R382">
        <v>47</v>
      </c>
      <c r="S382">
        <v>42098</v>
      </c>
      <c r="T382" t="s">
        <v>1646</v>
      </c>
      <c r="U382">
        <v>8.5625160875160873</v>
      </c>
      <c r="V382" t="s">
        <v>1433</v>
      </c>
      <c r="W382">
        <v>0.1013</v>
      </c>
      <c r="X382">
        <v>10</v>
      </c>
      <c r="Y382">
        <v>8.9</v>
      </c>
      <c r="Z382">
        <v>8.9</v>
      </c>
      <c r="AA382">
        <v>20</v>
      </c>
      <c r="AB382">
        <v>26</v>
      </c>
      <c r="AC382">
        <v>0.249</v>
      </c>
      <c r="AD382">
        <v>67</v>
      </c>
      <c r="AE382">
        <v>3.9574062301335033E-2</v>
      </c>
      <c r="AF382">
        <v>2.86</v>
      </c>
      <c r="AG382" t="s">
        <v>1646</v>
      </c>
      <c r="AH382" t="s">
        <v>1433</v>
      </c>
      <c r="AI382">
        <v>75</v>
      </c>
      <c r="AJ382">
        <v>2.5000000000000001E-2</v>
      </c>
      <c r="AK382">
        <v>25</v>
      </c>
      <c r="AL382" t="s">
        <v>1775</v>
      </c>
      <c r="AM382">
        <v>74505.477944907703</v>
      </c>
      <c r="AN382">
        <v>1.74</v>
      </c>
      <c r="AO382">
        <v>0.09</v>
      </c>
      <c r="AP382">
        <v>0.19</v>
      </c>
      <c r="AQ382">
        <v>1.45</v>
      </c>
      <c r="AR382">
        <v>1.35</v>
      </c>
      <c r="AS382">
        <v>0.09</v>
      </c>
      <c r="AT382">
        <v>0.01</v>
      </c>
      <c r="AU382">
        <v>0.02</v>
      </c>
      <c r="AV382">
        <v>2.75</v>
      </c>
      <c r="AW382">
        <v>1.75</v>
      </c>
      <c r="AX382">
        <v>0.21</v>
      </c>
      <c r="AY382">
        <v>0.53</v>
      </c>
      <c r="AZ382">
        <v>0</v>
      </c>
      <c r="BA382">
        <v>1.44</v>
      </c>
      <c r="BB382">
        <v>0.16</v>
      </c>
      <c r="BC382">
        <v>0.15</v>
      </c>
      <c r="BD382">
        <v>0.27</v>
      </c>
      <c r="BE382">
        <v>6.31</v>
      </c>
      <c r="BF382">
        <v>5.63</v>
      </c>
      <c r="BG382">
        <v>0.24</v>
      </c>
      <c r="BH382">
        <v>0.45</v>
      </c>
      <c r="BI382">
        <v>0</v>
      </c>
      <c r="BJ382">
        <v>0.08</v>
      </c>
      <c r="BK382">
        <v>5.55</v>
      </c>
      <c r="BL382">
        <v>0</v>
      </c>
      <c r="BM382">
        <v>2.23</v>
      </c>
      <c r="BN382">
        <v>0.21</v>
      </c>
      <c r="BO382">
        <v>0.46</v>
      </c>
      <c r="BP382">
        <v>1.56</v>
      </c>
      <c r="BQ382">
        <v>1.34</v>
      </c>
      <c r="BR382">
        <v>0.12</v>
      </c>
      <c r="BS382">
        <v>0.11</v>
      </c>
      <c r="BT382">
        <v>0</v>
      </c>
      <c r="BU382">
        <v>6.72</v>
      </c>
      <c r="BV382">
        <v>5.66</v>
      </c>
      <c r="BW382">
        <v>0.34</v>
      </c>
      <c r="BX382">
        <v>0.72</v>
      </c>
      <c r="BY382">
        <v>0</v>
      </c>
      <c r="BZ382">
        <v>0.08</v>
      </c>
      <c r="CA382">
        <v>5.58</v>
      </c>
      <c r="CB382">
        <v>0</v>
      </c>
      <c r="CC382">
        <f t="shared" si="10"/>
        <v>2.75</v>
      </c>
      <c r="CD382">
        <v>3.96</v>
      </c>
      <c r="CE382">
        <v>0.34230769230769231</v>
      </c>
      <c r="CF382">
        <v>0.44500000000000001</v>
      </c>
      <c r="CG382">
        <v>0.1492537313432836</v>
      </c>
      <c r="CH382">
        <v>8.7062937062937065E-2</v>
      </c>
      <c r="CI382">
        <v>0</v>
      </c>
      <c r="CJ382">
        <v>16213</v>
      </c>
      <c r="CK382" t="s">
        <v>141</v>
      </c>
      <c r="CL382" t="s">
        <v>845</v>
      </c>
      <c r="CM382" t="s">
        <v>143</v>
      </c>
      <c r="CN382">
        <v>0.185166833601</v>
      </c>
      <c r="CO382">
        <v>137.31139665064751</v>
      </c>
      <c r="CP382">
        <v>381</v>
      </c>
      <c r="CQ382" t="s">
        <v>1781</v>
      </c>
      <c r="CR382">
        <v>49</v>
      </c>
      <c r="CS382" t="s">
        <v>1558</v>
      </c>
      <c r="CT382" t="s">
        <v>1559</v>
      </c>
      <c r="CU382" t="s">
        <v>1560</v>
      </c>
      <c r="CV382" t="s">
        <v>1561</v>
      </c>
      <c r="CW382" t="s">
        <v>1562</v>
      </c>
      <c r="CX382" t="s">
        <v>1563</v>
      </c>
      <c r="CY382" t="s">
        <v>1564</v>
      </c>
      <c r="CZ382" t="s">
        <v>1339</v>
      </c>
      <c r="DA382" t="s">
        <v>152</v>
      </c>
      <c r="DB382" t="s">
        <v>153</v>
      </c>
      <c r="DC382" t="s">
        <v>459</v>
      </c>
      <c r="DD382" t="s">
        <v>1565</v>
      </c>
      <c r="DE382">
        <v>4809</v>
      </c>
      <c r="DF382">
        <v>-111.57566799999999</v>
      </c>
      <c r="DG382">
        <v>48.433261000000002</v>
      </c>
      <c r="DH382">
        <v>3400</v>
      </c>
      <c r="DI382">
        <v>400</v>
      </c>
      <c r="DL382">
        <v>7</v>
      </c>
      <c r="DM382">
        <v>5</v>
      </c>
      <c r="DN382">
        <v>10</v>
      </c>
      <c r="DO382">
        <v>10</v>
      </c>
      <c r="DP382">
        <v>1</v>
      </c>
      <c r="DQ382">
        <v>50</v>
      </c>
      <c r="DR382" t="s">
        <v>866</v>
      </c>
      <c r="DS382" t="s">
        <v>1566</v>
      </c>
      <c r="DT382">
        <v>1.2500000000000001E-2</v>
      </c>
      <c r="DU382">
        <v>1.2500000000000001E-2</v>
      </c>
      <c r="DV382">
        <v>0.32500000000000001</v>
      </c>
      <c r="DW382">
        <v>0.32500000000000001</v>
      </c>
      <c r="DX382">
        <v>0.32500000000000001</v>
      </c>
      <c r="DY382">
        <v>24.776728536311008</v>
      </c>
      <c r="DZ382" s="4">
        <v>4.9960000000000004</v>
      </c>
      <c r="EA382" s="4" t="s">
        <v>1649</v>
      </c>
      <c r="EB382" s="4" t="s">
        <v>1650</v>
      </c>
      <c r="EC382">
        <v>5.8609999999999998</v>
      </c>
      <c r="ED382">
        <v>323</v>
      </c>
      <c r="EE382" t="s">
        <v>1775</v>
      </c>
      <c r="EF382">
        <v>0.57309925001723383</v>
      </c>
      <c r="EH382">
        <f t="shared" si="11"/>
        <v>0.58000000000000007</v>
      </c>
      <c r="EI382">
        <v>3.38</v>
      </c>
      <c r="EJ382">
        <v>3.65</v>
      </c>
    </row>
    <row r="383" spans="1:140" x14ac:dyDescent="0.35">
      <c r="A383" s="1">
        <v>381</v>
      </c>
      <c r="B383">
        <v>-118.4741405661991</v>
      </c>
      <c r="C383">
        <v>49.247442607724963</v>
      </c>
      <c r="D383" t="s">
        <v>1782</v>
      </c>
      <c r="E383">
        <v>0.1</v>
      </c>
      <c r="F383" t="s">
        <v>135</v>
      </c>
      <c r="G383">
        <v>0.1956</v>
      </c>
      <c r="H383" t="s">
        <v>136</v>
      </c>
      <c r="I383">
        <v>-13188481</v>
      </c>
      <c r="J383">
        <v>6316952</v>
      </c>
      <c r="K383" t="s">
        <v>1433</v>
      </c>
      <c r="L383" t="s">
        <v>1733</v>
      </c>
      <c r="M383">
        <v>10</v>
      </c>
      <c r="N383">
        <v>4.6609999999999996</v>
      </c>
      <c r="O383">
        <v>4</v>
      </c>
      <c r="P383">
        <v>9</v>
      </c>
      <c r="Q383">
        <v>53</v>
      </c>
      <c r="R383">
        <v>19</v>
      </c>
      <c r="S383">
        <v>7178</v>
      </c>
      <c r="T383" t="s">
        <v>1646</v>
      </c>
      <c r="U383">
        <v>8.5625160875160873</v>
      </c>
      <c r="V383" t="s">
        <v>1433</v>
      </c>
      <c r="W383">
        <v>0.1013</v>
      </c>
      <c r="X383">
        <v>10</v>
      </c>
      <c r="Y383">
        <v>8.9</v>
      </c>
      <c r="Z383">
        <v>8.9</v>
      </c>
      <c r="AA383">
        <v>20</v>
      </c>
      <c r="AB383">
        <v>26</v>
      </c>
      <c r="AC383">
        <v>0.249</v>
      </c>
      <c r="AD383">
        <v>67</v>
      </c>
      <c r="AE383">
        <v>3.9574062301335033E-2</v>
      </c>
      <c r="AF383">
        <v>2.86</v>
      </c>
      <c r="AG383" t="s">
        <v>1646</v>
      </c>
      <c r="AH383" t="s">
        <v>1433</v>
      </c>
      <c r="AI383">
        <v>75</v>
      </c>
      <c r="AJ383">
        <v>2.5000000000000001E-2</v>
      </c>
      <c r="AK383">
        <v>25</v>
      </c>
      <c r="AL383" t="s">
        <v>1734</v>
      </c>
      <c r="AM383">
        <v>51083.005608435429</v>
      </c>
      <c r="AN383">
        <v>1.74</v>
      </c>
      <c r="AO383">
        <v>0.09</v>
      </c>
      <c r="AP383">
        <v>0.19</v>
      </c>
      <c r="AQ383">
        <v>1.45</v>
      </c>
      <c r="AR383">
        <v>1.35</v>
      </c>
      <c r="AS383">
        <v>0.09</v>
      </c>
      <c r="AT383">
        <v>0.01</v>
      </c>
      <c r="AU383">
        <v>0.02</v>
      </c>
      <c r="AV383">
        <v>2.75</v>
      </c>
      <c r="AW383">
        <v>1.75</v>
      </c>
      <c r="AX383">
        <v>0.21</v>
      </c>
      <c r="AY383">
        <v>0.53</v>
      </c>
      <c r="AZ383">
        <v>0</v>
      </c>
      <c r="BA383">
        <v>1.44</v>
      </c>
      <c r="BB383">
        <v>0.16</v>
      </c>
      <c r="BC383">
        <v>0.15</v>
      </c>
      <c r="BD383">
        <v>0.27</v>
      </c>
      <c r="BE383">
        <v>6.31</v>
      </c>
      <c r="BF383">
        <v>5.63</v>
      </c>
      <c r="BG383">
        <v>0.24</v>
      </c>
      <c r="BH383">
        <v>0.45</v>
      </c>
      <c r="BI383">
        <v>0</v>
      </c>
      <c r="BJ383">
        <v>0.08</v>
      </c>
      <c r="BK383">
        <v>5.55</v>
      </c>
      <c r="BL383">
        <v>0</v>
      </c>
      <c r="BM383">
        <v>2.23</v>
      </c>
      <c r="BN383">
        <v>0.21</v>
      </c>
      <c r="BO383">
        <v>0.46</v>
      </c>
      <c r="BP383">
        <v>1.56</v>
      </c>
      <c r="BQ383">
        <v>1.34</v>
      </c>
      <c r="BR383">
        <v>0.12</v>
      </c>
      <c r="BS383">
        <v>0.11</v>
      </c>
      <c r="BT383">
        <v>0</v>
      </c>
      <c r="BU383">
        <v>6.72</v>
      </c>
      <c r="BV383">
        <v>5.66</v>
      </c>
      <c r="BW383">
        <v>0.34</v>
      </c>
      <c r="BX383">
        <v>0.72</v>
      </c>
      <c r="BY383">
        <v>0</v>
      </c>
      <c r="BZ383">
        <v>0.08</v>
      </c>
      <c r="CA383">
        <v>5.58</v>
      </c>
      <c r="CB383">
        <v>0</v>
      </c>
      <c r="CC383">
        <f t="shared" si="10"/>
        <v>2.75</v>
      </c>
      <c r="CD383">
        <v>3.96</v>
      </c>
      <c r="CE383">
        <v>0.34230769230769231</v>
      </c>
      <c r="CF383">
        <v>0.44500000000000001</v>
      </c>
      <c r="CG383">
        <v>0.1492537313432836</v>
      </c>
      <c r="CH383">
        <v>8.7062937062937065E-2</v>
      </c>
      <c r="CI383">
        <v>0</v>
      </c>
      <c r="CJ383">
        <v>21455</v>
      </c>
      <c r="CK383" t="s">
        <v>141</v>
      </c>
      <c r="CL383" t="s">
        <v>1295</v>
      </c>
      <c r="CM383" t="s">
        <v>143</v>
      </c>
      <c r="CN383">
        <v>3.2081314265499997E-2</v>
      </c>
      <c r="CO383">
        <v>160.40148531598521</v>
      </c>
      <c r="CP383">
        <v>382</v>
      </c>
      <c r="CQ383" t="s">
        <v>1783</v>
      </c>
      <c r="CR383">
        <v>49</v>
      </c>
      <c r="CS383" t="s">
        <v>1558</v>
      </c>
      <c r="CT383" t="s">
        <v>1559</v>
      </c>
      <c r="CU383" t="s">
        <v>1560</v>
      </c>
      <c r="CV383" t="s">
        <v>1561</v>
      </c>
      <c r="CW383" t="s">
        <v>1562</v>
      </c>
      <c r="CX383" t="s">
        <v>1563</v>
      </c>
      <c r="CY383" t="s">
        <v>1564</v>
      </c>
      <c r="CZ383" t="s">
        <v>1339</v>
      </c>
      <c r="DA383" t="s">
        <v>152</v>
      </c>
      <c r="DB383" t="s">
        <v>153</v>
      </c>
      <c r="DC383" t="s">
        <v>459</v>
      </c>
      <c r="DD383" t="s">
        <v>1565</v>
      </c>
      <c r="DE383">
        <v>4809</v>
      </c>
      <c r="DF383">
        <v>-111.57566799999999</v>
      </c>
      <c r="DG383">
        <v>48.433261000000002</v>
      </c>
      <c r="DH383">
        <v>3400</v>
      </c>
      <c r="DI383">
        <v>400</v>
      </c>
      <c r="DL383">
        <v>7</v>
      </c>
      <c r="DM383">
        <v>5</v>
      </c>
      <c r="DN383">
        <v>10</v>
      </c>
      <c r="DO383">
        <v>10</v>
      </c>
      <c r="DP383">
        <v>1</v>
      </c>
      <c r="DQ383">
        <v>50</v>
      </c>
      <c r="DR383" t="s">
        <v>866</v>
      </c>
      <c r="DS383" t="s">
        <v>1566</v>
      </c>
      <c r="DT383">
        <v>1.2500000000000001E-2</v>
      </c>
      <c r="DU383">
        <v>1.2500000000000001E-2</v>
      </c>
      <c r="DV383">
        <v>0.32500000000000001</v>
      </c>
      <c r="DW383">
        <v>0.32500000000000001</v>
      </c>
      <c r="DX383">
        <v>0.32500000000000001</v>
      </c>
      <c r="DY383">
        <v>19.02446877473573</v>
      </c>
      <c r="DZ383" s="4">
        <v>4.9960000000000004</v>
      </c>
      <c r="EA383" s="4" t="s">
        <v>1649</v>
      </c>
      <c r="EB383" s="4" t="s">
        <v>1650</v>
      </c>
      <c r="EC383">
        <v>5.8609999999999998</v>
      </c>
      <c r="ED383">
        <v>143</v>
      </c>
      <c r="EE383" t="s">
        <v>1734</v>
      </c>
      <c r="EF383">
        <v>0.35654888452485961</v>
      </c>
      <c r="EH383">
        <f t="shared" si="11"/>
        <v>0.58000000000000007</v>
      </c>
      <c r="EI383">
        <v>3.38</v>
      </c>
      <c r="EJ383">
        <v>3.65</v>
      </c>
    </row>
    <row r="384" spans="1:140" x14ac:dyDescent="0.35">
      <c r="A384" s="1">
        <v>382</v>
      </c>
      <c r="B384">
        <v>-116.6775099979601</v>
      </c>
      <c r="C384">
        <v>49.247442607724963</v>
      </c>
      <c r="D384" t="s">
        <v>1784</v>
      </c>
      <c r="E384">
        <v>0.1</v>
      </c>
      <c r="F384" t="s">
        <v>135</v>
      </c>
      <c r="G384">
        <v>0.1956</v>
      </c>
      <c r="H384" t="s">
        <v>161</v>
      </c>
      <c r="I384">
        <v>-12988481</v>
      </c>
      <c r="J384">
        <v>6316952</v>
      </c>
      <c r="K384" t="s">
        <v>1304</v>
      </c>
      <c r="L384" t="s">
        <v>1785</v>
      </c>
      <c r="M384">
        <v>11</v>
      </c>
      <c r="N384">
        <v>3.9220000000000002</v>
      </c>
      <c r="O384">
        <v>4</v>
      </c>
      <c r="P384">
        <v>8</v>
      </c>
      <c r="Q384">
        <v>16</v>
      </c>
      <c r="R384">
        <v>21</v>
      </c>
      <c r="S384">
        <v>12057</v>
      </c>
      <c r="T384" t="s">
        <v>1306</v>
      </c>
      <c r="U384">
        <v>5.8816805527331848</v>
      </c>
      <c r="V384" t="s">
        <v>1304</v>
      </c>
      <c r="W384">
        <v>9.5100000000000004E-2</v>
      </c>
      <c r="X384">
        <v>10</v>
      </c>
      <c r="Y384">
        <v>8.9</v>
      </c>
      <c r="Z384">
        <v>8.9</v>
      </c>
      <c r="AA384">
        <v>20</v>
      </c>
      <c r="AB384">
        <v>26</v>
      </c>
      <c r="AC384">
        <v>0.38200000000000001</v>
      </c>
      <c r="AD384">
        <v>67</v>
      </c>
      <c r="AE384">
        <v>6.0712015257469797E-2</v>
      </c>
      <c r="AF384">
        <v>2.86</v>
      </c>
      <c r="AG384" t="s">
        <v>1306</v>
      </c>
      <c r="AH384" t="s">
        <v>1304</v>
      </c>
      <c r="AI384">
        <v>38</v>
      </c>
      <c r="AJ384">
        <v>1.266666666666667E-2</v>
      </c>
      <c r="AK384">
        <v>12.66666666666667</v>
      </c>
      <c r="AL384" t="s">
        <v>1734</v>
      </c>
      <c r="AM384">
        <v>57823.380155723033</v>
      </c>
      <c r="AN384">
        <v>1.27</v>
      </c>
      <c r="AO384">
        <v>0.09</v>
      </c>
      <c r="AP384">
        <v>0.19</v>
      </c>
      <c r="AQ384">
        <v>0.99</v>
      </c>
      <c r="AR384">
        <v>0.93</v>
      </c>
      <c r="AS384">
        <v>0.04</v>
      </c>
      <c r="AT384">
        <v>0.01</v>
      </c>
      <c r="AU384">
        <v>0.02</v>
      </c>
      <c r="AV384">
        <v>2.2200000000000002</v>
      </c>
      <c r="AW384">
        <v>1.22</v>
      </c>
      <c r="AX384">
        <v>0.21</v>
      </c>
      <c r="AY384">
        <v>0.53</v>
      </c>
      <c r="AZ384">
        <v>0</v>
      </c>
      <c r="BA384">
        <v>0.99</v>
      </c>
      <c r="BB384">
        <v>0.08</v>
      </c>
      <c r="BC384">
        <v>0.15</v>
      </c>
      <c r="BD384">
        <v>0.27</v>
      </c>
      <c r="BE384">
        <v>6.28</v>
      </c>
      <c r="BF384">
        <v>5.59</v>
      </c>
      <c r="BG384">
        <v>0.24</v>
      </c>
      <c r="BH384">
        <v>0.45</v>
      </c>
      <c r="BI384">
        <v>0</v>
      </c>
      <c r="BJ384">
        <v>0.04</v>
      </c>
      <c r="BK384">
        <v>5.55</v>
      </c>
      <c r="BL384">
        <v>0</v>
      </c>
      <c r="BM384">
        <v>1.76</v>
      </c>
      <c r="BN384">
        <v>0.21</v>
      </c>
      <c r="BO384">
        <v>0.46</v>
      </c>
      <c r="BP384">
        <v>1.0900000000000001</v>
      </c>
      <c r="BQ384">
        <v>0.92</v>
      </c>
      <c r="BR384">
        <v>0.06</v>
      </c>
      <c r="BS384">
        <v>0.11</v>
      </c>
      <c r="BT384">
        <v>0</v>
      </c>
      <c r="BU384">
        <v>6.68</v>
      </c>
      <c r="BV384">
        <v>5.62</v>
      </c>
      <c r="BW384">
        <v>0.34</v>
      </c>
      <c r="BX384">
        <v>0.72</v>
      </c>
      <c r="BY384">
        <v>0</v>
      </c>
      <c r="BZ384">
        <v>0.04</v>
      </c>
      <c r="CA384">
        <v>5.58</v>
      </c>
      <c r="CB384">
        <v>0</v>
      </c>
      <c r="CC384">
        <f t="shared" si="10"/>
        <v>2.75</v>
      </c>
      <c r="CD384">
        <v>3.96</v>
      </c>
      <c r="CE384">
        <v>0.34230769230769231</v>
      </c>
      <c r="CF384">
        <v>0.44500000000000001</v>
      </c>
      <c r="CG384">
        <v>0.1492537313432836</v>
      </c>
      <c r="CH384">
        <v>0.13356643356643361</v>
      </c>
      <c r="CI384">
        <v>0</v>
      </c>
      <c r="CJ384">
        <v>21455</v>
      </c>
      <c r="CK384" t="s">
        <v>141</v>
      </c>
      <c r="CL384" t="s">
        <v>1295</v>
      </c>
      <c r="CM384" t="s">
        <v>143</v>
      </c>
      <c r="CN384">
        <v>3.2081314265499997E-2</v>
      </c>
      <c r="CO384">
        <v>42.859839675450353</v>
      </c>
      <c r="CP384">
        <v>383</v>
      </c>
      <c r="CQ384" t="s">
        <v>1739</v>
      </c>
      <c r="CR384">
        <v>49</v>
      </c>
      <c r="CS384" t="s">
        <v>1558</v>
      </c>
      <c r="CT384" t="s">
        <v>1559</v>
      </c>
      <c r="CU384" t="s">
        <v>1560</v>
      </c>
      <c r="CV384" t="s">
        <v>1561</v>
      </c>
      <c r="CW384" t="s">
        <v>1562</v>
      </c>
      <c r="CX384" t="s">
        <v>1563</v>
      </c>
      <c r="CY384" t="s">
        <v>1564</v>
      </c>
      <c r="CZ384" t="s">
        <v>1339</v>
      </c>
      <c r="DA384" t="s">
        <v>152</v>
      </c>
      <c r="DB384" t="s">
        <v>153</v>
      </c>
      <c r="DC384" t="s">
        <v>459</v>
      </c>
      <c r="DD384" t="s">
        <v>1565</v>
      </c>
      <c r="DE384">
        <v>4809</v>
      </c>
      <c r="DF384">
        <v>-111.57566799999999</v>
      </c>
      <c r="DG384">
        <v>48.433261000000002</v>
      </c>
      <c r="DH384">
        <v>3400</v>
      </c>
      <c r="DI384">
        <v>400</v>
      </c>
      <c r="DL384">
        <v>7</v>
      </c>
      <c r="DM384">
        <v>5</v>
      </c>
      <c r="DN384">
        <v>10</v>
      </c>
      <c r="DO384">
        <v>10</v>
      </c>
      <c r="DP384">
        <v>1</v>
      </c>
      <c r="DQ384">
        <v>50</v>
      </c>
      <c r="DR384" t="s">
        <v>866</v>
      </c>
      <c r="DS384" t="s">
        <v>1566</v>
      </c>
      <c r="DT384">
        <v>1.2500000000000001E-2</v>
      </c>
      <c r="DU384">
        <v>1.2500000000000001E-2</v>
      </c>
      <c r="DV384">
        <v>0.32500000000000001</v>
      </c>
      <c r="DW384">
        <v>0.32500000000000001</v>
      </c>
      <c r="DX384">
        <v>0.32500000000000001</v>
      </c>
      <c r="DY384">
        <v>70.505002689026654</v>
      </c>
      <c r="DZ384" s="4">
        <v>4.016</v>
      </c>
      <c r="EA384" s="4" t="s">
        <v>1309</v>
      </c>
      <c r="EB384" s="4" t="s">
        <v>1310</v>
      </c>
      <c r="EC384">
        <v>4.6689999999999996</v>
      </c>
      <c r="ED384">
        <v>456</v>
      </c>
      <c r="EE384" t="s">
        <v>1738</v>
      </c>
      <c r="EF384">
        <v>0.41427530117569722</v>
      </c>
      <c r="EH384">
        <f t="shared" si="11"/>
        <v>0.58000000000000007</v>
      </c>
      <c r="EI384">
        <v>3.38</v>
      </c>
      <c r="EJ384">
        <v>3.65</v>
      </c>
    </row>
    <row r="385" spans="1:140" x14ac:dyDescent="0.35">
      <c r="A385" s="1">
        <v>383</v>
      </c>
      <c r="B385">
        <v>-114.88087942972101</v>
      </c>
      <c r="C385">
        <v>49.247442607724963</v>
      </c>
      <c r="D385" t="s">
        <v>1786</v>
      </c>
      <c r="E385">
        <v>0.02</v>
      </c>
      <c r="F385" t="s">
        <v>160</v>
      </c>
      <c r="G385">
        <v>0.1956</v>
      </c>
      <c r="H385" t="s">
        <v>161</v>
      </c>
      <c r="I385">
        <v>-12788481</v>
      </c>
      <c r="J385">
        <v>6316952</v>
      </c>
      <c r="K385" t="s">
        <v>1578</v>
      </c>
      <c r="L385" t="s">
        <v>833</v>
      </c>
      <c r="M385">
        <v>27</v>
      </c>
      <c r="N385">
        <v>3.8929999999999998</v>
      </c>
      <c r="O385">
        <v>4</v>
      </c>
      <c r="P385">
        <v>8</v>
      </c>
      <c r="Q385">
        <v>30</v>
      </c>
      <c r="R385">
        <v>53</v>
      </c>
      <c r="S385">
        <v>19678</v>
      </c>
      <c r="T385" t="s">
        <v>1560</v>
      </c>
      <c r="U385">
        <v>7.1869284698232052</v>
      </c>
      <c r="V385" t="s">
        <v>1578</v>
      </c>
      <c r="W385">
        <v>0.10829999999999999</v>
      </c>
      <c r="X385">
        <v>10</v>
      </c>
      <c r="Y385">
        <v>8.9</v>
      </c>
      <c r="Z385">
        <v>8.9</v>
      </c>
      <c r="AA385">
        <v>20</v>
      </c>
      <c r="AB385">
        <v>26</v>
      </c>
      <c r="AC385">
        <v>0.96899999999999997</v>
      </c>
      <c r="AD385">
        <v>67</v>
      </c>
      <c r="AE385">
        <v>0.15400508582326761</v>
      </c>
      <c r="AF385">
        <v>2.86</v>
      </c>
      <c r="AG385" t="s">
        <v>1560</v>
      </c>
      <c r="AH385" t="s">
        <v>1578</v>
      </c>
      <c r="AI385">
        <v>38</v>
      </c>
      <c r="AJ385">
        <v>1.266666666666667E-2</v>
      </c>
      <c r="AK385">
        <v>12.66666666666667</v>
      </c>
      <c r="AL385" t="s">
        <v>1742</v>
      </c>
      <c r="AM385">
        <v>45348.663189877981</v>
      </c>
      <c r="AN385">
        <v>1.48</v>
      </c>
      <c r="AO385">
        <v>0.09</v>
      </c>
      <c r="AP385">
        <v>0.19</v>
      </c>
      <c r="AQ385">
        <v>1.19</v>
      </c>
      <c r="AR385">
        <v>1.1399999999999999</v>
      </c>
      <c r="AS385">
        <v>0.04</v>
      </c>
      <c r="AT385">
        <v>0.01</v>
      </c>
      <c r="AU385">
        <v>0.02</v>
      </c>
      <c r="AV385">
        <v>2.4500000000000002</v>
      </c>
      <c r="AW385">
        <v>1.45</v>
      </c>
      <c r="AX385">
        <v>0.21</v>
      </c>
      <c r="AY385">
        <v>0.53</v>
      </c>
      <c r="AZ385">
        <v>0</v>
      </c>
      <c r="BA385">
        <v>1.21</v>
      </c>
      <c r="BB385">
        <v>0.08</v>
      </c>
      <c r="BC385">
        <v>0.17</v>
      </c>
      <c r="BD385">
        <v>0.27</v>
      </c>
      <c r="BE385">
        <v>6.83</v>
      </c>
      <c r="BF385">
        <v>6.14</v>
      </c>
      <c r="BG385">
        <v>0.24</v>
      </c>
      <c r="BH385">
        <v>0.45</v>
      </c>
      <c r="BI385">
        <v>0</v>
      </c>
      <c r="BJ385">
        <v>0.04</v>
      </c>
      <c r="BK385">
        <v>6.1</v>
      </c>
      <c r="BL385">
        <v>0</v>
      </c>
      <c r="BM385">
        <v>1.97</v>
      </c>
      <c r="BN385">
        <v>0.21</v>
      </c>
      <c r="BO385">
        <v>0.46</v>
      </c>
      <c r="BP385">
        <v>1.3</v>
      </c>
      <c r="BQ385">
        <v>1.1200000000000001</v>
      </c>
      <c r="BR385">
        <v>0.06</v>
      </c>
      <c r="BS385">
        <v>0.12</v>
      </c>
      <c r="BT385">
        <v>0</v>
      </c>
      <c r="BU385">
        <v>7.24</v>
      </c>
      <c r="BV385">
        <v>6.18</v>
      </c>
      <c r="BW385">
        <v>0.34</v>
      </c>
      <c r="BX385">
        <v>0.72</v>
      </c>
      <c r="BY385">
        <v>0</v>
      </c>
      <c r="BZ385">
        <v>0.04</v>
      </c>
      <c r="CA385">
        <v>6.14</v>
      </c>
      <c r="CB385">
        <v>0</v>
      </c>
      <c r="CC385">
        <f t="shared" si="10"/>
        <v>2.75</v>
      </c>
      <c r="CD385">
        <v>3.96</v>
      </c>
      <c r="CE385">
        <v>0.34230769230769231</v>
      </c>
      <c r="CF385">
        <v>0.44500000000000001</v>
      </c>
      <c r="CG385">
        <v>0.1492537313432836</v>
      </c>
      <c r="CH385">
        <v>0.33881118881118882</v>
      </c>
      <c r="CI385">
        <v>0</v>
      </c>
      <c r="CJ385">
        <v>21455</v>
      </c>
      <c r="CK385" t="s">
        <v>141</v>
      </c>
      <c r="CL385" t="s">
        <v>1295</v>
      </c>
      <c r="CM385" t="s">
        <v>143</v>
      </c>
      <c r="CN385">
        <v>3.2081314265499997E-2</v>
      </c>
      <c r="CO385">
        <v>93.90237050099141</v>
      </c>
      <c r="CP385">
        <v>384</v>
      </c>
      <c r="CQ385" t="s">
        <v>1787</v>
      </c>
      <c r="CR385">
        <v>49</v>
      </c>
      <c r="CS385" t="s">
        <v>1558</v>
      </c>
      <c r="CT385" t="s">
        <v>1559</v>
      </c>
      <c r="CU385" t="s">
        <v>1560</v>
      </c>
      <c r="CV385" t="s">
        <v>1561</v>
      </c>
      <c r="CW385" t="s">
        <v>1562</v>
      </c>
      <c r="CX385" t="s">
        <v>1563</v>
      </c>
      <c r="CY385" t="s">
        <v>1564</v>
      </c>
      <c r="CZ385" t="s">
        <v>1339</v>
      </c>
      <c r="DA385" t="s">
        <v>152</v>
      </c>
      <c r="DB385" t="s">
        <v>153</v>
      </c>
      <c r="DC385" t="s">
        <v>459</v>
      </c>
      <c r="DD385" t="s">
        <v>1565</v>
      </c>
      <c r="DE385">
        <v>4809</v>
      </c>
      <c r="DF385">
        <v>-111.57566799999999</v>
      </c>
      <c r="DG385">
        <v>48.433261000000002</v>
      </c>
      <c r="DH385">
        <v>3400</v>
      </c>
      <c r="DI385">
        <v>400</v>
      </c>
      <c r="DL385">
        <v>7</v>
      </c>
      <c r="DM385">
        <v>5</v>
      </c>
      <c r="DN385">
        <v>10</v>
      </c>
      <c r="DO385">
        <v>10</v>
      </c>
      <c r="DP385">
        <v>1</v>
      </c>
      <c r="DQ385">
        <v>50</v>
      </c>
      <c r="DR385" t="s">
        <v>866</v>
      </c>
      <c r="DS385" t="s">
        <v>1566</v>
      </c>
      <c r="DT385">
        <v>1.2500000000000001E-2</v>
      </c>
      <c r="DU385">
        <v>1.2500000000000001E-2</v>
      </c>
      <c r="DV385">
        <v>0.32500000000000001</v>
      </c>
      <c r="DW385">
        <v>0.32500000000000001</v>
      </c>
      <c r="DX385">
        <v>0.32500000000000001</v>
      </c>
      <c r="DY385">
        <v>0</v>
      </c>
      <c r="DZ385" s="4">
        <v>3.9159999999999999</v>
      </c>
      <c r="EA385" s="4" t="s">
        <v>1581</v>
      </c>
      <c r="EB385" s="4" t="s">
        <v>1582</v>
      </c>
      <c r="EC385">
        <v>4.3879999999999999</v>
      </c>
      <c r="ED385">
        <v>614</v>
      </c>
      <c r="EE385" t="s">
        <v>1742</v>
      </c>
      <c r="EF385">
        <v>0.29009764580537711</v>
      </c>
      <c r="EH385">
        <f t="shared" si="11"/>
        <v>0.58000000000000007</v>
      </c>
      <c r="EI385">
        <v>3.38</v>
      </c>
      <c r="EJ385">
        <v>3.65</v>
      </c>
    </row>
    <row r="386" spans="1:140" x14ac:dyDescent="0.35">
      <c r="A386" s="1">
        <v>384</v>
      </c>
      <c r="B386">
        <v>-113.084248861482</v>
      </c>
      <c r="C386">
        <v>49.247442607724963</v>
      </c>
      <c r="D386" t="s">
        <v>1788</v>
      </c>
      <c r="E386">
        <v>0.02</v>
      </c>
      <c r="F386" t="s">
        <v>160</v>
      </c>
      <c r="G386">
        <v>7.9399999999999998E-2</v>
      </c>
      <c r="H386" t="s">
        <v>161</v>
      </c>
      <c r="I386">
        <v>-12588481</v>
      </c>
      <c r="J386">
        <v>6316952</v>
      </c>
      <c r="K386" t="s">
        <v>1578</v>
      </c>
      <c r="L386" t="s">
        <v>1789</v>
      </c>
      <c r="M386">
        <v>18</v>
      </c>
      <c r="N386">
        <v>4.1680000000000001</v>
      </c>
      <c r="O386">
        <v>4</v>
      </c>
      <c r="P386">
        <v>8</v>
      </c>
      <c r="Q386">
        <v>30</v>
      </c>
      <c r="R386">
        <v>35</v>
      </c>
      <c r="S386">
        <v>13771</v>
      </c>
      <c r="T386" t="s">
        <v>1560</v>
      </c>
      <c r="U386">
        <v>7.1869284698232052</v>
      </c>
      <c r="V386" t="s">
        <v>1578</v>
      </c>
      <c r="W386">
        <v>0.10829999999999999</v>
      </c>
      <c r="X386">
        <v>10</v>
      </c>
      <c r="Y386">
        <v>8.9</v>
      </c>
      <c r="Z386">
        <v>8.9</v>
      </c>
      <c r="AA386">
        <v>20</v>
      </c>
      <c r="AB386">
        <v>26</v>
      </c>
      <c r="AC386">
        <v>0.96899999999999997</v>
      </c>
      <c r="AD386">
        <v>67</v>
      </c>
      <c r="AE386">
        <v>0.15400508582326761</v>
      </c>
      <c r="AF386">
        <v>2.86</v>
      </c>
      <c r="AG386" t="s">
        <v>1560</v>
      </c>
      <c r="AH386" t="s">
        <v>1578</v>
      </c>
      <c r="AI386">
        <v>38</v>
      </c>
      <c r="AJ386">
        <v>1.266666666666667E-2</v>
      </c>
      <c r="AK386">
        <v>12.66666666666667</v>
      </c>
      <c r="AL386" t="s">
        <v>1742</v>
      </c>
      <c r="AM386">
        <v>104121.0541156797</v>
      </c>
      <c r="AN386">
        <v>1.48</v>
      </c>
      <c r="AO386">
        <v>0.09</v>
      </c>
      <c r="AP386">
        <v>0.19</v>
      </c>
      <c r="AQ386">
        <v>1.19</v>
      </c>
      <c r="AR386">
        <v>1.1399999999999999</v>
      </c>
      <c r="AS386">
        <v>0.04</v>
      </c>
      <c r="AT386">
        <v>0.01</v>
      </c>
      <c r="AU386">
        <v>0.02</v>
      </c>
      <c r="AV386">
        <v>2.4500000000000002</v>
      </c>
      <c r="AW386">
        <v>1.45</v>
      </c>
      <c r="AX386">
        <v>0.21</v>
      </c>
      <c r="AY386">
        <v>0.53</v>
      </c>
      <c r="AZ386">
        <v>0</v>
      </c>
      <c r="BA386">
        <v>1.21</v>
      </c>
      <c r="BB386">
        <v>0.08</v>
      </c>
      <c r="BC386">
        <v>0.17</v>
      </c>
      <c r="BD386">
        <v>0.27</v>
      </c>
      <c r="BE386">
        <v>6.83</v>
      </c>
      <c r="BF386">
        <v>6.14</v>
      </c>
      <c r="BG386">
        <v>0.24</v>
      </c>
      <c r="BH386">
        <v>0.45</v>
      </c>
      <c r="BI386">
        <v>0</v>
      </c>
      <c r="BJ386">
        <v>0.04</v>
      </c>
      <c r="BK386">
        <v>6.1</v>
      </c>
      <c r="BL386">
        <v>0</v>
      </c>
      <c r="BM386">
        <v>1.97</v>
      </c>
      <c r="BN386">
        <v>0.21</v>
      </c>
      <c r="BO386">
        <v>0.46</v>
      </c>
      <c r="BP386">
        <v>1.3</v>
      </c>
      <c r="BQ386">
        <v>1.1200000000000001</v>
      </c>
      <c r="BR386">
        <v>0.06</v>
      </c>
      <c r="BS386">
        <v>0.12</v>
      </c>
      <c r="BT386">
        <v>0</v>
      </c>
      <c r="BU386">
        <v>7.24</v>
      </c>
      <c r="BV386">
        <v>6.18</v>
      </c>
      <c r="BW386">
        <v>0.34</v>
      </c>
      <c r="BX386">
        <v>0.72</v>
      </c>
      <c r="BY386">
        <v>0</v>
      </c>
      <c r="BZ386">
        <v>0.04</v>
      </c>
      <c r="CA386">
        <v>6.14</v>
      </c>
      <c r="CB386">
        <v>0</v>
      </c>
      <c r="CC386">
        <f t="shared" si="10"/>
        <v>2.75</v>
      </c>
      <c r="CD386">
        <v>3.96</v>
      </c>
      <c r="CE386">
        <v>0.34230769230769231</v>
      </c>
      <c r="CF386">
        <v>0.44500000000000001</v>
      </c>
      <c r="CG386">
        <v>0.1492537313432836</v>
      </c>
      <c r="CH386">
        <v>0.33881118881118882</v>
      </c>
      <c r="CI386">
        <v>0</v>
      </c>
      <c r="CJ386">
        <v>16148</v>
      </c>
      <c r="CK386" t="s">
        <v>169</v>
      </c>
      <c r="CL386" t="s">
        <v>1467</v>
      </c>
      <c r="CM386" t="s">
        <v>143</v>
      </c>
      <c r="CN386">
        <v>0.92498321660600002</v>
      </c>
      <c r="CO386">
        <v>29.80365077154762</v>
      </c>
      <c r="CP386">
        <v>385</v>
      </c>
      <c r="CQ386" t="s">
        <v>1366</v>
      </c>
      <c r="CR386">
        <v>13</v>
      </c>
      <c r="CS386" t="s">
        <v>1367</v>
      </c>
      <c r="CT386" t="s">
        <v>1366</v>
      </c>
      <c r="CU386" t="s">
        <v>1368</v>
      </c>
      <c r="CV386" t="s">
        <v>1369</v>
      </c>
      <c r="CW386" t="s">
        <v>1370</v>
      </c>
      <c r="CX386" t="s">
        <v>1371</v>
      </c>
      <c r="CY386" t="s">
        <v>1372</v>
      </c>
      <c r="CZ386" t="s">
        <v>1352</v>
      </c>
      <c r="DA386" t="s">
        <v>152</v>
      </c>
      <c r="DB386" t="s">
        <v>178</v>
      </c>
      <c r="DC386" t="s">
        <v>1373</v>
      </c>
      <c r="DD386" t="s">
        <v>657</v>
      </c>
      <c r="DE386">
        <v>10823</v>
      </c>
      <c r="DF386">
        <v>-100.88397000000001</v>
      </c>
      <c r="DG386">
        <v>47.47186</v>
      </c>
      <c r="DH386">
        <v>7525</v>
      </c>
      <c r="DI386">
        <v>260</v>
      </c>
      <c r="DL386">
        <v>8.6</v>
      </c>
      <c r="DM386">
        <v>0.8</v>
      </c>
      <c r="DN386">
        <v>16.2</v>
      </c>
      <c r="DO386">
        <v>190</v>
      </c>
      <c r="DP386">
        <v>104</v>
      </c>
      <c r="DQ386">
        <v>223</v>
      </c>
      <c r="DR386">
        <v>100000</v>
      </c>
      <c r="DS386" t="s">
        <v>1374</v>
      </c>
      <c r="DT386">
        <v>1.2500000000000001E-2</v>
      </c>
      <c r="DU386">
        <v>1.2500000000000001E-2</v>
      </c>
      <c r="DV386">
        <v>0.32500000000000001</v>
      </c>
      <c r="DW386">
        <v>0.32500000000000001</v>
      </c>
      <c r="DX386">
        <v>0.32500000000000001</v>
      </c>
      <c r="DY386">
        <v>0</v>
      </c>
      <c r="DZ386" s="4">
        <v>3.9159999999999999</v>
      </c>
      <c r="EA386" s="4" t="s">
        <v>1581</v>
      </c>
      <c r="EB386" s="4" t="s">
        <v>1582</v>
      </c>
      <c r="EC386">
        <v>4.3879999999999999</v>
      </c>
      <c r="ED386">
        <v>614</v>
      </c>
      <c r="EE386" t="s">
        <v>1742</v>
      </c>
      <c r="EF386">
        <v>0.79648917908447814</v>
      </c>
      <c r="EH386">
        <f t="shared" si="11"/>
        <v>0.58000000000000007</v>
      </c>
      <c r="EI386">
        <v>3.38</v>
      </c>
      <c r="EJ386">
        <v>3.65</v>
      </c>
    </row>
    <row r="387" spans="1:140" x14ac:dyDescent="0.35">
      <c r="A387" s="1">
        <v>385</v>
      </c>
      <c r="B387">
        <v>-111.2876182932429</v>
      </c>
      <c r="C387">
        <v>49.247442607724963</v>
      </c>
      <c r="D387" t="s">
        <v>1790</v>
      </c>
      <c r="E387">
        <v>0.02</v>
      </c>
      <c r="F387" t="s">
        <v>160</v>
      </c>
      <c r="G387">
        <v>7.9399999999999998E-2</v>
      </c>
      <c r="H387" t="s">
        <v>161</v>
      </c>
      <c r="I387">
        <v>-12388481</v>
      </c>
      <c r="J387">
        <v>6316952</v>
      </c>
      <c r="K387" t="s">
        <v>1578</v>
      </c>
      <c r="L387" t="s">
        <v>1791</v>
      </c>
      <c r="M387">
        <v>51</v>
      </c>
      <c r="N387">
        <v>4.0190000000000001</v>
      </c>
      <c r="O387">
        <v>4</v>
      </c>
      <c r="P387">
        <v>8</v>
      </c>
      <c r="Q387">
        <v>30</v>
      </c>
      <c r="R387">
        <v>101</v>
      </c>
      <c r="S387">
        <v>4973</v>
      </c>
      <c r="T387" t="s">
        <v>1560</v>
      </c>
      <c r="U387">
        <v>7.1869284698232052</v>
      </c>
      <c r="V387" t="s">
        <v>1578</v>
      </c>
      <c r="W387">
        <v>0.10829999999999999</v>
      </c>
      <c r="X387">
        <v>10</v>
      </c>
      <c r="Y387">
        <v>8.9</v>
      </c>
      <c r="Z387">
        <v>8.9</v>
      </c>
      <c r="AA387">
        <v>20</v>
      </c>
      <c r="AB387">
        <v>26</v>
      </c>
      <c r="AC387">
        <v>0.96899999999999997</v>
      </c>
      <c r="AD387">
        <v>67</v>
      </c>
      <c r="AE387">
        <v>0.15400508582326761</v>
      </c>
      <c r="AF387">
        <v>2.86</v>
      </c>
      <c r="AG387" t="s">
        <v>1560</v>
      </c>
      <c r="AH387" t="s">
        <v>1578</v>
      </c>
      <c r="AI387">
        <v>38</v>
      </c>
      <c r="AJ387">
        <v>1.266666666666667E-2</v>
      </c>
      <c r="AK387">
        <v>12.66666666666667</v>
      </c>
      <c r="AL387" t="s">
        <v>1670</v>
      </c>
      <c r="AM387">
        <v>260217.83864874579</v>
      </c>
      <c r="AN387">
        <v>1.48</v>
      </c>
      <c r="AO387">
        <v>0.09</v>
      </c>
      <c r="AP387">
        <v>0.19</v>
      </c>
      <c r="AQ387">
        <v>1.19</v>
      </c>
      <c r="AR387">
        <v>1.1399999999999999</v>
      </c>
      <c r="AS387">
        <v>0.04</v>
      </c>
      <c r="AT387">
        <v>0.01</v>
      </c>
      <c r="AU387">
        <v>0.02</v>
      </c>
      <c r="AV387">
        <v>2.4500000000000002</v>
      </c>
      <c r="AW387">
        <v>1.45</v>
      </c>
      <c r="AX387">
        <v>0.21</v>
      </c>
      <c r="AY387">
        <v>0.53</v>
      </c>
      <c r="AZ387">
        <v>0</v>
      </c>
      <c r="BA387">
        <v>1.21</v>
      </c>
      <c r="BB387">
        <v>0.08</v>
      </c>
      <c r="BC387">
        <v>0.17</v>
      </c>
      <c r="BD387">
        <v>0.27</v>
      </c>
      <c r="BE387">
        <v>6.83</v>
      </c>
      <c r="BF387">
        <v>6.14</v>
      </c>
      <c r="BG387">
        <v>0.24</v>
      </c>
      <c r="BH387">
        <v>0.45</v>
      </c>
      <c r="BI387">
        <v>0</v>
      </c>
      <c r="BJ387">
        <v>0.04</v>
      </c>
      <c r="BK387">
        <v>6.1</v>
      </c>
      <c r="BL387">
        <v>0</v>
      </c>
      <c r="BM387">
        <v>1.97</v>
      </c>
      <c r="BN387">
        <v>0.21</v>
      </c>
      <c r="BO387">
        <v>0.46</v>
      </c>
      <c r="BP387">
        <v>1.3</v>
      </c>
      <c r="BQ387">
        <v>1.1200000000000001</v>
      </c>
      <c r="BR387">
        <v>0.06</v>
      </c>
      <c r="BS387">
        <v>0.12</v>
      </c>
      <c r="BT387">
        <v>0</v>
      </c>
      <c r="BU387">
        <v>7.24</v>
      </c>
      <c r="BV387">
        <v>6.18</v>
      </c>
      <c r="BW387">
        <v>0.34</v>
      </c>
      <c r="BX387">
        <v>0.72</v>
      </c>
      <c r="BY387">
        <v>0</v>
      </c>
      <c r="BZ387">
        <v>0.04</v>
      </c>
      <c r="CA387">
        <v>6.14</v>
      </c>
      <c r="CB387">
        <v>0</v>
      </c>
      <c r="CC387">
        <f t="shared" ref="CC387:CC396" si="12">6.71-CD387</f>
        <v>2.75</v>
      </c>
      <c r="CD387">
        <v>3.96</v>
      </c>
      <c r="CE387">
        <v>0.34230769230769231</v>
      </c>
      <c r="CF387">
        <v>0.44500000000000001</v>
      </c>
      <c r="CG387">
        <v>0.1492537313432836</v>
      </c>
      <c r="CH387">
        <v>0.33881118881118882</v>
      </c>
      <c r="CI387">
        <v>0</v>
      </c>
      <c r="CJ387">
        <v>16154</v>
      </c>
      <c r="CK387" t="s">
        <v>169</v>
      </c>
      <c r="CL387" t="s">
        <v>1467</v>
      </c>
      <c r="CM387" t="s">
        <v>143</v>
      </c>
      <c r="CN387">
        <v>0.69089064431000002</v>
      </c>
      <c r="CO387">
        <v>27.436842388683441</v>
      </c>
      <c r="CP387">
        <v>386</v>
      </c>
      <c r="CQ387" t="s">
        <v>1366</v>
      </c>
      <c r="CR387">
        <v>13</v>
      </c>
      <c r="CS387" t="s">
        <v>1367</v>
      </c>
      <c r="CT387" t="s">
        <v>1366</v>
      </c>
      <c r="CU387" t="s">
        <v>1368</v>
      </c>
      <c r="CV387" t="s">
        <v>1369</v>
      </c>
      <c r="CW387" t="s">
        <v>1370</v>
      </c>
      <c r="CX387" t="s">
        <v>1371</v>
      </c>
      <c r="CY387" t="s">
        <v>1372</v>
      </c>
      <c r="CZ387" t="s">
        <v>1352</v>
      </c>
      <c r="DA387" t="s">
        <v>152</v>
      </c>
      <c r="DB387" t="s">
        <v>178</v>
      </c>
      <c r="DC387" t="s">
        <v>1373</v>
      </c>
      <c r="DD387" t="s">
        <v>657</v>
      </c>
      <c r="DE387">
        <v>10823</v>
      </c>
      <c r="DF387">
        <v>-100.88397000000001</v>
      </c>
      <c r="DG387">
        <v>47.47186</v>
      </c>
      <c r="DH387">
        <v>7525</v>
      </c>
      <c r="DI387">
        <v>260</v>
      </c>
      <c r="DL387">
        <v>8.6</v>
      </c>
      <c r="DM387">
        <v>0.8</v>
      </c>
      <c r="DN387">
        <v>16.2</v>
      </c>
      <c r="DO387">
        <v>190</v>
      </c>
      <c r="DP387">
        <v>104</v>
      </c>
      <c r="DQ387">
        <v>223</v>
      </c>
      <c r="DR387">
        <v>100000</v>
      </c>
      <c r="DS387" t="s">
        <v>1374</v>
      </c>
      <c r="DT387">
        <v>1.2500000000000001E-2</v>
      </c>
      <c r="DU387">
        <v>1.2500000000000001E-2</v>
      </c>
      <c r="DV387">
        <v>0.32500000000000001</v>
      </c>
      <c r="DW387">
        <v>0.32500000000000001</v>
      </c>
      <c r="DX387">
        <v>0.32500000000000001</v>
      </c>
      <c r="DY387">
        <v>0</v>
      </c>
      <c r="DZ387" s="4">
        <v>3.9159999999999999</v>
      </c>
      <c r="EA387" s="4" t="s">
        <v>1581</v>
      </c>
      <c r="EB387" s="4" t="s">
        <v>1582</v>
      </c>
      <c r="EC387">
        <v>4.3879999999999999</v>
      </c>
      <c r="ED387">
        <v>89</v>
      </c>
      <c r="EE387" t="s">
        <v>1670</v>
      </c>
      <c r="EF387">
        <v>1.5495983221529741</v>
      </c>
      <c r="EH387">
        <f t="shared" ref="EH387:EH396" si="13">0.39+0.19</f>
        <v>0.58000000000000007</v>
      </c>
      <c r="EI387">
        <v>3.38</v>
      </c>
      <c r="EJ387">
        <v>3.65</v>
      </c>
    </row>
    <row r="388" spans="1:140" x14ac:dyDescent="0.35">
      <c r="A388" s="1">
        <v>386</v>
      </c>
      <c r="B388">
        <v>-109.4909877250039</v>
      </c>
      <c r="C388">
        <v>49.247442607724963</v>
      </c>
      <c r="D388" t="s">
        <v>1792</v>
      </c>
      <c r="E388">
        <v>0.02</v>
      </c>
      <c r="F388" t="s">
        <v>160</v>
      </c>
      <c r="G388">
        <v>7.9399999999999998E-2</v>
      </c>
      <c r="H388" t="s">
        <v>161</v>
      </c>
      <c r="I388">
        <v>-12188481</v>
      </c>
      <c r="J388">
        <v>6316952</v>
      </c>
      <c r="K388" t="s">
        <v>1578</v>
      </c>
      <c r="L388" t="s">
        <v>1793</v>
      </c>
      <c r="M388">
        <v>21</v>
      </c>
      <c r="N388">
        <v>3.952</v>
      </c>
      <c r="O388">
        <v>4</v>
      </c>
      <c r="P388">
        <v>8</v>
      </c>
      <c r="Q388">
        <v>30</v>
      </c>
      <c r="R388">
        <v>41</v>
      </c>
      <c r="S388">
        <v>16304</v>
      </c>
      <c r="T388" t="s">
        <v>1560</v>
      </c>
      <c r="U388">
        <v>7.1869284698232052</v>
      </c>
      <c r="V388" t="s">
        <v>1578</v>
      </c>
      <c r="W388">
        <v>0.10829999999999999</v>
      </c>
      <c r="X388">
        <v>10</v>
      </c>
      <c r="Y388">
        <v>8.9</v>
      </c>
      <c r="Z388">
        <v>8.9</v>
      </c>
      <c r="AA388">
        <v>20</v>
      </c>
      <c r="AB388">
        <v>26</v>
      </c>
      <c r="AC388">
        <v>0.96899999999999997</v>
      </c>
      <c r="AD388">
        <v>67</v>
      </c>
      <c r="AE388">
        <v>0.15400508582326761</v>
      </c>
      <c r="AF388">
        <v>2.86</v>
      </c>
      <c r="AG388" t="s">
        <v>1560</v>
      </c>
      <c r="AH388" t="s">
        <v>1578</v>
      </c>
      <c r="AI388">
        <v>38</v>
      </c>
      <c r="AJ388">
        <v>1.266666666666667E-2</v>
      </c>
      <c r="AK388">
        <v>12.66666666666667</v>
      </c>
      <c r="AL388" t="s">
        <v>1670</v>
      </c>
      <c r="AM388">
        <v>308173.36576651823</v>
      </c>
      <c r="AN388">
        <v>1.48</v>
      </c>
      <c r="AO388">
        <v>0.09</v>
      </c>
      <c r="AP388">
        <v>0.19</v>
      </c>
      <c r="AQ388">
        <v>1.19</v>
      </c>
      <c r="AR388">
        <v>1.1399999999999999</v>
      </c>
      <c r="AS388">
        <v>0.04</v>
      </c>
      <c r="AT388">
        <v>0.01</v>
      </c>
      <c r="AU388">
        <v>0.02</v>
      </c>
      <c r="AV388">
        <v>2.4500000000000002</v>
      </c>
      <c r="AW388">
        <v>1.45</v>
      </c>
      <c r="AX388">
        <v>0.21</v>
      </c>
      <c r="AY388">
        <v>0.53</v>
      </c>
      <c r="AZ388">
        <v>0</v>
      </c>
      <c r="BA388">
        <v>1.21</v>
      </c>
      <c r="BB388">
        <v>0.08</v>
      </c>
      <c r="BC388">
        <v>0.17</v>
      </c>
      <c r="BD388">
        <v>0.27</v>
      </c>
      <c r="BE388">
        <v>6.83</v>
      </c>
      <c r="BF388">
        <v>6.14</v>
      </c>
      <c r="BG388">
        <v>0.24</v>
      </c>
      <c r="BH388">
        <v>0.45</v>
      </c>
      <c r="BI388">
        <v>0</v>
      </c>
      <c r="BJ388">
        <v>0.04</v>
      </c>
      <c r="BK388">
        <v>6.1</v>
      </c>
      <c r="BL388">
        <v>0</v>
      </c>
      <c r="BM388">
        <v>1.97</v>
      </c>
      <c r="BN388">
        <v>0.21</v>
      </c>
      <c r="BO388">
        <v>0.46</v>
      </c>
      <c r="BP388">
        <v>1.3</v>
      </c>
      <c r="BQ388">
        <v>1.1200000000000001</v>
      </c>
      <c r="BR388">
        <v>0.06</v>
      </c>
      <c r="BS388">
        <v>0.12</v>
      </c>
      <c r="BT388">
        <v>0</v>
      </c>
      <c r="BU388">
        <v>7.24</v>
      </c>
      <c r="BV388">
        <v>6.18</v>
      </c>
      <c r="BW388">
        <v>0.34</v>
      </c>
      <c r="BX388">
        <v>0.72</v>
      </c>
      <c r="BY388">
        <v>0</v>
      </c>
      <c r="BZ388">
        <v>0.04</v>
      </c>
      <c r="CA388">
        <v>6.14</v>
      </c>
      <c r="CB388">
        <v>0</v>
      </c>
      <c r="CC388">
        <f t="shared" si="12"/>
        <v>2.75</v>
      </c>
      <c r="CD388">
        <v>3.96</v>
      </c>
      <c r="CE388">
        <v>0.34230769230769231</v>
      </c>
      <c r="CF388">
        <v>0.44500000000000001</v>
      </c>
      <c r="CG388">
        <v>0.1492537313432836</v>
      </c>
      <c r="CH388">
        <v>0.33881118881118882</v>
      </c>
      <c r="CI388">
        <v>0</v>
      </c>
      <c r="CJ388">
        <v>15003</v>
      </c>
      <c r="CK388" t="s">
        <v>169</v>
      </c>
      <c r="CL388" t="s">
        <v>1467</v>
      </c>
      <c r="CM388" t="s">
        <v>143</v>
      </c>
      <c r="CN388">
        <v>0.44086221820999999</v>
      </c>
      <c r="CO388">
        <v>43.009947654393542</v>
      </c>
      <c r="CP388">
        <v>387</v>
      </c>
      <c r="CQ388" t="s">
        <v>1366</v>
      </c>
      <c r="CR388">
        <v>13</v>
      </c>
      <c r="CS388" t="s">
        <v>1367</v>
      </c>
      <c r="CT388" t="s">
        <v>1366</v>
      </c>
      <c r="CU388" t="s">
        <v>1368</v>
      </c>
      <c r="CV388" t="s">
        <v>1369</v>
      </c>
      <c r="CW388" t="s">
        <v>1370</v>
      </c>
      <c r="CX388" t="s">
        <v>1371</v>
      </c>
      <c r="CY388" t="s">
        <v>1372</v>
      </c>
      <c r="CZ388" t="s">
        <v>1352</v>
      </c>
      <c r="DA388" t="s">
        <v>152</v>
      </c>
      <c r="DB388" t="s">
        <v>178</v>
      </c>
      <c r="DC388" t="s">
        <v>1373</v>
      </c>
      <c r="DD388" t="s">
        <v>657</v>
      </c>
      <c r="DE388">
        <v>10823</v>
      </c>
      <c r="DF388">
        <v>-100.88397000000001</v>
      </c>
      <c r="DG388">
        <v>47.47186</v>
      </c>
      <c r="DH388">
        <v>7525</v>
      </c>
      <c r="DI388">
        <v>260</v>
      </c>
      <c r="DL388">
        <v>8.6</v>
      </c>
      <c r="DM388">
        <v>0.8</v>
      </c>
      <c r="DN388">
        <v>16.2</v>
      </c>
      <c r="DO388">
        <v>190</v>
      </c>
      <c r="DP388">
        <v>104</v>
      </c>
      <c r="DQ388">
        <v>223</v>
      </c>
      <c r="DR388">
        <v>100000</v>
      </c>
      <c r="DS388" t="s">
        <v>1374</v>
      </c>
      <c r="DT388">
        <v>1.2500000000000001E-2</v>
      </c>
      <c r="DU388">
        <v>1.2500000000000001E-2</v>
      </c>
      <c r="DV388">
        <v>0.32500000000000001</v>
      </c>
      <c r="DW388">
        <v>0.32500000000000001</v>
      </c>
      <c r="DX388">
        <v>0.32500000000000001</v>
      </c>
      <c r="DY388">
        <v>0</v>
      </c>
      <c r="DZ388" s="4">
        <v>3.9159999999999999</v>
      </c>
      <c r="EA388" s="4" t="s">
        <v>1581</v>
      </c>
      <c r="EB388" s="4" t="s">
        <v>1582</v>
      </c>
      <c r="EC388">
        <v>4.3879999999999999</v>
      </c>
      <c r="ED388">
        <v>89</v>
      </c>
      <c r="EE388" t="s">
        <v>1670</v>
      </c>
      <c r="EF388">
        <v>2.136749672583389</v>
      </c>
      <c r="EH388">
        <f t="shared" si="13"/>
        <v>0.58000000000000007</v>
      </c>
      <c r="EI388">
        <v>3.38</v>
      </c>
      <c r="EJ388">
        <v>3.65</v>
      </c>
    </row>
    <row r="389" spans="1:140" x14ac:dyDescent="0.35">
      <c r="A389" s="1">
        <v>387</v>
      </c>
      <c r="B389">
        <v>-107.6943571567648</v>
      </c>
      <c r="C389">
        <v>49.247442607724963</v>
      </c>
      <c r="D389" t="s">
        <v>1794</v>
      </c>
      <c r="E389">
        <v>0.02</v>
      </c>
      <c r="F389" t="s">
        <v>160</v>
      </c>
      <c r="G389">
        <v>7.9399999999999998E-2</v>
      </c>
      <c r="H389" t="s">
        <v>161</v>
      </c>
      <c r="I389">
        <v>-11988481</v>
      </c>
      <c r="J389">
        <v>6316952</v>
      </c>
      <c r="K389" t="s">
        <v>1578</v>
      </c>
      <c r="L389" t="s">
        <v>1749</v>
      </c>
      <c r="M389">
        <v>36</v>
      </c>
      <c r="N389">
        <v>3.7989999999999999</v>
      </c>
      <c r="O389">
        <v>4</v>
      </c>
      <c r="P389">
        <v>8</v>
      </c>
      <c r="Q389">
        <v>30</v>
      </c>
      <c r="R389">
        <v>71</v>
      </c>
      <c r="S389">
        <v>4215</v>
      </c>
      <c r="T389" t="s">
        <v>1560</v>
      </c>
      <c r="U389">
        <v>7.1869284698232052</v>
      </c>
      <c r="V389" t="s">
        <v>1578</v>
      </c>
      <c r="W389">
        <v>0.10829999999999999</v>
      </c>
      <c r="X389">
        <v>10</v>
      </c>
      <c r="Y389">
        <v>8.9</v>
      </c>
      <c r="Z389">
        <v>8.9</v>
      </c>
      <c r="AA389">
        <v>20</v>
      </c>
      <c r="AB389">
        <v>26</v>
      </c>
      <c r="AC389">
        <v>0.96899999999999997</v>
      </c>
      <c r="AD389">
        <v>67</v>
      </c>
      <c r="AE389">
        <v>0.15400508582326761</v>
      </c>
      <c r="AF389">
        <v>2.86</v>
      </c>
      <c r="AG389" t="s">
        <v>1560</v>
      </c>
      <c r="AH389" t="s">
        <v>1578</v>
      </c>
      <c r="AI389">
        <v>38</v>
      </c>
      <c r="AJ389">
        <v>1.266666666666667E-2</v>
      </c>
      <c r="AK389">
        <v>12.66666666666667</v>
      </c>
      <c r="AL389" t="s">
        <v>1752</v>
      </c>
      <c r="AM389">
        <v>419059.42777580023</v>
      </c>
      <c r="AN389">
        <v>1.48</v>
      </c>
      <c r="AO389">
        <v>0.09</v>
      </c>
      <c r="AP389">
        <v>0.19</v>
      </c>
      <c r="AQ389">
        <v>1.19</v>
      </c>
      <c r="AR389">
        <v>1.1399999999999999</v>
      </c>
      <c r="AS389">
        <v>0.04</v>
      </c>
      <c r="AT389">
        <v>0.01</v>
      </c>
      <c r="AU389">
        <v>0.02</v>
      </c>
      <c r="AV389">
        <v>2.4500000000000002</v>
      </c>
      <c r="AW389">
        <v>1.45</v>
      </c>
      <c r="AX389">
        <v>0.21</v>
      </c>
      <c r="AY389">
        <v>0.53</v>
      </c>
      <c r="AZ389">
        <v>0</v>
      </c>
      <c r="BA389">
        <v>1.21</v>
      </c>
      <c r="BB389">
        <v>0.08</v>
      </c>
      <c r="BC389">
        <v>0.17</v>
      </c>
      <c r="BD389">
        <v>0.27</v>
      </c>
      <c r="BE389">
        <v>6.83</v>
      </c>
      <c r="BF389">
        <v>6.14</v>
      </c>
      <c r="BG389">
        <v>0.24</v>
      </c>
      <c r="BH389">
        <v>0.45</v>
      </c>
      <c r="BI389">
        <v>0</v>
      </c>
      <c r="BJ389">
        <v>0.04</v>
      </c>
      <c r="BK389">
        <v>6.1</v>
      </c>
      <c r="BL389">
        <v>0</v>
      </c>
      <c r="BM389">
        <v>1.97</v>
      </c>
      <c r="BN389">
        <v>0.21</v>
      </c>
      <c r="BO389">
        <v>0.46</v>
      </c>
      <c r="BP389">
        <v>1.3</v>
      </c>
      <c r="BQ389">
        <v>1.1200000000000001</v>
      </c>
      <c r="BR389">
        <v>0.06</v>
      </c>
      <c r="BS389">
        <v>0.12</v>
      </c>
      <c r="BT389">
        <v>0</v>
      </c>
      <c r="BU389">
        <v>7.24</v>
      </c>
      <c r="BV389">
        <v>6.18</v>
      </c>
      <c r="BW389">
        <v>0.34</v>
      </c>
      <c r="BX389">
        <v>0.72</v>
      </c>
      <c r="BY389">
        <v>0</v>
      </c>
      <c r="BZ389">
        <v>0.04</v>
      </c>
      <c r="CA389">
        <v>6.14</v>
      </c>
      <c r="CB389">
        <v>0</v>
      </c>
      <c r="CC389">
        <f t="shared" si="12"/>
        <v>2.75</v>
      </c>
      <c r="CD389">
        <v>3.96</v>
      </c>
      <c r="CE389">
        <v>0.34230769230769231</v>
      </c>
      <c r="CF389">
        <v>0.44500000000000001</v>
      </c>
      <c r="CG389">
        <v>0.1492537313432836</v>
      </c>
      <c r="CH389">
        <v>0.33881118881118882</v>
      </c>
      <c r="CI389">
        <v>0</v>
      </c>
      <c r="CJ389">
        <v>11557</v>
      </c>
      <c r="CK389" t="s">
        <v>141</v>
      </c>
      <c r="CL389" t="s">
        <v>1604</v>
      </c>
      <c r="CM389" t="s">
        <v>143</v>
      </c>
      <c r="CN389">
        <v>0.381388516081</v>
      </c>
      <c r="CO389">
        <v>28.13938614084741</v>
      </c>
      <c r="CP389">
        <v>388</v>
      </c>
      <c r="CQ389" t="s">
        <v>1366</v>
      </c>
      <c r="CR389">
        <v>13</v>
      </c>
      <c r="CS389" t="s">
        <v>1367</v>
      </c>
      <c r="CT389" t="s">
        <v>1366</v>
      </c>
      <c r="CU389" t="s">
        <v>1368</v>
      </c>
      <c r="CV389" t="s">
        <v>1369</v>
      </c>
      <c r="CW389" t="s">
        <v>1370</v>
      </c>
      <c r="CX389" t="s">
        <v>1371</v>
      </c>
      <c r="CY389" t="s">
        <v>1372</v>
      </c>
      <c r="CZ389" t="s">
        <v>1352</v>
      </c>
      <c r="DA389" t="s">
        <v>152</v>
      </c>
      <c r="DB389" t="s">
        <v>178</v>
      </c>
      <c r="DC389" t="s">
        <v>1373</v>
      </c>
      <c r="DD389" t="s">
        <v>657</v>
      </c>
      <c r="DE389">
        <v>10823</v>
      </c>
      <c r="DF389">
        <v>-100.88397000000001</v>
      </c>
      <c r="DG389">
        <v>47.47186</v>
      </c>
      <c r="DH389">
        <v>7525</v>
      </c>
      <c r="DI389">
        <v>260</v>
      </c>
      <c r="DL389">
        <v>8.6</v>
      </c>
      <c r="DM389">
        <v>0.8</v>
      </c>
      <c r="DN389">
        <v>16.2</v>
      </c>
      <c r="DO389">
        <v>190</v>
      </c>
      <c r="DP389">
        <v>104</v>
      </c>
      <c r="DQ389">
        <v>223</v>
      </c>
      <c r="DR389">
        <v>100000</v>
      </c>
      <c r="DS389" t="s">
        <v>1374</v>
      </c>
      <c r="DT389">
        <v>1.2500000000000001E-2</v>
      </c>
      <c r="DU389">
        <v>1.2500000000000001E-2</v>
      </c>
      <c r="DV389">
        <v>0.32500000000000001</v>
      </c>
      <c r="DW389">
        <v>0.32500000000000001</v>
      </c>
      <c r="DX389">
        <v>0.32500000000000001</v>
      </c>
      <c r="DY389">
        <v>0</v>
      </c>
      <c r="DZ389" s="4">
        <v>3.9159999999999999</v>
      </c>
      <c r="EA389" s="4" t="s">
        <v>1581</v>
      </c>
      <c r="EB389" s="4" t="s">
        <v>1582</v>
      </c>
      <c r="EC389">
        <v>4.3879999999999999</v>
      </c>
      <c r="ED389">
        <v>263</v>
      </c>
      <c r="EE389" t="s">
        <v>1593</v>
      </c>
      <c r="EF389">
        <v>2.7520639601070149</v>
      </c>
      <c r="EH389">
        <f t="shared" si="13"/>
        <v>0.58000000000000007</v>
      </c>
      <c r="EI389">
        <v>3.38</v>
      </c>
      <c r="EJ389">
        <v>3.65</v>
      </c>
    </row>
    <row r="390" spans="1:140" x14ac:dyDescent="0.35">
      <c r="A390" s="1">
        <v>388</v>
      </c>
      <c r="B390">
        <v>-105.8977265885258</v>
      </c>
      <c r="C390">
        <v>49.247442607724963</v>
      </c>
      <c r="D390" t="s">
        <v>1795</v>
      </c>
      <c r="E390">
        <v>0.02</v>
      </c>
      <c r="F390" t="s">
        <v>160</v>
      </c>
      <c r="G390">
        <v>7.9399999999999998E-2</v>
      </c>
      <c r="H390" t="s">
        <v>161</v>
      </c>
      <c r="I390">
        <v>-11788481</v>
      </c>
      <c r="J390">
        <v>6316952</v>
      </c>
      <c r="K390" t="s">
        <v>1578</v>
      </c>
      <c r="L390" t="s">
        <v>1796</v>
      </c>
      <c r="M390">
        <v>10</v>
      </c>
      <c r="N390">
        <v>3.8540000000000001</v>
      </c>
      <c r="O390">
        <v>4</v>
      </c>
      <c r="P390">
        <v>8</v>
      </c>
      <c r="Q390">
        <v>30</v>
      </c>
      <c r="R390">
        <v>19</v>
      </c>
      <c r="S390">
        <v>1657</v>
      </c>
      <c r="T390" t="s">
        <v>1560</v>
      </c>
      <c r="U390">
        <v>7.1869284698232052</v>
      </c>
      <c r="V390" t="s">
        <v>1578</v>
      </c>
      <c r="W390">
        <v>0.10829999999999999</v>
      </c>
      <c r="X390">
        <v>10</v>
      </c>
      <c r="Y390">
        <v>8.9</v>
      </c>
      <c r="Z390">
        <v>8.9</v>
      </c>
      <c r="AA390">
        <v>20</v>
      </c>
      <c r="AB390">
        <v>26</v>
      </c>
      <c r="AC390">
        <v>0.96899999999999997</v>
      </c>
      <c r="AD390">
        <v>67</v>
      </c>
      <c r="AE390">
        <v>0.15400508582326761</v>
      </c>
      <c r="AF390">
        <v>2.86</v>
      </c>
      <c r="AG390" t="s">
        <v>1560</v>
      </c>
      <c r="AH390" t="s">
        <v>1578</v>
      </c>
      <c r="AI390">
        <v>38</v>
      </c>
      <c r="AJ390">
        <v>1.266666666666667E-2</v>
      </c>
      <c r="AK390">
        <v>12.66666666666667</v>
      </c>
      <c r="AL390" t="s">
        <v>1752</v>
      </c>
      <c r="AM390">
        <v>230711.8172359879</v>
      </c>
      <c r="AN390">
        <v>1.48</v>
      </c>
      <c r="AO390">
        <v>0.09</v>
      </c>
      <c r="AP390">
        <v>0.19</v>
      </c>
      <c r="AQ390">
        <v>1.19</v>
      </c>
      <c r="AR390">
        <v>1.1399999999999999</v>
      </c>
      <c r="AS390">
        <v>0.04</v>
      </c>
      <c r="AT390">
        <v>0.01</v>
      </c>
      <c r="AU390">
        <v>0.02</v>
      </c>
      <c r="AV390">
        <v>2.4500000000000002</v>
      </c>
      <c r="AW390">
        <v>1.45</v>
      </c>
      <c r="AX390">
        <v>0.21</v>
      </c>
      <c r="AY390">
        <v>0.53</v>
      </c>
      <c r="AZ390">
        <v>0</v>
      </c>
      <c r="BA390">
        <v>1.21</v>
      </c>
      <c r="BB390">
        <v>0.08</v>
      </c>
      <c r="BC390">
        <v>0.17</v>
      </c>
      <c r="BD390">
        <v>0.27</v>
      </c>
      <c r="BE390">
        <v>6.83</v>
      </c>
      <c r="BF390">
        <v>6.14</v>
      </c>
      <c r="BG390">
        <v>0.24</v>
      </c>
      <c r="BH390">
        <v>0.45</v>
      </c>
      <c r="BI390">
        <v>0</v>
      </c>
      <c r="BJ390">
        <v>0.04</v>
      </c>
      <c r="BK390">
        <v>6.1</v>
      </c>
      <c r="BL390">
        <v>0</v>
      </c>
      <c r="BM390">
        <v>1.97</v>
      </c>
      <c r="BN390">
        <v>0.21</v>
      </c>
      <c r="BO390">
        <v>0.46</v>
      </c>
      <c r="BP390">
        <v>1.3</v>
      </c>
      <c r="BQ390">
        <v>1.1200000000000001</v>
      </c>
      <c r="BR390">
        <v>0.06</v>
      </c>
      <c r="BS390">
        <v>0.12</v>
      </c>
      <c r="BT390">
        <v>0</v>
      </c>
      <c r="BU390">
        <v>7.24</v>
      </c>
      <c r="BV390">
        <v>6.18</v>
      </c>
      <c r="BW390">
        <v>0.34</v>
      </c>
      <c r="BX390">
        <v>0.72</v>
      </c>
      <c r="BY390">
        <v>0</v>
      </c>
      <c r="BZ390">
        <v>0.04</v>
      </c>
      <c r="CA390">
        <v>6.14</v>
      </c>
      <c r="CB390">
        <v>0</v>
      </c>
      <c r="CC390">
        <f t="shared" si="12"/>
        <v>2.75</v>
      </c>
      <c r="CD390">
        <v>3.96</v>
      </c>
      <c r="CE390">
        <v>0.34230769230769231</v>
      </c>
      <c r="CF390">
        <v>0.44500000000000001</v>
      </c>
      <c r="CG390">
        <v>0.1492537313432836</v>
      </c>
      <c r="CH390">
        <v>0.33881118881118882</v>
      </c>
      <c r="CI390">
        <v>0</v>
      </c>
      <c r="CJ390">
        <v>11559</v>
      </c>
      <c r="CK390" t="s">
        <v>141</v>
      </c>
      <c r="CL390" t="s">
        <v>1604</v>
      </c>
      <c r="CM390" t="s">
        <v>143</v>
      </c>
      <c r="CN390">
        <v>1.4101854980799999</v>
      </c>
      <c r="CO390">
        <v>77.513590445462256</v>
      </c>
      <c r="CP390">
        <v>389</v>
      </c>
      <c r="CQ390" t="s">
        <v>1366</v>
      </c>
      <c r="CR390">
        <v>13</v>
      </c>
      <c r="CS390" t="s">
        <v>1367</v>
      </c>
      <c r="CT390" t="s">
        <v>1366</v>
      </c>
      <c r="CU390" t="s">
        <v>1368</v>
      </c>
      <c r="CV390" t="s">
        <v>1369</v>
      </c>
      <c r="CW390" t="s">
        <v>1370</v>
      </c>
      <c r="CX390" t="s">
        <v>1371</v>
      </c>
      <c r="CY390" t="s">
        <v>1372</v>
      </c>
      <c r="CZ390" t="s">
        <v>1352</v>
      </c>
      <c r="DA390" t="s">
        <v>152</v>
      </c>
      <c r="DB390" t="s">
        <v>178</v>
      </c>
      <c r="DC390" t="s">
        <v>1373</v>
      </c>
      <c r="DD390" t="s">
        <v>657</v>
      </c>
      <c r="DE390">
        <v>10823</v>
      </c>
      <c r="DF390">
        <v>-100.88397000000001</v>
      </c>
      <c r="DG390">
        <v>47.47186</v>
      </c>
      <c r="DH390">
        <v>7525</v>
      </c>
      <c r="DI390">
        <v>260</v>
      </c>
      <c r="DL390">
        <v>8.6</v>
      </c>
      <c r="DM390">
        <v>0.8</v>
      </c>
      <c r="DN390">
        <v>16.2</v>
      </c>
      <c r="DO390">
        <v>190</v>
      </c>
      <c r="DP390">
        <v>104</v>
      </c>
      <c r="DQ390">
        <v>223</v>
      </c>
      <c r="DR390">
        <v>100000</v>
      </c>
      <c r="DS390" t="s">
        <v>1374</v>
      </c>
      <c r="DT390">
        <v>1.2500000000000001E-2</v>
      </c>
      <c r="DU390">
        <v>1.2500000000000001E-2</v>
      </c>
      <c r="DV390">
        <v>0.32500000000000001</v>
      </c>
      <c r="DW390">
        <v>0.32500000000000001</v>
      </c>
      <c r="DX390">
        <v>0.32500000000000001</v>
      </c>
      <c r="DY390">
        <v>0</v>
      </c>
      <c r="DZ390" s="4">
        <v>3.9159999999999999</v>
      </c>
      <c r="EA390" s="4" t="s">
        <v>1581</v>
      </c>
      <c r="EB390" s="4" t="s">
        <v>1582</v>
      </c>
      <c r="EC390">
        <v>4.3879999999999999</v>
      </c>
      <c r="ED390">
        <v>99</v>
      </c>
      <c r="EE390" t="s">
        <v>1752</v>
      </c>
      <c r="EF390">
        <v>1.949196363079714</v>
      </c>
      <c r="EH390">
        <f t="shared" si="13"/>
        <v>0.58000000000000007</v>
      </c>
      <c r="EI390">
        <v>3.38</v>
      </c>
      <c r="EJ390">
        <v>3.65</v>
      </c>
    </row>
    <row r="391" spans="1:140" x14ac:dyDescent="0.35">
      <c r="A391" s="1">
        <v>389</v>
      </c>
      <c r="B391">
        <v>-104.1010960202868</v>
      </c>
      <c r="C391">
        <v>49.247442607724963</v>
      </c>
      <c r="D391" t="s">
        <v>1797</v>
      </c>
      <c r="E391">
        <v>0.02</v>
      </c>
      <c r="F391" t="s">
        <v>160</v>
      </c>
      <c r="G391">
        <v>7.9399999999999998E-2</v>
      </c>
      <c r="H391" t="s">
        <v>136</v>
      </c>
      <c r="I391">
        <v>-11588481</v>
      </c>
      <c r="J391">
        <v>6316952</v>
      </c>
      <c r="K391" t="s">
        <v>1578</v>
      </c>
      <c r="L391" t="s">
        <v>1798</v>
      </c>
      <c r="M391">
        <v>46</v>
      </c>
      <c r="N391">
        <v>3.4990000000000001</v>
      </c>
      <c r="O391">
        <v>4</v>
      </c>
      <c r="P391">
        <v>8</v>
      </c>
      <c r="Q391">
        <v>30</v>
      </c>
      <c r="R391">
        <v>91</v>
      </c>
      <c r="S391">
        <v>3542</v>
      </c>
      <c r="T391" t="s">
        <v>1560</v>
      </c>
      <c r="U391">
        <v>7.1869284698232052</v>
      </c>
      <c r="V391" t="s">
        <v>1578</v>
      </c>
      <c r="W391">
        <v>0.10829999999999999</v>
      </c>
      <c r="X391">
        <v>10</v>
      </c>
      <c r="Y391">
        <v>8.9</v>
      </c>
      <c r="Z391">
        <v>8.9</v>
      </c>
      <c r="AA391">
        <v>20</v>
      </c>
      <c r="AB391">
        <v>26</v>
      </c>
      <c r="AC391">
        <v>0.96899999999999997</v>
      </c>
      <c r="AD391">
        <v>67</v>
      </c>
      <c r="AE391">
        <v>0.15400508582326761</v>
      </c>
      <c r="AF391">
        <v>2.86</v>
      </c>
      <c r="AG391" t="s">
        <v>1560</v>
      </c>
      <c r="AH391" t="s">
        <v>1578</v>
      </c>
      <c r="AI391">
        <v>38</v>
      </c>
      <c r="AJ391">
        <v>1.266666666666667E-2</v>
      </c>
      <c r="AK391">
        <v>12.66666666666667</v>
      </c>
      <c r="AL391" t="s">
        <v>1752</v>
      </c>
      <c r="AM391">
        <v>104139.71968890011</v>
      </c>
      <c r="AN391">
        <v>1.48</v>
      </c>
      <c r="AO391">
        <v>0.09</v>
      </c>
      <c r="AP391">
        <v>0.19</v>
      </c>
      <c r="AQ391">
        <v>1.19</v>
      </c>
      <c r="AR391">
        <v>1.1399999999999999</v>
      </c>
      <c r="AS391">
        <v>0.04</v>
      </c>
      <c r="AT391">
        <v>0.01</v>
      </c>
      <c r="AU391">
        <v>0.02</v>
      </c>
      <c r="AV391">
        <v>2.4500000000000002</v>
      </c>
      <c r="AW391">
        <v>1.45</v>
      </c>
      <c r="AX391">
        <v>0.21</v>
      </c>
      <c r="AY391">
        <v>0.53</v>
      </c>
      <c r="AZ391">
        <v>0</v>
      </c>
      <c r="BA391">
        <v>1.21</v>
      </c>
      <c r="BB391">
        <v>0.08</v>
      </c>
      <c r="BC391">
        <v>0.17</v>
      </c>
      <c r="BD391">
        <v>0.27</v>
      </c>
      <c r="BE391">
        <v>6.83</v>
      </c>
      <c r="BF391">
        <v>6.14</v>
      </c>
      <c r="BG391">
        <v>0.24</v>
      </c>
      <c r="BH391">
        <v>0.45</v>
      </c>
      <c r="BI391">
        <v>0</v>
      </c>
      <c r="BJ391">
        <v>0.04</v>
      </c>
      <c r="BK391">
        <v>6.1</v>
      </c>
      <c r="BL391">
        <v>0</v>
      </c>
      <c r="BM391">
        <v>1.97</v>
      </c>
      <c r="BN391">
        <v>0.21</v>
      </c>
      <c r="BO391">
        <v>0.46</v>
      </c>
      <c r="BP391">
        <v>1.3</v>
      </c>
      <c r="BQ391">
        <v>1.1200000000000001</v>
      </c>
      <c r="BR391">
        <v>0.06</v>
      </c>
      <c r="BS391">
        <v>0.12</v>
      </c>
      <c r="BT391">
        <v>0</v>
      </c>
      <c r="BU391">
        <v>7.24</v>
      </c>
      <c r="BV391">
        <v>6.18</v>
      </c>
      <c r="BW391">
        <v>0.34</v>
      </c>
      <c r="BX391">
        <v>0.72</v>
      </c>
      <c r="BY391">
        <v>0</v>
      </c>
      <c r="BZ391">
        <v>0.04</v>
      </c>
      <c r="CA391">
        <v>6.14</v>
      </c>
      <c r="CB391">
        <v>0</v>
      </c>
      <c r="CC391">
        <f t="shared" si="12"/>
        <v>2.75</v>
      </c>
      <c r="CD391">
        <v>3.96</v>
      </c>
      <c r="CE391">
        <v>0.34230769230769231</v>
      </c>
      <c r="CF391">
        <v>0.44500000000000001</v>
      </c>
      <c r="CG391">
        <v>0.1492537313432836</v>
      </c>
      <c r="CH391">
        <v>0.33881118881118882</v>
      </c>
      <c r="CI391">
        <v>0</v>
      </c>
      <c r="CJ391">
        <v>11562</v>
      </c>
      <c r="CK391" t="s">
        <v>141</v>
      </c>
      <c r="CL391" t="s">
        <v>1604</v>
      </c>
      <c r="CM391" t="s">
        <v>143</v>
      </c>
      <c r="CN391">
        <v>0.39811093032099998</v>
      </c>
      <c r="CO391">
        <v>107.5380833074654</v>
      </c>
      <c r="CP391">
        <v>390</v>
      </c>
      <c r="CQ391" t="s">
        <v>1695</v>
      </c>
      <c r="CR391">
        <v>13</v>
      </c>
      <c r="CS391" t="s">
        <v>1367</v>
      </c>
      <c r="CT391" t="s">
        <v>1366</v>
      </c>
      <c r="CU391" t="s">
        <v>1368</v>
      </c>
      <c r="CV391" t="s">
        <v>1369</v>
      </c>
      <c r="CW391" t="s">
        <v>1370</v>
      </c>
      <c r="CX391" t="s">
        <v>1371</v>
      </c>
      <c r="CY391" t="s">
        <v>1372</v>
      </c>
      <c r="CZ391" t="s">
        <v>1352</v>
      </c>
      <c r="DA391" t="s">
        <v>152</v>
      </c>
      <c r="DB391" t="s">
        <v>178</v>
      </c>
      <c r="DC391" t="s">
        <v>1373</v>
      </c>
      <c r="DD391" t="s">
        <v>657</v>
      </c>
      <c r="DE391">
        <v>10823</v>
      </c>
      <c r="DF391">
        <v>-100.88397000000001</v>
      </c>
      <c r="DG391">
        <v>47.47186</v>
      </c>
      <c r="DH391">
        <v>7525</v>
      </c>
      <c r="DI391">
        <v>260</v>
      </c>
      <c r="DL391">
        <v>8.6</v>
      </c>
      <c r="DM391">
        <v>0.8</v>
      </c>
      <c r="DN391">
        <v>16.2</v>
      </c>
      <c r="DO391">
        <v>190</v>
      </c>
      <c r="DP391">
        <v>104</v>
      </c>
      <c r="DQ391">
        <v>223</v>
      </c>
      <c r="DR391">
        <v>100000</v>
      </c>
      <c r="DS391" t="s">
        <v>1374</v>
      </c>
      <c r="DT391">
        <v>1.2500000000000001E-2</v>
      </c>
      <c r="DU391">
        <v>1.2500000000000001E-2</v>
      </c>
      <c r="DV391">
        <v>0.32500000000000001</v>
      </c>
      <c r="DW391">
        <v>0.32500000000000001</v>
      </c>
      <c r="DX391">
        <v>0.32500000000000001</v>
      </c>
      <c r="DY391">
        <v>0</v>
      </c>
      <c r="DZ391" s="4">
        <v>3.9159999999999999</v>
      </c>
      <c r="EA391" s="4" t="s">
        <v>1581</v>
      </c>
      <c r="EB391" s="4" t="s">
        <v>1582</v>
      </c>
      <c r="EC391">
        <v>4.3879999999999999</v>
      </c>
      <c r="ED391">
        <v>99</v>
      </c>
      <c r="EE391" t="s">
        <v>1752</v>
      </c>
      <c r="EF391">
        <v>0.61578828647442241</v>
      </c>
      <c r="EH391">
        <f t="shared" si="13"/>
        <v>0.58000000000000007</v>
      </c>
      <c r="EI391">
        <v>3.38</v>
      </c>
      <c r="EJ391">
        <v>3.65</v>
      </c>
    </row>
    <row r="392" spans="1:140" x14ac:dyDescent="0.35">
      <c r="A392" s="1">
        <v>390</v>
      </c>
      <c r="B392">
        <v>-102.30446545204769</v>
      </c>
      <c r="C392">
        <v>49.247442607724963</v>
      </c>
      <c r="D392" t="s">
        <v>1799</v>
      </c>
      <c r="E392">
        <v>0.02</v>
      </c>
      <c r="F392" t="s">
        <v>160</v>
      </c>
      <c r="G392">
        <v>7.9399999999999998E-2</v>
      </c>
      <c r="H392" t="s">
        <v>161</v>
      </c>
      <c r="I392">
        <v>-11388481</v>
      </c>
      <c r="J392">
        <v>6316952</v>
      </c>
      <c r="K392" t="s">
        <v>1689</v>
      </c>
      <c r="L392" t="s">
        <v>1800</v>
      </c>
      <c r="M392">
        <v>7</v>
      </c>
      <c r="N392">
        <v>3.6640000000000001</v>
      </c>
      <c r="O392">
        <v>2</v>
      </c>
      <c r="P392">
        <v>4</v>
      </c>
      <c r="Q392">
        <v>38</v>
      </c>
      <c r="R392">
        <v>13</v>
      </c>
      <c r="S392">
        <v>2211</v>
      </c>
      <c r="T392" t="s">
        <v>1368</v>
      </c>
      <c r="U392">
        <v>4.5251219264377163</v>
      </c>
      <c r="V392" t="s">
        <v>1689</v>
      </c>
      <c r="W392">
        <v>7.9299999999999995E-2</v>
      </c>
      <c r="X392">
        <v>10</v>
      </c>
      <c r="Y392">
        <v>8.9</v>
      </c>
      <c r="Z392">
        <v>8.9</v>
      </c>
      <c r="AA392">
        <v>20</v>
      </c>
      <c r="AB392">
        <v>26</v>
      </c>
      <c r="AC392">
        <v>1.4239999999999999</v>
      </c>
      <c r="AD392">
        <v>67</v>
      </c>
      <c r="AE392">
        <v>0.2263191354100445</v>
      </c>
      <c r="AF392">
        <v>2.86</v>
      </c>
      <c r="AG392" t="s">
        <v>1368</v>
      </c>
      <c r="AH392" t="s">
        <v>1689</v>
      </c>
      <c r="AI392">
        <v>31</v>
      </c>
      <c r="AJ392">
        <v>1.033333333333333E-2</v>
      </c>
      <c r="AK392">
        <v>10.33333333333333</v>
      </c>
      <c r="AL392" t="s">
        <v>1757</v>
      </c>
      <c r="AM392">
        <v>52729.854568328068</v>
      </c>
      <c r="AN392">
        <v>1.06</v>
      </c>
      <c r="AO392">
        <v>0.09</v>
      </c>
      <c r="AP392">
        <v>0.19</v>
      </c>
      <c r="AQ392">
        <v>0.77</v>
      </c>
      <c r="AR392">
        <v>0.72</v>
      </c>
      <c r="AS392">
        <v>0.04</v>
      </c>
      <c r="AT392">
        <v>0.01</v>
      </c>
      <c r="AU392">
        <v>0.02</v>
      </c>
      <c r="AV392">
        <v>1.96</v>
      </c>
      <c r="AW392">
        <v>0.96</v>
      </c>
      <c r="AX392">
        <v>0.21</v>
      </c>
      <c r="AY392">
        <v>0.53</v>
      </c>
      <c r="AZ392">
        <v>0</v>
      </c>
      <c r="BA392">
        <v>0.76</v>
      </c>
      <c r="BB392">
        <v>0.08</v>
      </c>
      <c r="BC392">
        <v>0.12</v>
      </c>
      <c r="BD392">
        <v>0.27</v>
      </c>
      <c r="BE392">
        <v>5.17</v>
      </c>
      <c r="BF392">
        <v>4.4800000000000004</v>
      </c>
      <c r="BG392">
        <v>0.24</v>
      </c>
      <c r="BH392">
        <v>0.45</v>
      </c>
      <c r="BI392">
        <v>0</v>
      </c>
      <c r="BJ392">
        <v>0.04</v>
      </c>
      <c r="BK392">
        <v>4.4400000000000004</v>
      </c>
      <c r="BL392">
        <v>0</v>
      </c>
      <c r="BM392">
        <v>1.52</v>
      </c>
      <c r="BN392">
        <v>0.21</v>
      </c>
      <c r="BO392">
        <v>0.46</v>
      </c>
      <c r="BP392">
        <v>0.85</v>
      </c>
      <c r="BQ392">
        <v>0.71</v>
      </c>
      <c r="BR392">
        <v>0.06</v>
      </c>
      <c r="BS392">
        <v>0.09</v>
      </c>
      <c r="BT392">
        <v>0</v>
      </c>
      <c r="BU392">
        <v>5.56</v>
      </c>
      <c r="BV392">
        <v>4.5</v>
      </c>
      <c r="BW392">
        <v>0.34</v>
      </c>
      <c r="BX392">
        <v>0.72</v>
      </c>
      <c r="BY392">
        <v>0</v>
      </c>
      <c r="BZ392">
        <v>0.04</v>
      </c>
      <c r="CA392">
        <v>4.46</v>
      </c>
      <c r="CB392">
        <v>0</v>
      </c>
      <c r="CC392">
        <f t="shared" si="12"/>
        <v>2.75</v>
      </c>
      <c r="CD392">
        <v>3.96</v>
      </c>
      <c r="CE392">
        <v>0.34230769230769231</v>
      </c>
      <c r="CF392">
        <v>0.44500000000000001</v>
      </c>
      <c r="CG392">
        <v>0.1492537313432836</v>
      </c>
      <c r="CH392">
        <v>0.49790209790209788</v>
      </c>
      <c r="CI392">
        <v>0</v>
      </c>
      <c r="CJ392">
        <v>26848</v>
      </c>
      <c r="CK392" t="s">
        <v>141</v>
      </c>
      <c r="CL392" t="s">
        <v>1365</v>
      </c>
      <c r="CM392" t="s">
        <v>143</v>
      </c>
      <c r="CN392">
        <v>0.73962179123500005</v>
      </c>
      <c r="CO392">
        <v>32.759012497552277</v>
      </c>
      <c r="CP392">
        <v>391</v>
      </c>
      <c r="CQ392" t="s">
        <v>1695</v>
      </c>
      <c r="CR392">
        <v>13</v>
      </c>
      <c r="CS392" t="s">
        <v>1367</v>
      </c>
      <c r="CT392" t="s">
        <v>1366</v>
      </c>
      <c r="CU392" t="s">
        <v>1368</v>
      </c>
      <c r="CV392" t="s">
        <v>1369</v>
      </c>
      <c r="CW392" t="s">
        <v>1370</v>
      </c>
      <c r="CX392" t="s">
        <v>1371</v>
      </c>
      <c r="CY392" t="s">
        <v>1372</v>
      </c>
      <c r="CZ392" t="s">
        <v>1352</v>
      </c>
      <c r="DA392" t="s">
        <v>152</v>
      </c>
      <c r="DB392" t="s">
        <v>178</v>
      </c>
      <c r="DC392" t="s">
        <v>1373</v>
      </c>
      <c r="DD392" t="s">
        <v>657</v>
      </c>
      <c r="DE392">
        <v>10823</v>
      </c>
      <c r="DF392">
        <v>-100.88397000000001</v>
      </c>
      <c r="DG392">
        <v>47.47186</v>
      </c>
      <c r="DH392">
        <v>7525</v>
      </c>
      <c r="DI392">
        <v>260</v>
      </c>
      <c r="DL392">
        <v>8.6</v>
      </c>
      <c r="DM392">
        <v>0.8</v>
      </c>
      <c r="DN392">
        <v>16.2</v>
      </c>
      <c r="DO392">
        <v>190</v>
      </c>
      <c r="DP392">
        <v>104</v>
      </c>
      <c r="DQ392">
        <v>223</v>
      </c>
      <c r="DR392">
        <v>100000</v>
      </c>
      <c r="DS392" t="s">
        <v>1374</v>
      </c>
      <c r="DT392">
        <v>1.2500000000000001E-2</v>
      </c>
      <c r="DU392">
        <v>1.2500000000000001E-2</v>
      </c>
      <c r="DV392">
        <v>0.32500000000000001</v>
      </c>
      <c r="DW392">
        <v>0.32500000000000001</v>
      </c>
      <c r="DX392">
        <v>0.32500000000000001</v>
      </c>
      <c r="DY392">
        <v>0</v>
      </c>
      <c r="DZ392" s="4">
        <v>3.621</v>
      </c>
      <c r="EA392" s="4" t="s">
        <v>1691</v>
      </c>
      <c r="EB392" s="4" t="s">
        <v>1692</v>
      </c>
      <c r="EC392">
        <v>4.3179999999999996</v>
      </c>
      <c r="ED392">
        <v>809</v>
      </c>
      <c r="EE392" t="s">
        <v>1757</v>
      </c>
      <c r="EF392">
        <v>0.37681205059070322</v>
      </c>
      <c r="EH392">
        <f t="shared" si="13"/>
        <v>0.58000000000000007</v>
      </c>
      <c r="EI392">
        <v>3.38</v>
      </c>
      <c r="EJ392">
        <v>3.65</v>
      </c>
    </row>
    <row r="393" spans="1:140" x14ac:dyDescent="0.35">
      <c r="A393" s="1">
        <v>391</v>
      </c>
      <c r="B393">
        <v>-100.5078348838087</v>
      </c>
      <c r="C393">
        <v>49.247442607724963</v>
      </c>
      <c r="D393" t="s">
        <v>1801</v>
      </c>
      <c r="E393">
        <v>0.02</v>
      </c>
      <c r="F393" t="s">
        <v>160</v>
      </c>
      <c r="G393">
        <v>7.9399999999999998E-2</v>
      </c>
      <c r="H393" t="s">
        <v>161</v>
      </c>
      <c r="I393">
        <v>-11188481</v>
      </c>
      <c r="J393">
        <v>6316952</v>
      </c>
      <c r="K393" t="s">
        <v>1689</v>
      </c>
      <c r="L393" t="s">
        <v>1802</v>
      </c>
      <c r="M393">
        <v>5</v>
      </c>
      <c r="N393">
        <v>3.7450000000000001</v>
      </c>
      <c r="O393">
        <v>2</v>
      </c>
      <c r="P393">
        <v>4</v>
      </c>
      <c r="Q393">
        <v>38</v>
      </c>
      <c r="R393">
        <v>9</v>
      </c>
      <c r="S393">
        <v>6378</v>
      </c>
      <c r="T393" t="s">
        <v>1368</v>
      </c>
      <c r="U393">
        <v>4.5251219264377163</v>
      </c>
      <c r="V393" t="s">
        <v>1689</v>
      </c>
      <c r="W393">
        <v>7.9299999999999995E-2</v>
      </c>
      <c r="X393">
        <v>10</v>
      </c>
      <c r="Y393">
        <v>8.9</v>
      </c>
      <c r="Z393">
        <v>8.9</v>
      </c>
      <c r="AA393">
        <v>20</v>
      </c>
      <c r="AB393">
        <v>26</v>
      </c>
      <c r="AC393">
        <v>1.4239999999999999</v>
      </c>
      <c r="AD393">
        <v>67</v>
      </c>
      <c r="AE393">
        <v>0.2263191354100445</v>
      </c>
      <c r="AF393">
        <v>2.86</v>
      </c>
      <c r="AG393" t="s">
        <v>1368</v>
      </c>
      <c r="AH393" t="s">
        <v>1689</v>
      </c>
      <c r="AI393">
        <v>31</v>
      </c>
      <c r="AJ393">
        <v>1.033333333333333E-2</v>
      </c>
      <c r="AK393">
        <v>10.33333333333333</v>
      </c>
      <c r="AL393" t="s">
        <v>1757</v>
      </c>
      <c r="AM393">
        <v>104241.5396898777</v>
      </c>
      <c r="AN393">
        <v>1.06</v>
      </c>
      <c r="AO393">
        <v>0.09</v>
      </c>
      <c r="AP393">
        <v>0.19</v>
      </c>
      <c r="AQ393">
        <v>0.77</v>
      </c>
      <c r="AR393">
        <v>0.72</v>
      </c>
      <c r="AS393">
        <v>0.04</v>
      </c>
      <c r="AT393">
        <v>0.01</v>
      </c>
      <c r="AU393">
        <v>0.02</v>
      </c>
      <c r="AV393">
        <v>1.96</v>
      </c>
      <c r="AW393">
        <v>0.96</v>
      </c>
      <c r="AX393">
        <v>0.21</v>
      </c>
      <c r="AY393">
        <v>0.53</v>
      </c>
      <c r="AZ393">
        <v>0</v>
      </c>
      <c r="BA393">
        <v>0.76</v>
      </c>
      <c r="BB393">
        <v>0.08</v>
      </c>
      <c r="BC393">
        <v>0.12</v>
      </c>
      <c r="BD393">
        <v>0.27</v>
      </c>
      <c r="BE393">
        <v>5.17</v>
      </c>
      <c r="BF393">
        <v>4.4800000000000004</v>
      </c>
      <c r="BG393">
        <v>0.24</v>
      </c>
      <c r="BH393">
        <v>0.45</v>
      </c>
      <c r="BI393">
        <v>0</v>
      </c>
      <c r="BJ393">
        <v>0.04</v>
      </c>
      <c r="BK393">
        <v>4.4400000000000004</v>
      </c>
      <c r="BL393">
        <v>0</v>
      </c>
      <c r="BM393">
        <v>1.52</v>
      </c>
      <c r="BN393">
        <v>0.21</v>
      </c>
      <c r="BO393">
        <v>0.46</v>
      </c>
      <c r="BP393">
        <v>0.85</v>
      </c>
      <c r="BQ393">
        <v>0.71</v>
      </c>
      <c r="BR393">
        <v>0.06</v>
      </c>
      <c r="BS393">
        <v>0.09</v>
      </c>
      <c r="BT393">
        <v>0</v>
      </c>
      <c r="BU393">
        <v>5.56</v>
      </c>
      <c r="BV393">
        <v>4.5</v>
      </c>
      <c r="BW393">
        <v>0.34</v>
      </c>
      <c r="BX393">
        <v>0.72</v>
      </c>
      <c r="BY393">
        <v>0</v>
      </c>
      <c r="BZ393">
        <v>0.04</v>
      </c>
      <c r="CA393">
        <v>4.46</v>
      </c>
      <c r="CB393">
        <v>0</v>
      </c>
      <c r="CC393">
        <f t="shared" si="12"/>
        <v>2.75</v>
      </c>
      <c r="CD393">
        <v>3.96</v>
      </c>
      <c r="CE393">
        <v>0.34230769230769231</v>
      </c>
      <c r="CF393">
        <v>0.44500000000000001</v>
      </c>
      <c r="CG393">
        <v>0.1492537313432836</v>
      </c>
      <c r="CH393">
        <v>0.49790209790209788</v>
      </c>
      <c r="CI393">
        <v>0</v>
      </c>
      <c r="CJ393">
        <v>773</v>
      </c>
      <c r="CK393" t="s">
        <v>141</v>
      </c>
      <c r="CL393" t="s">
        <v>1610</v>
      </c>
      <c r="CM393" t="s">
        <v>143</v>
      </c>
      <c r="CN393">
        <v>6.00436757745</v>
      </c>
      <c r="CO393">
        <v>70.726570719701627</v>
      </c>
      <c r="CP393">
        <v>392</v>
      </c>
      <c r="CQ393" t="s">
        <v>1366</v>
      </c>
      <c r="CR393">
        <v>13</v>
      </c>
      <c r="CS393" t="s">
        <v>1367</v>
      </c>
      <c r="CT393" t="s">
        <v>1366</v>
      </c>
      <c r="CU393" t="s">
        <v>1368</v>
      </c>
      <c r="CV393" t="s">
        <v>1369</v>
      </c>
      <c r="CW393" t="s">
        <v>1370</v>
      </c>
      <c r="CX393" t="s">
        <v>1371</v>
      </c>
      <c r="CY393" t="s">
        <v>1372</v>
      </c>
      <c r="CZ393" t="s">
        <v>1352</v>
      </c>
      <c r="DA393" t="s">
        <v>152</v>
      </c>
      <c r="DB393" t="s">
        <v>178</v>
      </c>
      <c r="DC393" t="s">
        <v>1373</v>
      </c>
      <c r="DD393" t="s">
        <v>657</v>
      </c>
      <c r="DE393">
        <v>10823</v>
      </c>
      <c r="DF393">
        <v>-100.88397000000001</v>
      </c>
      <c r="DG393">
        <v>47.47186</v>
      </c>
      <c r="DH393">
        <v>7525</v>
      </c>
      <c r="DI393">
        <v>260</v>
      </c>
      <c r="DL393">
        <v>8.6</v>
      </c>
      <c r="DM393">
        <v>0.8</v>
      </c>
      <c r="DN393">
        <v>16.2</v>
      </c>
      <c r="DO393">
        <v>190</v>
      </c>
      <c r="DP393">
        <v>104</v>
      </c>
      <c r="DQ393">
        <v>223</v>
      </c>
      <c r="DR393">
        <v>100000</v>
      </c>
      <c r="DS393" t="s">
        <v>1374</v>
      </c>
      <c r="DT393">
        <v>1.2500000000000001E-2</v>
      </c>
      <c r="DU393">
        <v>1.2500000000000001E-2</v>
      </c>
      <c r="DV393">
        <v>0.32500000000000001</v>
      </c>
      <c r="DW393">
        <v>0.32500000000000001</v>
      </c>
      <c r="DX393">
        <v>0.32500000000000001</v>
      </c>
      <c r="DY393">
        <v>0</v>
      </c>
      <c r="DZ393" s="4">
        <v>3.621</v>
      </c>
      <c r="EA393" s="4" t="s">
        <v>1691</v>
      </c>
      <c r="EB393" s="4" t="s">
        <v>1692</v>
      </c>
      <c r="EC393">
        <v>4.3179999999999996</v>
      </c>
      <c r="ED393">
        <v>809</v>
      </c>
      <c r="EE393" t="s">
        <v>1757</v>
      </c>
      <c r="EF393">
        <v>0.61508196906193491</v>
      </c>
      <c r="EH393">
        <f t="shared" si="13"/>
        <v>0.58000000000000007</v>
      </c>
      <c r="EI393">
        <v>3.38</v>
      </c>
      <c r="EJ393">
        <v>3.65</v>
      </c>
    </row>
    <row r="394" spans="1:140" x14ac:dyDescent="0.35">
      <c r="A394" s="1">
        <v>392</v>
      </c>
      <c r="B394">
        <v>-98.711204315569631</v>
      </c>
      <c r="C394">
        <v>49.247442607724963</v>
      </c>
      <c r="D394" t="s">
        <v>1803</v>
      </c>
      <c r="E394">
        <v>0.02</v>
      </c>
      <c r="F394" t="s">
        <v>160</v>
      </c>
      <c r="G394">
        <v>7.9399999999999998E-2</v>
      </c>
      <c r="H394" t="s">
        <v>161</v>
      </c>
      <c r="I394">
        <v>-10988481</v>
      </c>
      <c r="J394">
        <v>6316952</v>
      </c>
      <c r="K394" t="s">
        <v>1689</v>
      </c>
      <c r="L394" t="s">
        <v>1804</v>
      </c>
      <c r="M394">
        <v>10</v>
      </c>
      <c r="N394">
        <v>3.6739999999999999</v>
      </c>
      <c r="O394">
        <v>2</v>
      </c>
      <c r="P394">
        <v>4</v>
      </c>
      <c r="Q394">
        <v>38</v>
      </c>
      <c r="R394">
        <v>19</v>
      </c>
      <c r="S394">
        <v>3706</v>
      </c>
      <c r="T394" t="s">
        <v>1368</v>
      </c>
      <c r="U394">
        <v>4.5251219264377163</v>
      </c>
      <c r="V394" t="s">
        <v>1689</v>
      </c>
      <c r="W394">
        <v>7.9299999999999995E-2</v>
      </c>
      <c r="X394">
        <v>10</v>
      </c>
      <c r="Y394">
        <v>8.9</v>
      </c>
      <c r="Z394">
        <v>8.9</v>
      </c>
      <c r="AA394">
        <v>20</v>
      </c>
      <c r="AB394">
        <v>26</v>
      </c>
      <c r="AC394">
        <v>1.4239999999999999</v>
      </c>
      <c r="AD394">
        <v>67</v>
      </c>
      <c r="AE394">
        <v>0.2263191354100445</v>
      </c>
      <c r="AF394">
        <v>2.86</v>
      </c>
      <c r="AG394" t="s">
        <v>1368</v>
      </c>
      <c r="AH394" t="s">
        <v>1689</v>
      </c>
      <c r="AI394">
        <v>31</v>
      </c>
      <c r="AJ394">
        <v>1.033333333333333E-2</v>
      </c>
      <c r="AK394">
        <v>10.33333333333333</v>
      </c>
      <c r="AL394" t="s">
        <v>1762</v>
      </c>
      <c r="AM394">
        <v>199077.0124038948</v>
      </c>
      <c r="AN394">
        <v>1.06</v>
      </c>
      <c r="AO394">
        <v>0.09</v>
      </c>
      <c r="AP394">
        <v>0.19</v>
      </c>
      <c r="AQ394">
        <v>0.77</v>
      </c>
      <c r="AR394">
        <v>0.72</v>
      </c>
      <c r="AS394">
        <v>0.04</v>
      </c>
      <c r="AT394">
        <v>0.01</v>
      </c>
      <c r="AU394">
        <v>0.02</v>
      </c>
      <c r="AV394">
        <v>1.96</v>
      </c>
      <c r="AW394">
        <v>0.96</v>
      </c>
      <c r="AX394">
        <v>0.21</v>
      </c>
      <c r="AY394">
        <v>0.53</v>
      </c>
      <c r="AZ394">
        <v>0</v>
      </c>
      <c r="BA394">
        <v>0.76</v>
      </c>
      <c r="BB394">
        <v>0.08</v>
      </c>
      <c r="BC394">
        <v>0.12</v>
      </c>
      <c r="BD394">
        <v>0.27</v>
      </c>
      <c r="BE394">
        <v>5.17</v>
      </c>
      <c r="BF394">
        <v>4.4800000000000004</v>
      </c>
      <c r="BG394">
        <v>0.24</v>
      </c>
      <c r="BH394">
        <v>0.45</v>
      </c>
      <c r="BI394">
        <v>0</v>
      </c>
      <c r="BJ394">
        <v>0.04</v>
      </c>
      <c r="BK394">
        <v>4.4400000000000004</v>
      </c>
      <c r="BL394">
        <v>0</v>
      </c>
      <c r="BM394">
        <v>1.52</v>
      </c>
      <c r="BN394">
        <v>0.21</v>
      </c>
      <c r="BO394">
        <v>0.46</v>
      </c>
      <c r="BP394">
        <v>0.85</v>
      </c>
      <c r="BQ394">
        <v>0.71</v>
      </c>
      <c r="BR394">
        <v>0.06</v>
      </c>
      <c r="BS394">
        <v>0.09</v>
      </c>
      <c r="BT394">
        <v>0</v>
      </c>
      <c r="BU394">
        <v>5.56</v>
      </c>
      <c r="BV394">
        <v>4.5</v>
      </c>
      <c r="BW394">
        <v>0.34</v>
      </c>
      <c r="BX394">
        <v>0.72</v>
      </c>
      <c r="BY394">
        <v>0</v>
      </c>
      <c r="BZ394">
        <v>0.04</v>
      </c>
      <c r="CA394">
        <v>4.46</v>
      </c>
      <c r="CB394">
        <v>0</v>
      </c>
      <c r="CC394">
        <f t="shared" si="12"/>
        <v>2.75</v>
      </c>
      <c r="CD394">
        <v>3.96</v>
      </c>
      <c r="CE394">
        <v>0.34230769230769231</v>
      </c>
      <c r="CF394">
        <v>0.44500000000000001</v>
      </c>
      <c r="CG394">
        <v>0.1492537313432836</v>
      </c>
      <c r="CH394">
        <v>0.49790209790209788</v>
      </c>
      <c r="CI394">
        <v>0</v>
      </c>
      <c r="CJ394">
        <v>26876</v>
      </c>
      <c r="CK394" t="s">
        <v>141</v>
      </c>
      <c r="CL394" t="s">
        <v>1365</v>
      </c>
      <c r="CM394" t="s">
        <v>143</v>
      </c>
      <c r="CN394">
        <v>0.20298523958199999</v>
      </c>
      <c r="CO394">
        <v>52.234710200882908</v>
      </c>
      <c r="CP394">
        <v>393</v>
      </c>
      <c r="CQ394" t="s">
        <v>1366</v>
      </c>
      <c r="CR394">
        <v>13</v>
      </c>
      <c r="CS394" t="s">
        <v>1367</v>
      </c>
      <c r="CT394" t="s">
        <v>1366</v>
      </c>
      <c r="CU394" t="s">
        <v>1368</v>
      </c>
      <c r="CV394" t="s">
        <v>1369</v>
      </c>
      <c r="CW394" t="s">
        <v>1370</v>
      </c>
      <c r="CX394" t="s">
        <v>1371</v>
      </c>
      <c r="CY394" t="s">
        <v>1372</v>
      </c>
      <c r="CZ394" t="s">
        <v>1352</v>
      </c>
      <c r="DA394" t="s">
        <v>152</v>
      </c>
      <c r="DB394" t="s">
        <v>178</v>
      </c>
      <c r="DC394" t="s">
        <v>1373</v>
      </c>
      <c r="DD394" t="s">
        <v>657</v>
      </c>
      <c r="DE394">
        <v>10823</v>
      </c>
      <c r="DF394">
        <v>-100.88397000000001</v>
      </c>
      <c r="DG394">
        <v>47.47186</v>
      </c>
      <c r="DH394">
        <v>7525</v>
      </c>
      <c r="DI394">
        <v>260</v>
      </c>
      <c r="DL394">
        <v>8.6</v>
      </c>
      <c r="DM394">
        <v>0.8</v>
      </c>
      <c r="DN394">
        <v>16.2</v>
      </c>
      <c r="DO394">
        <v>190</v>
      </c>
      <c r="DP394">
        <v>104</v>
      </c>
      <c r="DQ394">
        <v>223</v>
      </c>
      <c r="DR394">
        <v>100000</v>
      </c>
      <c r="DS394" t="s">
        <v>1374</v>
      </c>
      <c r="DT394">
        <v>1.2500000000000001E-2</v>
      </c>
      <c r="DU394">
        <v>1.2500000000000001E-2</v>
      </c>
      <c r="DV394">
        <v>0.32500000000000001</v>
      </c>
      <c r="DW394">
        <v>0.32500000000000001</v>
      </c>
      <c r="DX394">
        <v>0.32500000000000001</v>
      </c>
      <c r="DY394">
        <v>0</v>
      </c>
      <c r="DZ394" s="4">
        <v>3.621</v>
      </c>
      <c r="EA394" s="4" t="s">
        <v>1691</v>
      </c>
      <c r="EB394" s="4" t="s">
        <v>1692</v>
      </c>
      <c r="EC394">
        <v>4.3179999999999996</v>
      </c>
      <c r="ED394">
        <v>51</v>
      </c>
      <c r="EE394" t="s">
        <v>1762</v>
      </c>
      <c r="EF394">
        <v>1.326779988941873</v>
      </c>
      <c r="EH394">
        <f t="shared" si="13"/>
        <v>0.58000000000000007</v>
      </c>
      <c r="EI394">
        <v>3.38</v>
      </c>
      <c r="EJ394">
        <v>3.65</v>
      </c>
    </row>
    <row r="395" spans="1:140" x14ac:dyDescent="0.35">
      <c r="A395" s="1">
        <v>393</v>
      </c>
      <c r="B395">
        <v>-96.914573747330593</v>
      </c>
      <c r="C395">
        <v>49.247442607724963</v>
      </c>
      <c r="D395" t="s">
        <v>1805</v>
      </c>
      <c r="E395">
        <v>0.02</v>
      </c>
      <c r="F395" t="s">
        <v>160</v>
      </c>
      <c r="G395">
        <v>7.9399999999999998E-2</v>
      </c>
      <c r="H395" t="s">
        <v>161</v>
      </c>
      <c r="I395">
        <v>-10788481</v>
      </c>
      <c r="J395">
        <v>6316952</v>
      </c>
      <c r="K395" t="s">
        <v>1497</v>
      </c>
      <c r="L395" t="s">
        <v>1806</v>
      </c>
      <c r="M395">
        <v>35</v>
      </c>
      <c r="N395">
        <v>3.57</v>
      </c>
      <c r="O395">
        <v>2</v>
      </c>
      <c r="P395">
        <v>4</v>
      </c>
      <c r="Q395">
        <v>27</v>
      </c>
      <c r="R395">
        <v>69</v>
      </c>
      <c r="S395">
        <v>4217</v>
      </c>
      <c r="T395" t="s">
        <v>1499</v>
      </c>
      <c r="U395">
        <v>5.6054727189595601</v>
      </c>
      <c r="V395" t="s">
        <v>1497</v>
      </c>
      <c r="W395">
        <v>0.1235</v>
      </c>
      <c r="X395">
        <v>10</v>
      </c>
      <c r="Y395">
        <v>8.9</v>
      </c>
      <c r="Z395">
        <v>8.9</v>
      </c>
      <c r="AA395">
        <v>20</v>
      </c>
      <c r="AB395">
        <v>26</v>
      </c>
      <c r="AC395">
        <v>0.76600000000000001</v>
      </c>
      <c r="AD395">
        <v>67</v>
      </c>
      <c r="AE395">
        <v>0.12174189446916719</v>
      </c>
      <c r="AF395">
        <v>2.86</v>
      </c>
      <c r="AG395" t="s">
        <v>1499</v>
      </c>
      <c r="AH395" t="s">
        <v>1497</v>
      </c>
      <c r="AI395">
        <v>28</v>
      </c>
      <c r="AJ395">
        <v>9.3333333333333341E-3</v>
      </c>
      <c r="AK395">
        <v>9.3333333333333339</v>
      </c>
      <c r="AL395" t="s">
        <v>1762</v>
      </c>
      <c r="AM395">
        <v>179609.1475141955</v>
      </c>
      <c r="AN395">
        <v>1.23</v>
      </c>
      <c r="AO395">
        <v>0.09</v>
      </c>
      <c r="AP395">
        <v>0.19</v>
      </c>
      <c r="AQ395">
        <v>0.95</v>
      </c>
      <c r="AR395">
        <v>0.89</v>
      </c>
      <c r="AS395">
        <v>0.04</v>
      </c>
      <c r="AT395">
        <v>0.02</v>
      </c>
      <c r="AU395">
        <v>0.02</v>
      </c>
      <c r="AV395">
        <v>2.2000000000000002</v>
      </c>
      <c r="AW395">
        <v>1.2</v>
      </c>
      <c r="AX395">
        <v>0.21</v>
      </c>
      <c r="AY395">
        <v>0.53</v>
      </c>
      <c r="AZ395">
        <v>0</v>
      </c>
      <c r="BA395">
        <v>0.94</v>
      </c>
      <c r="BB395">
        <v>0.08</v>
      </c>
      <c r="BC395">
        <v>0.18</v>
      </c>
      <c r="BD395">
        <v>0.27</v>
      </c>
      <c r="BE395">
        <v>7.39</v>
      </c>
      <c r="BF395">
        <v>6.7</v>
      </c>
      <c r="BG395">
        <v>0.24</v>
      </c>
      <c r="BH395">
        <v>0.45</v>
      </c>
      <c r="BI395">
        <v>0</v>
      </c>
      <c r="BJ395">
        <v>0.04</v>
      </c>
      <c r="BK395">
        <v>6.66</v>
      </c>
      <c r="BL395">
        <v>0</v>
      </c>
      <c r="BM395">
        <v>1.74</v>
      </c>
      <c r="BN395">
        <v>0.21</v>
      </c>
      <c r="BO395">
        <v>0.46</v>
      </c>
      <c r="BP395">
        <v>1.07</v>
      </c>
      <c r="BQ395">
        <v>0.88</v>
      </c>
      <c r="BR395">
        <v>0.06</v>
      </c>
      <c r="BS395">
        <v>0.13</v>
      </c>
      <c r="BT395">
        <v>0</v>
      </c>
      <c r="BU395">
        <v>7.79</v>
      </c>
      <c r="BV395">
        <v>6.73</v>
      </c>
      <c r="BW395">
        <v>0.34</v>
      </c>
      <c r="BX395">
        <v>0.72</v>
      </c>
      <c r="BY395">
        <v>0</v>
      </c>
      <c r="BZ395">
        <v>0.04</v>
      </c>
      <c r="CA395">
        <v>6.7</v>
      </c>
      <c r="CB395">
        <v>0</v>
      </c>
      <c r="CC395">
        <f t="shared" si="12"/>
        <v>2.75</v>
      </c>
      <c r="CD395">
        <v>3.96</v>
      </c>
      <c r="CE395">
        <v>0.34230769230769231</v>
      </c>
      <c r="CF395">
        <v>0.44500000000000001</v>
      </c>
      <c r="CG395">
        <v>0.1492537313432836</v>
      </c>
      <c r="CH395">
        <v>0.26783216783216779</v>
      </c>
      <c r="CI395">
        <v>0</v>
      </c>
      <c r="CJ395">
        <v>5634</v>
      </c>
      <c r="CK395" t="s">
        <v>141</v>
      </c>
      <c r="CL395" t="s">
        <v>1629</v>
      </c>
      <c r="CM395" t="s">
        <v>143</v>
      </c>
      <c r="CN395">
        <v>3.0325733297399998E-3</v>
      </c>
      <c r="CO395">
        <v>27.841914573497359</v>
      </c>
      <c r="CP395">
        <v>394</v>
      </c>
      <c r="CQ395" t="s">
        <v>1366</v>
      </c>
      <c r="CR395">
        <v>13</v>
      </c>
      <c r="CS395" t="s">
        <v>1367</v>
      </c>
      <c r="CT395" t="s">
        <v>1366</v>
      </c>
      <c r="CU395" t="s">
        <v>1368</v>
      </c>
      <c r="CV395" t="s">
        <v>1369</v>
      </c>
      <c r="CW395" t="s">
        <v>1370</v>
      </c>
      <c r="CX395" t="s">
        <v>1371</v>
      </c>
      <c r="CY395" t="s">
        <v>1372</v>
      </c>
      <c r="CZ395" t="s">
        <v>1352</v>
      </c>
      <c r="DA395" t="s">
        <v>152</v>
      </c>
      <c r="DB395" t="s">
        <v>178</v>
      </c>
      <c r="DC395" t="s">
        <v>1373</v>
      </c>
      <c r="DD395" t="s">
        <v>657</v>
      </c>
      <c r="DE395">
        <v>10823</v>
      </c>
      <c r="DF395">
        <v>-100.88397000000001</v>
      </c>
      <c r="DG395">
        <v>47.47186</v>
      </c>
      <c r="DH395">
        <v>7525</v>
      </c>
      <c r="DI395">
        <v>260</v>
      </c>
      <c r="DL395">
        <v>8.6</v>
      </c>
      <c r="DM395">
        <v>0.8</v>
      </c>
      <c r="DN395">
        <v>16.2</v>
      </c>
      <c r="DO395">
        <v>190</v>
      </c>
      <c r="DP395">
        <v>104</v>
      </c>
      <c r="DQ395">
        <v>223</v>
      </c>
      <c r="DR395">
        <v>100000</v>
      </c>
      <c r="DS395" t="s">
        <v>1374</v>
      </c>
      <c r="DT395">
        <v>1.2500000000000001E-2</v>
      </c>
      <c r="DU395">
        <v>1.2500000000000001E-2</v>
      </c>
      <c r="DV395">
        <v>0.32500000000000001</v>
      </c>
      <c r="DW395">
        <v>0.32500000000000001</v>
      </c>
      <c r="DX395">
        <v>0.32500000000000001</v>
      </c>
      <c r="DY395">
        <v>0</v>
      </c>
      <c r="DZ395" s="4">
        <v>3.766</v>
      </c>
      <c r="EA395" s="4" t="s">
        <v>1501</v>
      </c>
      <c r="EB395" s="4" t="s">
        <v>1502</v>
      </c>
      <c r="EC395">
        <v>4.6429999999999998</v>
      </c>
      <c r="ED395">
        <v>51</v>
      </c>
      <c r="EE395" t="s">
        <v>1762</v>
      </c>
      <c r="EF395">
        <v>1.074292839096292</v>
      </c>
      <c r="EH395">
        <f t="shared" si="13"/>
        <v>0.58000000000000007</v>
      </c>
      <c r="EI395">
        <v>3.38</v>
      </c>
      <c r="EJ395">
        <v>3.65</v>
      </c>
    </row>
    <row r="396" spans="1:140" x14ac:dyDescent="0.35">
      <c r="A396" s="1">
        <v>394</v>
      </c>
      <c r="B396">
        <v>-95.11794317909154</v>
      </c>
      <c r="C396">
        <v>49.247442607724963</v>
      </c>
      <c r="D396" t="s">
        <v>1807</v>
      </c>
      <c r="E396">
        <v>0.1</v>
      </c>
      <c r="F396" t="s">
        <v>135</v>
      </c>
      <c r="G396">
        <v>7.9399999999999998E-2</v>
      </c>
      <c r="H396" t="s">
        <v>161</v>
      </c>
      <c r="I396">
        <v>-10588481</v>
      </c>
      <c r="J396">
        <v>6316952</v>
      </c>
      <c r="K396" t="s">
        <v>1497</v>
      </c>
      <c r="L396" t="s">
        <v>1808</v>
      </c>
      <c r="M396">
        <v>39</v>
      </c>
      <c r="N396">
        <v>3.6989999999999998</v>
      </c>
      <c r="O396">
        <v>2</v>
      </c>
      <c r="P396">
        <v>4</v>
      </c>
      <c r="Q396">
        <v>27</v>
      </c>
      <c r="R396">
        <v>77</v>
      </c>
      <c r="S396">
        <v>3765</v>
      </c>
      <c r="T396" t="s">
        <v>1499</v>
      </c>
      <c r="U396">
        <v>5.6054727189595601</v>
      </c>
      <c r="V396" t="s">
        <v>1497</v>
      </c>
      <c r="W396">
        <v>0.1235</v>
      </c>
      <c r="X396">
        <v>10</v>
      </c>
      <c r="Y396">
        <v>8.9</v>
      </c>
      <c r="Z396">
        <v>8.9</v>
      </c>
      <c r="AA396">
        <v>20</v>
      </c>
      <c r="AB396">
        <v>26</v>
      </c>
      <c r="AC396">
        <v>0.76600000000000001</v>
      </c>
      <c r="AD396">
        <v>67</v>
      </c>
      <c r="AE396">
        <v>0.12174189446916719</v>
      </c>
      <c r="AF396">
        <v>2.86</v>
      </c>
      <c r="AG396" t="s">
        <v>1499</v>
      </c>
      <c r="AH396" t="s">
        <v>1497</v>
      </c>
      <c r="AI396">
        <v>28</v>
      </c>
      <c r="AJ396">
        <v>9.3333333333333341E-3</v>
      </c>
      <c r="AK396">
        <v>9.3333333333333339</v>
      </c>
      <c r="AL396" t="s">
        <v>1766</v>
      </c>
      <c r="AM396">
        <v>120248.5130589309</v>
      </c>
      <c r="AN396">
        <v>1.23</v>
      </c>
      <c r="AO396">
        <v>0.09</v>
      </c>
      <c r="AP396">
        <v>0.19</v>
      </c>
      <c r="AQ396">
        <v>0.95</v>
      </c>
      <c r="AR396">
        <v>0.89</v>
      </c>
      <c r="AS396">
        <v>0.04</v>
      </c>
      <c r="AT396">
        <v>0.02</v>
      </c>
      <c r="AU396">
        <v>0.02</v>
      </c>
      <c r="AV396">
        <v>2.2000000000000002</v>
      </c>
      <c r="AW396">
        <v>1.2</v>
      </c>
      <c r="AX396">
        <v>0.21</v>
      </c>
      <c r="AY396">
        <v>0.53</v>
      </c>
      <c r="AZ396">
        <v>0</v>
      </c>
      <c r="BA396">
        <v>0.94</v>
      </c>
      <c r="BB396">
        <v>0.08</v>
      </c>
      <c r="BC396">
        <v>0.18</v>
      </c>
      <c r="BD396">
        <v>0.27</v>
      </c>
      <c r="BE396">
        <v>7.39</v>
      </c>
      <c r="BF396">
        <v>6.7</v>
      </c>
      <c r="BG396">
        <v>0.24</v>
      </c>
      <c r="BH396">
        <v>0.45</v>
      </c>
      <c r="BI396">
        <v>0</v>
      </c>
      <c r="BJ396">
        <v>0.04</v>
      </c>
      <c r="BK396">
        <v>6.66</v>
      </c>
      <c r="BL396">
        <v>0</v>
      </c>
      <c r="BM396">
        <v>1.74</v>
      </c>
      <c r="BN396">
        <v>0.21</v>
      </c>
      <c r="BO396">
        <v>0.46</v>
      </c>
      <c r="BP396">
        <v>1.07</v>
      </c>
      <c r="BQ396">
        <v>0.88</v>
      </c>
      <c r="BR396">
        <v>0.06</v>
      </c>
      <c r="BS396">
        <v>0.13</v>
      </c>
      <c r="BT396">
        <v>0</v>
      </c>
      <c r="BU396">
        <v>7.79</v>
      </c>
      <c r="BV396">
        <v>6.73</v>
      </c>
      <c r="BW396">
        <v>0.34</v>
      </c>
      <c r="BX396">
        <v>0.72</v>
      </c>
      <c r="BY396">
        <v>0</v>
      </c>
      <c r="BZ396">
        <v>0.04</v>
      </c>
      <c r="CA396">
        <v>6.7</v>
      </c>
      <c r="CB396">
        <v>0</v>
      </c>
      <c r="CC396">
        <f t="shared" si="12"/>
        <v>2.75</v>
      </c>
      <c r="CD396">
        <v>3.96</v>
      </c>
      <c r="CE396">
        <v>0.34230769230769231</v>
      </c>
      <c r="CF396">
        <v>0.44500000000000001</v>
      </c>
      <c r="CG396">
        <v>0.1492537313432836</v>
      </c>
      <c r="CH396">
        <v>0.26783216783216779</v>
      </c>
      <c r="CI396">
        <v>0</v>
      </c>
      <c r="CJ396">
        <v>31670</v>
      </c>
      <c r="CK396" t="s">
        <v>141</v>
      </c>
      <c r="CL396" t="s">
        <v>1809</v>
      </c>
      <c r="CM396" t="s">
        <v>143</v>
      </c>
      <c r="CN396">
        <v>9.7726129810800005E-2</v>
      </c>
      <c r="CO396">
        <v>40.405770711598187</v>
      </c>
      <c r="CP396">
        <v>395</v>
      </c>
      <c r="CQ396" t="s">
        <v>1366</v>
      </c>
      <c r="CR396">
        <v>13</v>
      </c>
      <c r="CS396" t="s">
        <v>1367</v>
      </c>
      <c r="CT396" t="s">
        <v>1366</v>
      </c>
      <c r="CU396" t="s">
        <v>1368</v>
      </c>
      <c r="CV396" t="s">
        <v>1369</v>
      </c>
      <c r="CW396" t="s">
        <v>1370</v>
      </c>
      <c r="CX396" t="s">
        <v>1371</v>
      </c>
      <c r="CY396" t="s">
        <v>1372</v>
      </c>
      <c r="CZ396" t="s">
        <v>1352</v>
      </c>
      <c r="DA396" t="s">
        <v>152</v>
      </c>
      <c r="DB396" t="s">
        <v>178</v>
      </c>
      <c r="DC396" t="s">
        <v>1373</v>
      </c>
      <c r="DD396" t="s">
        <v>657</v>
      </c>
      <c r="DE396">
        <v>10823</v>
      </c>
      <c r="DF396">
        <v>-100.88397000000001</v>
      </c>
      <c r="DG396">
        <v>47.47186</v>
      </c>
      <c r="DH396">
        <v>7525</v>
      </c>
      <c r="DI396">
        <v>260</v>
      </c>
      <c r="DL396">
        <v>8.6</v>
      </c>
      <c r="DM396">
        <v>0.8</v>
      </c>
      <c r="DN396">
        <v>16.2</v>
      </c>
      <c r="DO396">
        <v>190</v>
      </c>
      <c r="DP396">
        <v>104</v>
      </c>
      <c r="DQ396">
        <v>223</v>
      </c>
      <c r="DR396">
        <v>100000</v>
      </c>
      <c r="DS396" t="s">
        <v>1374</v>
      </c>
      <c r="DT396">
        <v>1.2500000000000001E-2</v>
      </c>
      <c r="DU396">
        <v>1.2500000000000001E-2</v>
      </c>
      <c r="DV396">
        <v>0.32500000000000001</v>
      </c>
      <c r="DW396">
        <v>0.32500000000000001</v>
      </c>
      <c r="DX396">
        <v>0.32500000000000001</v>
      </c>
      <c r="DY396">
        <v>74.270945774368869</v>
      </c>
      <c r="DZ396" s="4">
        <v>3.766</v>
      </c>
      <c r="EA396" s="4" t="s">
        <v>1501</v>
      </c>
      <c r="EB396" s="4" t="s">
        <v>1502</v>
      </c>
      <c r="EC396">
        <v>4.6429999999999998</v>
      </c>
      <c r="ED396">
        <v>462</v>
      </c>
      <c r="EE396" t="s">
        <v>1766</v>
      </c>
      <c r="EF396">
        <v>0.71370197990525497</v>
      </c>
      <c r="EH396">
        <f t="shared" si="13"/>
        <v>0.58000000000000007</v>
      </c>
      <c r="EI396">
        <v>3.38</v>
      </c>
      <c r="EJ396">
        <v>3.65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Liu, Paulo</cp:lastModifiedBy>
  <dcterms:created xsi:type="dcterms:W3CDTF">2026-07-13T21:25:02Z</dcterms:created>
  <dcterms:modified xsi:type="dcterms:W3CDTF">2026-08-17T15:53:03Z</dcterms:modified>
</cp:coreProperties>
</file>